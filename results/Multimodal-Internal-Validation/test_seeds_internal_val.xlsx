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Results-comparação" sheetId="2" r:id="rId6"/>
    <sheet state="visible" name="Swin" sheetId="3" r:id="rId7"/>
    <sheet state="visible" name="FetalCLIP" sheetId="4" r:id="rId8"/>
    <sheet state="visible" name="FetalCLIP-ft" sheetId="5" r:id="rId9"/>
    <sheet state="visible" name="MedVitV2-b-pt" sheetId="6" r:id="rId10"/>
    <sheet state="visible" name="Cópia de MedVitV2-b-pt" sheetId="7" r:id="rId11"/>
    <sheet state="visible" name="MedVitV2-b-nopt" sheetId="8" r:id="rId12"/>
    <sheet state="visible" name="MedMamba-s" sheetId="9" r:id="rId13"/>
    <sheet state="visible" name="MedSigLiP" sheetId="10" r:id="rId14"/>
    <sheet state="visible" name="MedSigLiP-finetuing" sheetId="11" r:id="rId15"/>
    <sheet state="visible" name="MedMamba-b" sheetId="12" r:id="rId16"/>
  </sheets>
  <definedNames/>
  <calcPr/>
</workbook>
</file>

<file path=xl/sharedStrings.xml><?xml version="1.0" encoding="utf-8"?>
<sst xmlns="http://schemas.openxmlformats.org/spreadsheetml/2006/main" count="1384" uniqueCount="95">
  <si>
    <t>Model</t>
  </si>
  <si>
    <t>Best Model</t>
  </si>
  <si>
    <t>TP (CS)</t>
  </si>
  <si>
    <t>FN</t>
  </si>
  <si>
    <t>FP</t>
  </si>
  <si>
    <t>TN (VD)</t>
  </si>
  <si>
    <t>Confusion Matrix</t>
  </si>
  <si>
    <t>Final Model</t>
  </si>
  <si>
    <t>ROC AUC</t>
  </si>
  <si>
    <t>Recall</t>
  </si>
  <si>
    <t>Balanced Accuracy</t>
  </si>
  <si>
    <t>F1-score</t>
  </si>
  <si>
    <t>PPV</t>
  </si>
  <si>
    <t>Matthews corrcoef</t>
  </si>
  <si>
    <t>Specificity</t>
  </si>
  <si>
    <t>NPV</t>
  </si>
  <si>
    <t>Multimodal Model 1 (MM1)</t>
  </si>
  <si>
    <t>sem seed</t>
  </si>
  <si>
    <t>MM1 Bárbara (FTTransformer + Swin Transformer)</t>
  </si>
  <si>
    <t>avg of 10 runs with 10 different seeds</t>
  </si>
  <si>
    <t>std of 10 runs with 10 different seeds</t>
  </si>
  <si>
    <t>FTTransformer + FetalCLIP</t>
  </si>
  <si>
    <t>FTTransformer + MedMamba-s (pretrained)</t>
  </si>
  <si>
    <t>FTTransformer + MedVitV2 - b (no pretrained)</t>
  </si>
  <si>
    <t>FTTransformer + MedVitV2 - b (pretrained)</t>
  </si>
  <si>
    <t>FTTransformer + MedSigLiP</t>
  </si>
  <si>
    <t>FTTransformer + MedSigLiP (finetuned)</t>
  </si>
  <si>
    <t>BEST SEEDS</t>
  </si>
  <si>
    <t>avg best seed - 21</t>
  </si>
  <si>
    <t>std best seed</t>
  </si>
  <si>
    <t>avg best seed - 10</t>
  </si>
  <si>
    <t>avg best seed - 43</t>
  </si>
  <si>
    <t>Multimodal Model</t>
  </si>
  <si>
    <t>Seed</t>
  </si>
  <si>
    <t>Tabular</t>
  </si>
  <si>
    <t>Image Subset</t>
  </si>
  <si>
    <t>cv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</si>
  <si>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</si>
  <si>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</si>
  <si>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</si>
  <si>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</si>
  <si>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TEST RESULTS ON RETROSPECTIVE DATASET</t>
  </si>
  <si>
    <t xml:space="preserve">MM1 Bárbara (TabTransformer + Swin Transformer from AutoMM) </t>
  </si>
  <si>
    <t>all (abdomen, femur, head)</t>
  </si>
  <si>
    <t>cv1</t>
  </si>
  <si>
    <t>cv2</t>
  </si>
  <si>
    <t>cv3</t>
  </si>
  <si>
    <t>average</t>
  </si>
  <si>
    <t>standard deviation</t>
  </si>
  <si>
    <t xml:space="preserve">Average </t>
  </si>
  <si>
    <t>Standard Deviation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</si>
  <si>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</si>
  <si>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</si>
  <si>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</si>
  <si>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</si>
  <si>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 FetalCLIP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</si>
  <si>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</si>
  <si>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</si>
  <si>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</si>
  <si>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</si>
  <si>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 FetalCLIP-ft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</si>
  <si>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</si>
  <si>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</si>
  <si>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</si>
  <si>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</si>
  <si>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+MedViTV2 -b (pretrained)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</si>
  <si>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</si>
  <si>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</si>
  <si>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</si>
  <si>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</si>
  <si>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</si>
  <si>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</si>
  <si>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</si>
  <si>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</si>
  <si>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+MedViTV2-b (nopretrained)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</si>
  <si>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</si>
  <si>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</si>
  <si>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</si>
  <si>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</si>
  <si>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+MedMamba-s (pretrained)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</si>
  <si>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</si>
  <si>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</si>
  <si>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</si>
  <si>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</si>
  <si>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+MedSigLiP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</si>
  <si>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</si>
  <si>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</si>
  <si>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</si>
  <si>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</si>
  <si>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+MedSigLiP (finetuning)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</si>
  <si>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</si>
  <si>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</si>
  <si>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</si>
  <si>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</si>
  <si>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TabTransformer +MedMamba-b (no pretrained)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</si>
</sst>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4" fillId="2" fontId="1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  <xf borderId="5" fillId="0" fontId="2" numFmtId="0" xfId="0" applyBorder="1" applyFont="1"/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2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bottom" wrapText="1"/>
    </xf>
    <xf borderId="6" fillId="3" fontId="1" numFmtId="0" xfId="0" applyAlignment="1" applyBorder="1" applyFont="1">
      <alignment horizontal="center" readingOrder="0" shrinkToFit="0" vertical="bottom" wrapText="1"/>
    </xf>
    <xf borderId="7" fillId="0" fontId="2" numFmtId="0" xfId="0" applyBorder="1" applyFont="1"/>
    <xf borderId="8" fillId="0" fontId="2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2" fillId="4" fontId="3" numFmtId="164" xfId="0" applyAlignment="1" applyBorder="1" applyFont="1" applyNumberFormat="1">
      <alignment horizontal="center" readingOrder="0" shrinkToFit="0" vertical="center" wrapText="1"/>
    </xf>
    <xf borderId="5" fillId="4" fontId="3" numFmtId="164" xfId="0" applyAlignment="1" applyBorder="1" applyFont="1" applyNumberFormat="1">
      <alignment horizontal="center" readingOrder="0" shrinkToFit="0" vertical="center" wrapText="1"/>
    </xf>
    <xf borderId="9" fillId="4" fontId="3" numFmtId="164" xfId="0" applyAlignment="1" applyBorder="1" applyFont="1" applyNumberFormat="1">
      <alignment horizontal="center" readingOrder="0" shrinkToFit="0" vertical="center" wrapText="1"/>
    </xf>
    <xf borderId="9" fillId="4" fontId="3" numFmtId="164" xfId="0" applyAlignment="1" applyBorder="1" applyFont="1" applyNumberFormat="1">
      <alignment horizontal="center" readingOrder="0" vertical="center"/>
    </xf>
    <xf borderId="5" fillId="4" fontId="3" numFmtId="164" xfId="0" applyAlignment="1" applyBorder="1" applyFont="1" applyNumberFormat="1">
      <alignment horizontal="center" vertical="center"/>
    </xf>
    <xf borderId="4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9" fillId="0" fontId="3" numFmtId="164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1" fillId="0" fontId="4" numFmtId="0" xfId="0" applyBorder="1" applyFont="1"/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10" fillId="0" fontId="3" numFmtId="164" xfId="0" applyAlignment="1" applyBorder="1" applyFont="1" applyNumberFormat="1">
      <alignment horizontal="center" shrinkToFit="0" vertical="center" wrapText="1"/>
    </xf>
    <xf borderId="0" fillId="0" fontId="5" numFmtId="0" xfId="0" applyFont="1"/>
    <xf borderId="0" fillId="0" fontId="4" numFmtId="164" xfId="0" applyFont="1" applyNumberFormat="1"/>
    <xf borderId="1" fillId="0" fontId="3" numFmtId="165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17" fillId="5" fontId="1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2" fillId="5" fontId="1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2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10" fillId="7" fontId="3" numFmtId="0" xfId="0" applyAlignment="1" applyBorder="1" applyFill="1" applyFont="1">
      <alignment vertical="center"/>
    </xf>
    <xf borderId="0" fillId="7" fontId="3" numFmtId="0" xfId="0" applyAlignment="1" applyFont="1">
      <alignment vertical="center"/>
    </xf>
    <xf borderId="23" fillId="7" fontId="1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5" fontId="1" numFmtId="0" xfId="0" applyAlignment="1" applyBorder="1" applyFont="1">
      <alignment horizontal="center" shrinkToFit="0" vertical="center" wrapText="1"/>
    </xf>
    <xf borderId="24" fillId="7" fontId="3" numFmtId="0" xfId="0" applyAlignment="1" applyBorder="1" applyFont="1">
      <alignment horizontal="center" shrinkToFit="0" vertical="center" wrapText="1"/>
    </xf>
    <xf borderId="29" fillId="7" fontId="3" numFmtId="0" xfId="0" applyAlignment="1" applyBorder="1" applyFont="1">
      <alignment horizontal="center" shrinkToFit="0" vertical="center" wrapText="1"/>
    </xf>
    <xf borderId="30" fillId="0" fontId="3" numFmtId="164" xfId="0" applyAlignment="1" applyBorder="1" applyFont="1" applyNumberFormat="1">
      <alignment horizontal="center" readingOrder="0" shrinkToFit="0" vertical="center" wrapText="1"/>
    </xf>
    <xf borderId="31" fillId="0" fontId="3" numFmtId="164" xfId="0" applyAlignment="1" applyBorder="1" applyFont="1" applyNumberFormat="1">
      <alignment horizontal="center" readingOrder="0" shrinkToFit="0" vertical="center" wrapText="1"/>
    </xf>
    <xf borderId="31" fillId="0" fontId="3" numFmtId="1" xfId="0" applyAlignment="1" applyBorder="1" applyFont="1" applyNumberFormat="1">
      <alignment horizontal="center" readingOrder="0" vertical="center"/>
    </xf>
    <xf borderId="32" fillId="0" fontId="3" numFmtId="165" xfId="0" applyAlignment="1" applyBorder="1" applyFont="1" applyNumberFormat="1">
      <alignment horizontal="center" shrinkToFit="0" vertical="center" wrapText="1"/>
    </xf>
    <xf borderId="33" fillId="0" fontId="3" numFmtId="164" xfId="0" applyAlignment="1" applyBorder="1" applyFont="1" applyNumberFormat="1">
      <alignment horizontal="center" readingOrder="0" shrinkToFit="0" vertical="center" wrapText="1"/>
    </xf>
    <xf borderId="28" fillId="0" fontId="3" numFmtId="164" xfId="0" applyAlignment="1" applyBorder="1" applyFont="1" applyNumberFormat="1">
      <alignment horizontal="center" readingOrder="0" shrinkToFit="0" vertical="center" wrapText="1"/>
    </xf>
    <xf borderId="33" fillId="0" fontId="3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readingOrder="0" vertical="center"/>
    </xf>
    <xf borderId="16" fillId="7" fontId="3" numFmtId="0" xfId="0" applyAlignment="1" applyBorder="1" applyFon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center" readingOrder="0" shrinkToFit="0" vertical="center" wrapText="1"/>
    </xf>
    <xf borderId="6" fillId="0" fontId="3" numFmtId="1" xfId="0" applyAlignment="1" applyBorder="1" applyFont="1" applyNumberFormat="1">
      <alignment horizontal="center" readingOrder="0" vertical="center"/>
    </xf>
    <xf borderId="35" fillId="0" fontId="3" numFmtId="165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6" fillId="0" fontId="2" numFmtId="0" xfId="0" applyBorder="1" applyFont="1"/>
    <xf borderId="6" fillId="0" fontId="3" numFmtId="1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2" fillId="6" fontId="1" numFmtId="0" xfId="0" applyAlignment="1" applyBorder="1" applyFon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22" fillId="0" fontId="3" numFmtId="165" xfId="0" applyAlignment="1" applyBorder="1" applyFont="1" applyNumberFormat="1">
      <alignment vertical="center"/>
    </xf>
    <xf borderId="13" fillId="0" fontId="1" numFmtId="164" xfId="0" applyAlignment="1" applyBorder="1" applyFont="1" applyNumberFormat="1">
      <alignment horizontal="center" shrinkToFit="0" vertical="center" wrapText="1"/>
    </xf>
    <xf borderId="12" fillId="0" fontId="1" numFmtId="164" xfId="0" applyAlignment="1" applyBorder="1" applyFont="1" applyNumberFormat="1">
      <alignment horizontal="center" shrinkToFit="0" vertical="center" wrapText="1"/>
    </xf>
    <xf borderId="37" fillId="0" fontId="2" numFmtId="0" xfId="0" applyBorder="1" applyFont="1"/>
    <xf borderId="38" fillId="6" fontId="1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0" fontId="3" numFmtId="164" xfId="0" applyAlignment="1" applyBorder="1" applyFont="1" applyNumberFormat="1">
      <alignment horizontal="center" shrinkToFit="0" vertical="center" wrapText="1"/>
    </xf>
    <xf borderId="30" fillId="7" fontId="3" numFmtId="164" xfId="0" applyAlignment="1" applyBorder="1" applyFont="1" applyNumberFormat="1">
      <alignment horizontal="center" readingOrder="0" shrinkToFit="0" vertical="center" wrapText="1"/>
    </xf>
    <xf borderId="31" fillId="7" fontId="3" numFmtId="164" xfId="0" applyAlignment="1" applyBorder="1" applyFont="1" applyNumberFormat="1">
      <alignment horizontal="center" readingOrder="0" shrinkToFit="0" vertical="center" wrapText="1"/>
    </xf>
    <xf borderId="31" fillId="7" fontId="3" numFmtId="1" xfId="0" applyAlignment="1" applyBorder="1" applyFont="1" applyNumberFormat="1">
      <alignment horizontal="center" readingOrder="0" vertical="center"/>
    </xf>
    <xf borderId="32" fillId="7" fontId="3" numFmtId="165" xfId="0" applyAlignment="1" applyBorder="1" applyFont="1" applyNumberFormat="1">
      <alignment horizontal="center" shrinkToFit="0" vertical="center" wrapText="1"/>
    </xf>
    <xf borderId="33" fillId="7" fontId="3" numFmtId="164" xfId="0" applyAlignment="1" applyBorder="1" applyFont="1" applyNumberFormat="1">
      <alignment horizontal="center" readingOrder="0" shrinkToFit="0" vertical="center" wrapText="1"/>
    </xf>
    <xf borderId="28" fillId="7" fontId="3" numFmtId="164" xfId="0" applyAlignment="1" applyBorder="1" applyFont="1" applyNumberFormat="1">
      <alignment horizontal="center" readingOrder="0" shrinkToFit="0" vertical="center" wrapText="1"/>
    </xf>
    <xf borderId="33" fillId="7" fontId="3" numFmtId="0" xfId="0" applyAlignment="1" applyBorder="1" applyFont="1">
      <alignment horizontal="center" readingOrder="0" vertical="center"/>
    </xf>
    <xf borderId="28" fillId="7" fontId="3" numFmtId="0" xfId="0" applyAlignment="1" applyBorder="1" applyFont="1">
      <alignment horizontal="center" readingOrder="0" vertical="center"/>
    </xf>
    <xf borderId="34" fillId="7" fontId="3" numFmtId="0" xfId="0" applyAlignment="1" applyBorder="1" applyFont="1">
      <alignment horizontal="center" readingOrder="0" vertical="center"/>
    </xf>
    <xf borderId="13" fillId="8" fontId="3" numFmtId="164" xfId="0" applyAlignment="1" applyBorder="1" applyFill="1" applyFont="1" applyNumberFormat="1">
      <alignment horizontal="center" readingOrder="0" shrinkToFit="0" vertical="center" wrapText="1"/>
    </xf>
    <xf borderId="6" fillId="8" fontId="3" numFmtId="164" xfId="0" applyAlignment="1" applyBorder="1" applyFont="1" applyNumberFormat="1">
      <alignment horizontal="center" readingOrder="0" shrinkToFit="0" vertical="center" wrapText="1"/>
    </xf>
    <xf borderId="6" fillId="8" fontId="3" numFmtId="1" xfId="0" applyAlignment="1" applyBorder="1" applyFont="1" applyNumberFormat="1">
      <alignment horizontal="center" readingOrder="0" vertical="center"/>
    </xf>
    <xf borderId="35" fillId="8" fontId="3" numFmtId="165" xfId="0" applyAlignment="1" applyBorder="1" applyFont="1" applyNumberFormat="1">
      <alignment horizontal="center" shrinkToFit="0" vertical="center" wrapText="1"/>
    </xf>
    <xf borderId="4" fillId="8" fontId="3" numFmtId="164" xfId="0" applyAlignment="1" applyBorder="1" applyFont="1" applyNumberFormat="1">
      <alignment horizontal="center" readingOrder="0" shrinkToFit="0" vertical="center" wrapText="1"/>
    </xf>
    <xf borderId="1" fillId="8" fontId="3" numFmtId="164" xfId="0" applyAlignment="1" applyBorder="1" applyFont="1" applyNumberForma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2" fillId="8" fontId="3" numFmtId="0" xfId="0" applyAlignment="1" applyBorder="1" applyFont="1">
      <alignment horizontal="center" readingOrder="0" vertical="center"/>
    </xf>
    <xf borderId="13" fillId="7" fontId="3" numFmtId="164" xfId="0" applyAlignment="1" applyBorder="1" applyFont="1" applyNumberFormat="1">
      <alignment horizontal="center" readingOrder="0" shrinkToFit="0" vertical="center" wrapText="1"/>
    </xf>
    <xf borderId="6" fillId="7" fontId="3" numFmtId="164" xfId="0" applyAlignment="1" applyBorder="1" applyFont="1" applyNumberFormat="1">
      <alignment horizontal="center" readingOrder="0" shrinkToFit="0" vertical="center" wrapText="1"/>
    </xf>
    <xf borderId="6" fillId="7" fontId="3" numFmtId="1" xfId="0" applyAlignment="1" applyBorder="1" applyFont="1" applyNumberFormat="1">
      <alignment horizontal="center" readingOrder="0" shrinkToFit="0" vertical="center" wrapText="1"/>
    </xf>
    <xf borderId="35" fillId="7" fontId="3" numFmtId="165" xfId="0" applyAlignment="1" applyBorder="1" applyFont="1" applyNumberFormat="1">
      <alignment horizontal="center" shrinkToFit="0" vertical="center" wrapText="1"/>
    </xf>
    <xf borderId="4" fillId="7" fontId="3" numFmtId="164" xfId="0" applyAlignment="1" applyBorder="1" applyFont="1" applyNumberFormat="1">
      <alignment horizontal="center" readingOrder="0" shrinkToFit="0" vertical="center" wrapText="1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readingOrder="0" shrinkToFit="0" vertical="center" wrapText="1"/>
    </xf>
    <xf borderId="13" fillId="8" fontId="1" numFmtId="164" xfId="0" applyAlignment="1" applyBorder="1" applyFont="1" applyNumberFormat="1">
      <alignment horizontal="center" shrinkToFit="0" vertical="center" wrapText="1"/>
    </xf>
    <xf borderId="22" fillId="8" fontId="3" numFmtId="165" xfId="0" applyAlignment="1" applyBorder="1" applyFont="1" applyNumberFormat="1">
      <alignment vertical="center"/>
    </xf>
    <xf borderId="12" fillId="8" fontId="1" numFmtId="164" xfId="0" applyAlignment="1" applyBorder="1" applyFont="1" applyNumberFormat="1">
      <alignment horizontal="center" shrinkToFit="0" vertical="center" wrapText="1"/>
    </xf>
    <xf borderId="40" fillId="7" fontId="3" numFmtId="164" xfId="0" applyAlignment="1" applyBorder="1" applyFont="1" applyNumberFormat="1">
      <alignment horizontal="center" shrinkToFit="0" vertical="center" wrapText="1"/>
    </xf>
    <xf borderId="41" fillId="7" fontId="2" numFmtId="0" xfId="0" applyBorder="1" applyFont="1"/>
    <xf borderId="38" fillId="7" fontId="3" numFmtId="164" xfId="0" applyAlignment="1" applyBorder="1" applyFont="1" applyNumberForma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4" fillId="9" fontId="1" numFmtId="164" xfId="0" applyAlignment="1" applyBorder="1" applyFill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13" fillId="9" fontId="1" numFmtId="164" xfId="0" applyAlignment="1" applyBorder="1" applyFont="1" applyNumberFormat="1">
      <alignment horizontal="center" shrinkToFit="0" vertical="center" wrapText="1"/>
    </xf>
    <xf borderId="12" fillId="0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" fillId="7" fontId="3" numFmtId="164" xfId="0" applyAlignment="1" applyBorder="1" applyFont="1" applyNumberFormat="1">
      <alignment horizontal="center" shrinkToFit="0" vertical="center" wrapText="1"/>
    </xf>
    <xf borderId="23" fillId="10" fontId="5" numFmtId="0" xfId="0" applyAlignment="1" applyBorder="1" applyFill="1" applyFont="1">
      <alignment horizontal="center" readingOrder="0" vertical="center"/>
    </xf>
    <xf borderId="33" fillId="8" fontId="3" numFmtId="164" xfId="0" applyAlignment="1" applyBorder="1" applyFont="1" applyNumberFormat="1">
      <alignment horizontal="center" shrinkToFit="0" vertical="center" wrapText="1"/>
    </xf>
    <xf borderId="33" fillId="8" fontId="3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0" fillId="0" fontId="4" numFmtId="0" xfId="0" applyAlignment="1" applyFont="1">
      <alignment horizontal="center" vertical="center"/>
    </xf>
    <xf borderId="28" fillId="5" fontId="1" numFmtId="0" xfId="0" applyAlignment="1" applyBorder="1" applyFont="1">
      <alignment horizontal="center" readingOrder="0" shrinkToFit="0" vertical="center" wrapText="1"/>
    </xf>
    <xf borderId="30" fillId="7" fontId="3" numFmtId="164" xfId="0" applyAlignment="1" applyBorder="1" applyFont="1" applyNumberFormat="1">
      <alignment horizontal="center" readingOrder="0" shrinkToFit="0" vertical="center" wrapText="1"/>
    </xf>
    <xf borderId="31" fillId="7" fontId="3" numFmtId="164" xfId="0" applyAlignment="1" applyBorder="1" applyFont="1" applyNumberFormat="1">
      <alignment horizontal="center" readingOrder="0" shrinkToFit="0" vertical="center" wrapText="1"/>
    </xf>
    <xf borderId="31" fillId="7" fontId="3" numFmtId="1" xfId="0" applyAlignment="1" applyBorder="1" applyFont="1" applyNumberFormat="1">
      <alignment horizontal="center" readingOrder="0" vertical="center"/>
    </xf>
    <xf borderId="32" fillId="7" fontId="3" numFmtId="165" xfId="0" applyAlignment="1" applyBorder="1" applyFont="1" applyNumberFormat="1">
      <alignment horizontal="center" shrinkToFit="0" vertical="center" wrapText="1"/>
    </xf>
    <xf borderId="33" fillId="7" fontId="3" numFmtId="164" xfId="0" applyAlignment="1" applyBorder="1" applyFont="1" applyNumberFormat="1">
      <alignment horizontal="center" readingOrder="0" shrinkToFit="0" vertical="center" wrapText="1"/>
    </xf>
    <xf borderId="28" fillId="7" fontId="3" numFmtId="164" xfId="0" applyAlignment="1" applyBorder="1" applyFont="1" applyNumberFormat="1">
      <alignment horizontal="center" readingOrder="0" shrinkToFit="0" vertical="center" wrapText="1"/>
    </xf>
    <xf borderId="33" fillId="7" fontId="3" numFmtId="0" xfId="0" applyAlignment="1" applyBorder="1" applyFont="1">
      <alignment horizontal="center" readingOrder="0" vertical="center"/>
    </xf>
    <xf borderId="28" fillId="7" fontId="3" numFmtId="0" xfId="0" applyAlignment="1" applyBorder="1" applyFont="1">
      <alignment horizontal="center" readingOrder="0" vertical="center"/>
    </xf>
    <xf borderId="34" fillId="7" fontId="3" numFmtId="0" xfId="0" applyAlignment="1" applyBorder="1" applyFont="1">
      <alignment horizontal="center" readingOrder="0" vertical="center"/>
    </xf>
    <xf borderId="13" fillId="8" fontId="3" numFmtId="164" xfId="0" applyAlignment="1" applyBorder="1" applyFont="1" applyNumberFormat="1">
      <alignment horizontal="center" readingOrder="0" shrinkToFit="0" vertical="center" wrapText="1"/>
    </xf>
    <xf borderId="6" fillId="8" fontId="3" numFmtId="164" xfId="0" applyAlignment="1" applyBorder="1" applyFont="1" applyNumberFormat="1">
      <alignment horizontal="center" readingOrder="0" shrinkToFit="0" vertical="center" wrapText="1"/>
    </xf>
    <xf borderId="6" fillId="8" fontId="3" numFmtId="1" xfId="0" applyAlignment="1" applyBorder="1" applyFont="1" applyNumberFormat="1">
      <alignment horizontal="center" readingOrder="0" vertical="center"/>
    </xf>
    <xf borderId="35" fillId="8" fontId="3" numFmtId="165" xfId="0" applyAlignment="1" applyBorder="1" applyFont="1" applyNumberFormat="1">
      <alignment horizontal="center" shrinkToFit="0" vertical="center" wrapText="1"/>
    </xf>
    <xf borderId="4" fillId="8" fontId="3" numFmtId="164" xfId="0" applyAlignment="1" applyBorder="1" applyFont="1" applyNumberFormat="1">
      <alignment horizontal="center" readingOrder="0" shrinkToFit="0" vertical="center" wrapText="1"/>
    </xf>
    <xf borderId="1" fillId="8" fontId="3" numFmtId="164" xfId="0" applyAlignment="1" applyBorder="1" applyFont="1" applyNumberForma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2" fillId="8" fontId="3" numFmtId="0" xfId="0" applyAlignment="1" applyBorder="1" applyFont="1">
      <alignment horizontal="center" readingOrder="0" vertical="center"/>
    </xf>
    <xf borderId="13" fillId="7" fontId="3" numFmtId="164" xfId="0" applyAlignment="1" applyBorder="1" applyFont="1" applyNumberFormat="1">
      <alignment horizontal="center" readingOrder="0" shrinkToFit="0" vertical="center" wrapText="1"/>
    </xf>
    <xf borderId="6" fillId="7" fontId="3" numFmtId="164" xfId="0" applyAlignment="1" applyBorder="1" applyFont="1" applyNumberFormat="1">
      <alignment horizontal="center" readingOrder="0" shrinkToFit="0" vertical="center" wrapText="1"/>
    </xf>
    <xf borderId="6" fillId="7" fontId="3" numFmtId="1" xfId="0" applyAlignment="1" applyBorder="1" applyFont="1" applyNumberFormat="1">
      <alignment horizontal="center" readingOrder="0" shrinkToFit="0" vertical="center" wrapText="1"/>
    </xf>
    <xf borderId="35" fillId="7" fontId="3" numFmtId="165" xfId="0" applyAlignment="1" applyBorder="1" applyFont="1" applyNumberFormat="1">
      <alignment horizontal="center" shrinkToFit="0" vertical="center" wrapText="1"/>
    </xf>
    <xf borderId="4" fillId="7" fontId="3" numFmtId="164" xfId="0" applyAlignment="1" applyBorder="1" applyFont="1" applyNumberFormat="1">
      <alignment horizontal="center" readingOrder="0" shrinkToFit="0" vertical="center" wrapText="1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readingOrder="0" shrinkToFit="0" vertical="center" wrapText="1"/>
    </xf>
    <xf borderId="13" fillId="8" fontId="1" numFmtId="164" xfId="0" applyAlignment="1" applyBorder="1" applyFont="1" applyNumberFormat="1">
      <alignment horizontal="center" shrinkToFit="0" vertical="center" wrapText="1"/>
    </xf>
    <xf borderId="22" fillId="8" fontId="3" numFmtId="165" xfId="0" applyAlignment="1" applyBorder="1" applyFont="1" applyNumberFormat="1">
      <alignment vertical="center"/>
    </xf>
    <xf borderId="12" fillId="8" fontId="1" numFmtId="164" xfId="0" applyAlignment="1" applyBorder="1" applyFont="1" applyNumberFormat="1">
      <alignment horizontal="center" shrinkToFit="0" vertical="center" wrapText="1"/>
    </xf>
    <xf borderId="40" fillId="7" fontId="3" numFmtId="164" xfId="0" applyAlignment="1" applyBorder="1" applyFont="1" applyNumberFormat="1">
      <alignment horizontal="center" shrinkToFit="0" vertical="center" wrapText="1"/>
    </xf>
    <xf borderId="16" fillId="7" fontId="3" numFmtId="0" xfId="0" applyAlignment="1" applyBorder="1" applyFont="1">
      <alignment horizontal="center" readingOrder="0" shrinkToFit="0" vertical="center" wrapText="1"/>
    </xf>
    <xf borderId="33" fillId="7" fontId="3" numFmtId="1" xfId="0" applyAlignment="1" applyBorder="1" applyFont="1" applyNumberFormat="1">
      <alignment horizontal="center"/>
    </xf>
    <xf borderId="28" fillId="7" fontId="3" numFmtId="1" xfId="0" applyAlignment="1" applyBorder="1" applyFont="1" applyNumberFormat="1">
      <alignment horizontal="center"/>
    </xf>
    <xf borderId="34" fillId="7" fontId="3" numFmtId="1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8">
    <tableStyle count="2" pivot="0" name="Swin-style">
      <tableStyleElement dxfId="2" type="firstRowStripe"/>
      <tableStyleElement dxfId="3" type="secondRowStripe"/>
    </tableStyle>
    <tableStyle count="2" pivot="0" name="Swin-style 2">
      <tableStyleElement dxfId="2" type="firstRowStripe"/>
      <tableStyleElement dxfId="3" type="secondRowStripe"/>
    </tableStyle>
    <tableStyle count="2" pivot="0" name="Swin-style 3">
      <tableStyleElement dxfId="2" type="firstRowStripe"/>
      <tableStyleElement dxfId="3" type="secondRowStripe"/>
    </tableStyle>
    <tableStyle count="2" pivot="0" name="Swin-style 4">
      <tableStyleElement dxfId="2" type="firstRowStripe"/>
      <tableStyleElement dxfId="3" type="secondRowStripe"/>
    </tableStyle>
    <tableStyle count="2" pivot="0" name="Swin-style 5">
      <tableStyleElement dxfId="2" type="firstRowStripe"/>
      <tableStyleElement dxfId="3" type="secondRowStripe"/>
    </tableStyle>
    <tableStyle count="2" pivot="0" name="Swin-style 6">
      <tableStyleElement dxfId="2" type="firstRowStripe"/>
      <tableStyleElement dxfId="3" type="secondRowStripe"/>
    </tableStyle>
    <tableStyle count="2" pivot="0" name="Swin-style 7">
      <tableStyleElement dxfId="2" type="firstRowStripe"/>
      <tableStyleElement dxfId="3" type="secondRowStripe"/>
    </tableStyle>
    <tableStyle count="2" pivot="0" name="FetalCLIP-style">
      <tableStyleElement dxfId="2" type="firstRowStripe"/>
      <tableStyleElement dxfId="3" type="secondRowStripe"/>
    </tableStyle>
    <tableStyle count="2" pivot="0" name="FetalCLIP-style 2">
      <tableStyleElement dxfId="2" type="firstRowStripe"/>
      <tableStyleElement dxfId="3" type="secondRowStripe"/>
    </tableStyle>
    <tableStyle count="2" pivot="0" name="FetalCLIP-style 3">
      <tableStyleElement dxfId="2" type="firstRowStripe"/>
      <tableStyleElement dxfId="3" type="secondRowStripe"/>
    </tableStyle>
    <tableStyle count="2" pivot="0" name="FetalCLIP-style 4">
      <tableStyleElement dxfId="2" type="firstRowStripe"/>
      <tableStyleElement dxfId="3" type="secondRowStripe"/>
    </tableStyle>
    <tableStyle count="2" pivot="0" name="FetalCLIP-style 5">
      <tableStyleElement dxfId="2" type="firstRowStripe"/>
      <tableStyleElement dxfId="3" type="secondRowStripe"/>
    </tableStyle>
    <tableStyle count="2" pivot="0" name="FetalCLIP-style 6">
      <tableStyleElement dxfId="2" type="firstRowStripe"/>
      <tableStyleElement dxfId="3" type="secondRowStripe"/>
    </tableStyle>
    <tableStyle count="2" pivot="0" name="FetalCLIP-style 7">
      <tableStyleElement dxfId="2" type="firstRowStripe"/>
      <tableStyleElement dxfId="3" type="secondRowStripe"/>
    </tableStyle>
    <tableStyle count="2" pivot="0" name="FetalCLIP-style 8">
      <tableStyleElement dxfId="2" type="firstRowStripe"/>
      <tableStyleElement dxfId="3" type="secondRowStripe"/>
    </tableStyle>
    <tableStyle count="2" pivot="0" name="FetalCLIP-style 9">
      <tableStyleElement dxfId="2" type="firstRowStripe"/>
      <tableStyleElement dxfId="3" type="secondRowStripe"/>
    </tableStyle>
    <tableStyle count="2" pivot="0" name="FetalCLIP-ft-style">
      <tableStyleElement dxfId="2" type="firstRowStripe"/>
      <tableStyleElement dxfId="3" type="secondRowStripe"/>
    </tableStyle>
    <tableStyle count="2" pivot="0" name="FetalCLIP-ft-style 2">
      <tableStyleElement dxfId="2" type="firstRowStripe"/>
      <tableStyleElement dxfId="3" type="secondRowStripe"/>
    </tableStyle>
    <tableStyle count="2" pivot="0" name="FetalCLIP-ft-style 3">
      <tableStyleElement dxfId="2" type="firstRowStripe"/>
      <tableStyleElement dxfId="3" type="secondRowStripe"/>
    </tableStyle>
    <tableStyle count="2" pivot="0" name="FetalCLIP-ft-style 4">
      <tableStyleElement dxfId="2" type="firstRowStripe"/>
      <tableStyleElement dxfId="3" type="secondRowStripe"/>
    </tableStyle>
    <tableStyle count="2" pivot="0" name="FetalCLIP-ft-style 5">
      <tableStyleElement dxfId="2" type="firstRowStripe"/>
      <tableStyleElement dxfId="3" type="secondRowStripe"/>
    </tableStyle>
    <tableStyle count="2" pivot="0" name="FetalCLIP-ft-style 6">
      <tableStyleElement dxfId="2" type="firstRowStripe"/>
      <tableStyleElement dxfId="3" type="secondRowStripe"/>
    </tableStyle>
    <tableStyle count="2" pivot="0" name="FetalCLIP-ft-style 7">
      <tableStyleElement dxfId="2" type="firstRowStripe"/>
      <tableStyleElement dxfId="3" type="secondRowStripe"/>
    </tableStyle>
    <tableStyle count="2" pivot="0" name="FetalCLIP-ft-style 8">
      <tableStyleElement dxfId="2" type="firstRowStripe"/>
      <tableStyleElement dxfId="3" type="secondRowStripe"/>
    </tableStyle>
    <tableStyle count="2" pivot="0" name="FetalCLIP-ft-style 9">
      <tableStyleElement dxfId="2" type="firstRowStripe"/>
      <tableStyleElement dxfId="3" type="secondRowStripe"/>
    </tableStyle>
    <tableStyle count="2" pivot="0" name="MedVitV2-b-pt-style">
      <tableStyleElement dxfId="2" type="firstRowStripe"/>
      <tableStyleElement dxfId="3" type="secondRowStripe"/>
    </tableStyle>
    <tableStyle count="2" pivot="0" name="MedVitV2-b-pt-style 2">
      <tableStyleElement dxfId="2" type="firstRowStripe"/>
      <tableStyleElement dxfId="3" type="secondRowStripe"/>
    </tableStyle>
    <tableStyle count="2" pivot="0" name="MedVitV2-b-pt-style 3">
      <tableStyleElement dxfId="2" type="firstRowStripe"/>
      <tableStyleElement dxfId="3" type="secondRowStripe"/>
    </tableStyle>
    <tableStyle count="2" pivot="0" name="MedVitV2-b-pt-style 4">
      <tableStyleElement dxfId="2" type="firstRowStripe"/>
      <tableStyleElement dxfId="3" type="secondRowStripe"/>
    </tableStyle>
    <tableStyle count="2" pivot="0" name="MedVitV2-b-pt-style 5">
      <tableStyleElement dxfId="2" type="firstRowStripe"/>
      <tableStyleElement dxfId="3" type="secondRowStripe"/>
    </tableStyle>
    <tableStyle count="2" pivot="0" name="MedVitV2-b-pt-style 6">
      <tableStyleElement dxfId="2" type="firstRowStripe"/>
      <tableStyleElement dxfId="3" type="secondRowStripe"/>
    </tableStyle>
    <tableStyle count="2" pivot="0" name="MedVitV2-b-pt-style 7">
      <tableStyleElement dxfId="2" type="firstRowStripe"/>
      <tableStyleElement dxfId="3" type="secondRowStripe"/>
    </tableStyle>
    <tableStyle count="2" pivot="0" name="MedVitV2-b-pt-style 8">
      <tableStyleElement dxfId="2" type="firstRowStripe"/>
      <tableStyleElement dxfId="3" type="secondRowStripe"/>
    </tableStyle>
    <tableStyle count="2" pivot="0" name="MedVitV2-b-pt-style 9">
      <tableStyleElement dxfId="2" type="firstRowStripe"/>
      <tableStyleElement dxfId="3" type="secondRowStripe"/>
    </tableStyle>
    <tableStyle count="2" pivot="0" name="Cópia de MedVitV2-b-pt-style">
      <tableStyleElement dxfId="2" type="firstRowStripe"/>
      <tableStyleElement dxfId="3" type="secondRowStripe"/>
    </tableStyle>
    <tableStyle count="2" pivot="0" name="Cópia de MedVitV2-b-pt-style 2">
      <tableStyleElement dxfId="2" type="firstRowStripe"/>
      <tableStyleElement dxfId="3" type="secondRowStripe"/>
    </tableStyle>
    <tableStyle count="2" pivot="0" name="Cópia de MedVitV2-b-pt-style 3">
      <tableStyleElement dxfId="2" type="firstRowStripe"/>
      <tableStyleElement dxfId="3" type="secondRowStripe"/>
    </tableStyle>
    <tableStyle count="2" pivot="0" name="Cópia de MedVitV2-b-pt-style 4">
      <tableStyleElement dxfId="2" type="firstRowStripe"/>
      <tableStyleElement dxfId="3" type="secondRowStripe"/>
    </tableStyle>
    <tableStyle count="2" pivot="0" name="Cópia de MedVitV2-b-pt-style 5">
      <tableStyleElement dxfId="2" type="firstRowStripe"/>
      <tableStyleElement dxfId="3" type="secondRowStripe"/>
    </tableStyle>
    <tableStyle count="2" pivot="0" name="Cópia de MedVitV2-b-pt-style 6">
      <tableStyleElement dxfId="2" type="firstRowStripe"/>
      <tableStyleElement dxfId="3" type="secondRowStripe"/>
    </tableStyle>
    <tableStyle count="2" pivot="0" name="Cópia de MedVitV2-b-pt-style 7">
      <tableStyleElement dxfId="2" type="firstRowStripe"/>
      <tableStyleElement dxfId="3" type="secondRowStripe"/>
    </tableStyle>
    <tableStyle count="2" pivot="0" name="Cópia de MedVitV2-b-pt-style 8">
      <tableStyleElement dxfId="2" type="firstRowStripe"/>
      <tableStyleElement dxfId="3" type="secondRowStripe"/>
    </tableStyle>
    <tableStyle count="2" pivot="0" name="Cópia de MedVitV2-b-pt-style 9">
      <tableStyleElement dxfId="2" type="firstRowStripe"/>
      <tableStyleElement dxfId="3" type="secondRowStripe"/>
    </tableStyle>
    <tableStyle count="2" pivot="0" name="MedVitV2-b-nopt-style">
      <tableStyleElement dxfId="2" type="firstRowStripe"/>
      <tableStyleElement dxfId="3" type="secondRowStripe"/>
    </tableStyle>
    <tableStyle count="2" pivot="0" name="MedVitV2-b-nopt-style 2">
      <tableStyleElement dxfId="2" type="firstRowStripe"/>
      <tableStyleElement dxfId="3" type="secondRowStripe"/>
    </tableStyle>
    <tableStyle count="2" pivot="0" name="MedVitV2-b-nopt-style 3">
      <tableStyleElement dxfId="2" type="firstRowStripe"/>
      <tableStyleElement dxfId="3" type="secondRowStripe"/>
    </tableStyle>
    <tableStyle count="2" pivot="0" name="MedVitV2-b-nopt-style 4">
      <tableStyleElement dxfId="2" type="firstRowStripe"/>
      <tableStyleElement dxfId="3" type="secondRowStripe"/>
    </tableStyle>
    <tableStyle count="2" pivot="0" name="MedVitV2-b-nopt-style 5">
      <tableStyleElement dxfId="2" type="firstRowStripe"/>
      <tableStyleElement dxfId="3" type="secondRowStripe"/>
    </tableStyle>
    <tableStyle count="2" pivot="0" name="MedVitV2-b-nopt-style 6">
      <tableStyleElement dxfId="2" type="firstRowStripe"/>
      <tableStyleElement dxfId="3" type="secondRowStripe"/>
    </tableStyle>
    <tableStyle count="2" pivot="0" name="MedVitV2-b-nopt-style 7">
      <tableStyleElement dxfId="2" type="firstRowStripe"/>
      <tableStyleElement dxfId="3" type="secondRowStripe"/>
    </tableStyle>
    <tableStyle count="2" pivot="0" name="MedVitV2-b-nopt-style 8">
      <tableStyleElement dxfId="2" type="firstRowStripe"/>
      <tableStyleElement dxfId="3" type="secondRowStripe"/>
    </tableStyle>
    <tableStyle count="2" pivot="0" name="MedVitV2-b-nopt-style 9">
      <tableStyleElement dxfId="2" type="firstRowStripe"/>
      <tableStyleElement dxfId="3" type="secondRowStripe"/>
    </tableStyle>
    <tableStyle count="2" pivot="0" name="MedMamba-s-style">
      <tableStyleElement dxfId="2" type="firstRowStripe"/>
      <tableStyleElement dxfId="3" type="secondRowStripe"/>
    </tableStyle>
    <tableStyle count="2" pivot="0" name="MedMamba-s-style 2">
      <tableStyleElement dxfId="2" type="firstRowStripe"/>
      <tableStyleElement dxfId="3" type="secondRowStripe"/>
    </tableStyle>
    <tableStyle count="2" pivot="0" name="MedMamba-s-style 3">
      <tableStyleElement dxfId="2" type="firstRowStripe"/>
      <tableStyleElement dxfId="3" type="secondRowStripe"/>
    </tableStyle>
    <tableStyle count="2" pivot="0" name="MedMamba-s-style 4">
      <tableStyleElement dxfId="2" type="firstRowStripe"/>
      <tableStyleElement dxfId="3" type="secondRowStripe"/>
    </tableStyle>
    <tableStyle count="2" pivot="0" name="MedMamba-s-style 5">
      <tableStyleElement dxfId="2" type="firstRowStripe"/>
      <tableStyleElement dxfId="3" type="secondRowStripe"/>
    </tableStyle>
    <tableStyle count="2" pivot="0" name="MedMamba-s-style 6">
      <tableStyleElement dxfId="2" type="firstRowStripe"/>
      <tableStyleElement dxfId="3" type="secondRowStripe"/>
    </tableStyle>
    <tableStyle count="2" pivot="0" name="MedMamba-s-style 7">
      <tableStyleElement dxfId="2" type="firstRowStripe"/>
      <tableStyleElement dxfId="3" type="secondRowStripe"/>
    </tableStyle>
    <tableStyle count="2" pivot="0" name="MedMamba-s-style 8">
      <tableStyleElement dxfId="2" type="firstRowStripe"/>
      <tableStyleElement dxfId="3" type="secondRowStripe"/>
    </tableStyle>
    <tableStyle count="2" pivot="0" name="MedMamba-s-style 9">
      <tableStyleElement dxfId="2" type="firstRowStripe"/>
      <tableStyleElement dxfId="3" type="secondRowStripe"/>
    </tableStyle>
    <tableStyle count="2" pivot="0" name="MedSigLiP-style">
      <tableStyleElement dxfId="2" type="firstRowStripe"/>
      <tableStyleElement dxfId="3" type="secondRowStripe"/>
    </tableStyle>
    <tableStyle count="2" pivot="0" name="MedSigLiP-style 2">
      <tableStyleElement dxfId="2" type="firstRowStripe"/>
      <tableStyleElement dxfId="3" type="secondRowStripe"/>
    </tableStyle>
    <tableStyle count="2" pivot="0" name="MedSigLiP-style 3">
      <tableStyleElement dxfId="2" type="firstRowStripe"/>
      <tableStyleElement dxfId="3" type="secondRowStripe"/>
    </tableStyle>
    <tableStyle count="2" pivot="0" name="MedSigLiP-style 4">
      <tableStyleElement dxfId="2" type="firstRowStripe"/>
      <tableStyleElement dxfId="3" type="secondRowStripe"/>
    </tableStyle>
    <tableStyle count="2" pivot="0" name="MedSigLiP-style 5">
      <tableStyleElement dxfId="2" type="firstRowStripe"/>
      <tableStyleElement dxfId="3" type="secondRowStripe"/>
    </tableStyle>
    <tableStyle count="2" pivot="0" name="MedSigLiP-style 6">
      <tableStyleElement dxfId="2" type="firstRowStripe"/>
      <tableStyleElement dxfId="3" type="secondRowStripe"/>
    </tableStyle>
    <tableStyle count="2" pivot="0" name="MedSigLiP-style 7">
      <tableStyleElement dxfId="2" type="firstRowStripe"/>
      <tableStyleElement dxfId="3" type="secondRowStripe"/>
    </tableStyle>
    <tableStyle count="2" pivot="0" name="MedSigLiP-style 8">
      <tableStyleElement dxfId="2" type="firstRowStripe"/>
      <tableStyleElement dxfId="3" type="secondRowStripe"/>
    </tableStyle>
    <tableStyle count="2" pivot="0" name="MedSigLiP-style 9">
      <tableStyleElement dxfId="2" type="firstRowStripe"/>
      <tableStyleElement dxfId="3" type="secondRowStripe"/>
    </tableStyle>
    <tableStyle count="2" pivot="0" name="MedSigLiP-finetuing-style">
      <tableStyleElement dxfId="2" type="firstRowStripe"/>
      <tableStyleElement dxfId="3" type="secondRowStripe"/>
    </tableStyle>
    <tableStyle count="2" pivot="0" name="MedSigLiP-finetuing-style 2">
      <tableStyleElement dxfId="2" type="firstRowStripe"/>
      <tableStyleElement dxfId="3" type="secondRowStripe"/>
    </tableStyle>
    <tableStyle count="2" pivot="0" name="MedSigLiP-finetuing-style 3">
      <tableStyleElement dxfId="2" type="firstRowStripe"/>
      <tableStyleElement dxfId="3" type="secondRowStripe"/>
    </tableStyle>
    <tableStyle count="2" pivot="0" name="MedSigLiP-finetuing-style 4">
      <tableStyleElement dxfId="2" type="firstRowStripe"/>
      <tableStyleElement dxfId="3" type="secondRowStripe"/>
    </tableStyle>
    <tableStyle count="2" pivot="0" name="MedSigLiP-finetuing-style 5">
      <tableStyleElement dxfId="2" type="firstRowStripe"/>
      <tableStyleElement dxfId="3" type="secondRowStripe"/>
    </tableStyle>
    <tableStyle count="2" pivot="0" name="MedSigLiP-finetuing-style 6">
      <tableStyleElement dxfId="2" type="firstRowStripe"/>
      <tableStyleElement dxfId="3" type="secondRowStripe"/>
    </tableStyle>
    <tableStyle count="2" pivot="0" name="MedSigLiP-finetuing-style 7">
      <tableStyleElement dxfId="2" type="firstRowStripe"/>
      <tableStyleElement dxfId="3" type="secondRowStripe"/>
    </tableStyle>
    <tableStyle count="2" pivot="0" name="MedSigLiP-finetuing-style 8">
      <tableStyleElement dxfId="2" type="firstRowStripe"/>
      <tableStyleElement dxfId="3" type="secondRowStripe"/>
    </tableStyle>
    <tableStyle count="2" pivot="0" name="MedSigLiP-finetuing-style 9">
      <tableStyleElement dxfId="2" type="firstRowStripe"/>
      <tableStyleElement dxfId="3" type="secondRowStripe"/>
    </tableStyle>
    <tableStyle count="2" pivot="0" name="MedMamba-b-style">
      <tableStyleElement dxfId="2" type="firstRowStripe"/>
      <tableStyleElement dxfId="3" type="secondRowStripe"/>
    </tableStyle>
    <tableStyle count="2" pivot="0" name="MedMamba-b-style 2">
      <tableStyleElement dxfId="2" type="firstRowStripe"/>
      <tableStyleElement dxfId="3" type="secondRowStripe"/>
    </tableStyle>
    <tableStyle count="2" pivot="0" name="MedMamba-b-style 3">
      <tableStyleElement dxfId="2" type="firstRowStripe"/>
      <tableStyleElement dxfId="3" type="secondRowStripe"/>
    </tableStyle>
    <tableStyle count="2" pivot="0" name="MedMamba-b-style 4">
      <tableStyleElement dxfId="2" type="firstRowStripe"/>
      <tableStyleElement dxfId="3" type="secondRowStripe"/>
    </tableStyle>
    <tableStyle count="2" pivot="0" name="MedMamba-b-style 5">
      <tableStyleElement dxfId="2" type="firstRowStripe"/>
      <tableStyleElement dxfId="3" type="secondRowStripe"/>
    </tableStyle>
    <tableStyle count="2" pivot="0" name="MedMamba-b-style 6">
      <tableStyleElement dxfId="2" type="firstRowStripe"/>
      <tableStyleElement dxfId="3" type="secondRowStripe"/>
    </tableStyle>
    <tableStyle count="2" pivot="0" name="MedMamba-b-style 7">
      <tableStyleElement dxfId="2" type="firstRowStripe"/>
      <tableStyleElement dxfId="3" type="secondRowStripe"/>
    </tableStyle>
    <tableStyle count="2" pivot="0" name="MedMamba-b-style 8">
      <tableStyleElement dxfId="2" type="firstRowStripe"/>
      <tableStyleElement dxfId="3" type="secondRowStripe"/>
    </tableStyle>
    <tableStyle count="2" pivot="0" name="MedMamba-b-style 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5:AD9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" showColumnStripes="0" showFirstColumn="1" showLastColumn="1" showRowStripes="1"/>
</table>
</file>

<file path=xl/tables/table2.xml><?xml version="1.0" encoding="utf-8"?>
<table xmlns="http://schemas.openxmlformats.org/spreadsheetml/2006/main" headerRowCount="0" ref="F10:AD14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2" showColumnStripes="0" showFirstColumn="1" showLastColumn="1" showRowStripes="1"/>
</table>
</file>

<file path=xl/tables/table3.xml><?xml version="1.0" encoding="utf-8"?>
<table xmlns="http://schemas.openxmlformats.org/spreadsheetml/2006/main" headerRowCount="0" ref="F15:AD19" displayName="Table_3" name="Table_3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3" showColumnStripes="0" showFirstColumn="1" showLastColumn="1" showRowStripes="1"/>
</table>
</file>

<file path=xl/tables/table4.xml><?xml version="1.0" encoding="utf-8"?>
<table xmlns="http://schemas.openxmlformats.org/spreadsheetml/2006/main" headerRowCount="0" ref="F25:AD29" displayName="Table_4" name="Table_4" id="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4" showColumnStripes="0" showFirstColumn="1" showLastColumn="1" showRowStripes="1"/>
</table>
</file>

<file path=xl/tables/table5.xml><?xml version="1.0" encoding="utf-8"?>
<table xmlns="http://schemas.openxmlformats.org/spreadsheetml/2006/main" headerRowCount="0" ref="F35:AD39" displayName="Table_5" name="Table_5" id="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5" showColumnStripes="0" showFirstColumn="1" showLastColumn="1" showRowStripes="1"/>
</table>
</file>

<file path=xl/tables/table6.xml><?xml version="1.0" encoding="utf-8"?>
<table xmlns="http://schemas.openxmlformats.org/spreadsheetml/2006/main" headerRowCount="0" ref="F40:AD44" displayName="Table_6" name="Table_6" id="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6" showColumnStripes="0" showFirstColumn="1" showLastColumn="1" showRowStripes="1"/>
</table>
</file>

<file path=xl/tables/table7.xml><?xml version="1.0" encoding="utf-8"?>
<table xmlns="http://schemas.openxmlformats.org/spreadsheetml/2006/main" headerRowCount="0" ref="F45:AD49" displayName="Table_7" name="Table_7" id="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win-style 7" showColumnStripes="0" showFirstColumn="1" showLastColumn="1" showRowStripes="1"/>
</table>
</file>

<file path=xl/tables/table8.xml><?xml version="1.0" encoding="utf-8"?>
<table xmlns="http://schemas.openxmlformats.org/spreadsheetml/2006/main" headerRowCount="0" ref="F5:AD9" displayName="Table_8" name="Table_8" id="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" showColumnStripes="0" showFirstColumn="1" showLastColumn="1" showRowStripes="1"/>
</table>
</file>

<file path=xl/tables/table9.xml><?xml version="1.0" encoding="utf-8"?>
<table xmlns="http://schemas.openxmlformats.org/spreadsheetml/2006/main" headerRowCount="0" ref="F10:AD14" displayName="Table_9" name="Table_9" id="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2" showColumnStripes="0" showFirstColumn="1" showLastColumn="1" showRowStripes="1"/>
</table>
</file>

<file path=xl/tables/table10.xml><?xml version="1.0" encoding="utf-8"?>
<table xmlns="http://schemas.openxmlformats.org/spreadsheetml/2006/main" headerRowCount="0" ref="F15:AD19" displayName="Table_10" name="Table_10" id="1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3" showColumnStripes="0" showFirstColumn="1" showLastColumn="1" showRowStripes="1"/>
</table>
</file>

<file path=xl/tables/table11.xml><?xml version="1.0" encoding="utf-8"?>
<table xmlns="http://schemas.openxmlformats.org/spreadsheetml/2006/main" headerRowCount="0" ref="F20:AD24" displayName="Table_11" name="Table_11" id="1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4" showColumnStripes="0" showFirstColumn="1" showLastColumn="1" showRowStripes="1"/>
</table>
</file>

<file path=xl/tables/table12.xml><?xml version="1.0" encoding="utf-8"?>
<table xmlns="http://schemas.openxmlformats.org/spreadsheetml/2006/main" headerRowCount="0" ref="F25:AD29" displayName="Table_12" name="Table_12" id="1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5" showColumnStripes="0" showFirstColumn="1" showLastColumn="1" showRowStripes="1"/>
</table>
</file>

<file path=xl/tables/table13.xml><?xml version="1.0" encoding="utf-8"?>
<table xmlns="http://schemas.openxmlformats.org/spreadsheetml/2006/main" headerRowCount="0" ref="F30:AD34" displayName="Table_13" name="Table_13" id="1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6" showColumnStripes="0" showFirstColumn="1" showLastColumn="1" showRowStripes="1"/>
</table>
</file>

<file path=xl/tables/table14.xml><?xml version="1.0" encoding="utf-8"?>
<table xmlns="http://schemas.openxmlformats.org/spreadsheetml/2006/main" headerRowCount="0" ref="F35:AD39" displayName="Table_14" name="Table_14" id="1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7" showColumnStripes="0" showFirstColumn="1" showLastColumn="1" showRowStripes="1"/>
</table>
</file>

<file path=xl/tables/table15.xml><?xml version="1.0" encoding="utf-8"?>
<table xmlns="http://schemas.openxmlformats.org/spreadsheetml/2006/main" headerRowCount="0" ref="F40:AD44" displayName="Table_15" name="Table_15" id="1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8" showColumnStripes="0" showFirstColumn="1" showLastColumn="1" showRowStripes="1"/>
</table>
</file>

<file path=xl/tables/table16.xml><?xml version="1.0" encoding="utf-8"?>
<table xmlns="http://schemas.openxmlformats.org/spreadsheetml/2006/main" headerRowCount="0" ref="F45:AD49" displayName="Table_16" name="Table_16" id="1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style 9" showColumnStripes="0" showFirstColumn="1" showLastColumn="1" showRowStripes="1"/>
</table>
</file>

<file path=xl/tables/table17.xml><?xml version="1.0" encoding="utf-8"?>
<table xmlns="http://schemas.openxmlformats.org/spreadsheetml/2006/main" headerRowCount="0" ref="F5:AD9" displayName="Table_17" name="Table_17" id="1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" showColumnStripes="0" showFirstColumn="1" showLastColumn="1" showRowStripes="1"/>
</table>
</file>

<file path=xl/tables/table18.xml><?xml version="1.0" encoding="utf-8"?>
<table xmlns="http://schemas.openxmlformats.org/spreadsheetml/2006/main" headerRowCount="0" ref="F10:AD14" displayName="Table_18" name="Table_18" id="1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2" showColumnStripes="0" showFirstColumn="1" showLastColumn="1" showRowStripes="1"/>
</table>
</file>

<file path=xl/tables/table19.xml><?xml version="1.0" encoding="utf-8"?>
<table xmlns="http://schemas.openxmlformats.org/spreadsheetml/2006/main" headerRowCount="0" ref="F15:AD19" displayName="Table_19" name="Table_19" id="1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3" showColumnStripes="0" showFirstColumn="1" showLastColumn="1" showRowStripes="1"/>
</table>
</file>

<file path=xl/tables/table20.xml><?xml version="1.0" encoding="utf-8"?>
<table xmlns="http://schemas.openxmlformats.org/spreadsheetml/2006/main" headerRowCount="0" ref="F20:AD24" displayName="Table_20" name="Table_20" id="2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4" showColumnStripes="0" showFirstColumn="1" showLastColumn="1" showRowStripes="1"/>
</table>
</file>

<file path=xl/tables/table21.xml><?xml version="1.0" encoding="utf-8"?>
<table xmlns="http://schemas.openxmlformats.org/spreadsheetml/2006/main" headerRowCount="0" ref="F25:AD29" displayName="Table_21" name="Table_21" id="2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5" showColumnStripes="0" showFirstColumn="1" showLastColumn="1" showRowStripes="1"/>
</table>
</file>

<file path=xl/tables/table22.xml><?xml version="1.0" encoding="utf-8"?>
<table xmlns="http://schemas.openxmlformats.org/spreadsheetml/2006/main" headerRowCount="0" ref="F30:AD34" displayName="Table_22" name="Table_22" id="2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6" showColumnStripes="0" showFirstColumn="1" showLastColumn="1" showRowStripes="1"/>
</table>
</file>

<file path=xl/tables/table23.xml><?xml version="1.0" encoding="utf-8"?>
<table xmlns="http://schemas.openxmlformats.org/spreadsheetml/2006/main" headerRowCount="0" ref="F35:AD39" displayName="Table_23" name="Table_23" id="2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7" showColumnStripes="0" showFirstColumn="1" showLastColumn="1" showRowStripes="1"/>
</table>
</file>

<file path=xl/tables/table24.xml><?xml version="1.0" encoding="utf-8"?>
<table xmlns="http://schemas.openxmlformats.org/spreadsheetml/2006/main" headerRowCount="0" ref="F40:AD44" displayName="Table_24" name="Table_24" id="2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8" showColumnStripes="0" showFirstColumn="1" showLastColumn="1" showRowStripes="1"/>
</table>
</file>

<file path=xl/tables/table25.xml><?xml version="1.0" encoding="utf-8"?>
<table xmlns="http://schemas.openxmlformats.org/spreadsheetml/2006/main" headerRowCount="0" ref="F45:AD49" displayName="Table_25" name="Table_25" id="2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FetalCLIP-ft-style 9" showColumnStripes="0" showFirstColumn="1" showLastColumn="1" showRowStripes="1"/>
</table>
</file>

<file path=xl/tables/table26.xml><?xml version="1.0" encoding="utf-8"?>
<table xmlns="http://schemas.openxmlformats.org/spreadsheetml/2006/main" headerRowCount="0" ref="F5:AD9" displayName="Table_26" name="Table_26" id="2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" showColumnStripes="0" showFirstColumn="1" showLastColumn="1" showRowStripes="1"/>
</table>
</file>

<file path=xl/tables/table27.xml><?xml version="1.0" encoding="utf-8"?>
<table xmlns="http://schemas.openxmlformats.org/spreadsheetml/2006/main" headerRowCount="0" ref="F10:AD14" displayName="Table_27" name="Table_27" id="2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2" showColumnStripes="0" showFirstColumn="1" showLastColumn="1" showRowStripes="1"/>
</table>
</file>

<file path=xl/tables/table28.xml><?xml version="1.0" encoding="utf-8"?>
<table xmlns="http://schemas.openxmlformats.org/spreadsheetml/2006/main" headerRowCount="0" ref="F15:AD19" displayName="Table_28" name="Table_28" id="2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3" showColumnStripes="0" showFirstColumn="1" showLastColumn="1" showRowStripes="1"/>
</table>
</file>

<file path=xl/tables/table29.xml><?xml version="1.0" encoding="utf-8"?>
<table xmlns="http://schemas.openxmlformats.org/spreadsheetml/2006/main" headerRowCount="0" ref="F20:AD24" displayName="Table_29" name="Table_29" id="2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4" showColumnStripes="0" showFirstColumn="1" showLastColumn="1" showRowStripes="1"/>
</table>
</file>

<file path=xl/tables/table30.xml><?xml version="1.0" encoding="utf-8"?>
<table xmlns="http://schemas.openxmlformats.org/spreadsheetml/2006/main" headerRowCount="0" ref="F25:AD29" displayName="Table_30" name="Table_30" id="3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5" showColumnStripes="0" showFirstColumn="1" showLastColumn="1" showRowStripes="1"/>
</table>
</file>

<file path=xl/tables/table31.xml><?xml version="1.0" encoding="utf-8"?>
<table xmlns="http://schemas.openxmlformats.org/spreadsheetml/2006/main" headerRowCount="0" ref="F30:AD34" displayName="Table_31" name="Table_31" id="3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6" showColumnStripes="0" showFirstColumn="1" showLastColumn="1" showRowStripes="1"/>
</table>
</file>

<file path=xl/tables/table32.xml><?xml version="1.0" encoding="utf-8"?>
<table xmlns="http://schemas.openxmlformats.org/spreadsheetml/2006/main" headerRowCount="0" ref="F35:AD39" displayName="Table_32" name="Table_32" id="3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7" showColumnStripes="0" showFirstColumn="1" showLastColumn="1" showRowStripes="1"/>
</table>
</file>

<file path=xl/tables/table33.xml><?xml version="1.0" encoding="utf-8"?>
<table xmlns="http://schemas.openxmlformats.org/spreadsheetml/2006/main" headerRowCount="0" ref="F40:AD44" displayName="Table_33" name="Table_33" id="3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8" showColumnStripes="0" showFirstColumn="1" showLastColumn="1" showRowStripes="1"/>
</table>
</file>

<file path=xl/tables/table34.xml><?xml version="1.0" encoding="utf-8"?>
<table xmlns="http://schemas.openxmlformats.org/spreadsheetml/2006/main" headerRowCount="0" ref="F45:AD49" displayName="Table_34" name="Table_34" id="3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pt-style 9" showColumnStripes="0" showFirstColumn="1" showLastColumn="1" showRowStripes="1"/>
</table>
</file>

<file path=xl/tables/table35.xml><?xml version="1.0" encoding="utf-8"?>
<table xmlns="http://schemas.openxmlformats.org/spreadsheetml/2006/main" headerRowCount="0" ref="F5:AD9" displayName="Table_35" name="Table_35" id="3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" showColumnStripes="0" showFirstColumn="1" showLastColumn="1" showRowStripes="1"/>
</table>
</file>

<file path=xl/tables/table36.xml><?xml version="1.0" encoding="utf-8"?>
<table xmlns="http://schemas.openxmlformats.org/spreadsheetml/2006/main" headerRowCount="0" ref="F10:AD14" displayName="Table_36" name="Table_36" id="3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2" showColumnStripes="0" showFirstColumn="1" showLastColumn="1" showRowStripes="1"/>
</table>
</file>

<file path=xl/tables/table37.xml><?xml version="1.0" encoding="utf-8"?>
<table xmlns="http://schemas.openxmlformats.org/spreadsheetml/2006/main" headerRowCount="0" ref="F15:AD19" displayName="Table_37" name="Table_37" id="3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3" showColumnStripes="0" showFirstColumn="1" showLastColumn="1" showRowStripes="1"/>
</table>
</file>

<file path=xl/tables/table38.xml><?xml version="1.0" encoding="utf-8"?>
<table xmlns="http://schemas.openxmlformats.org/spreadsheetml/2006/main" headerRowCount="0" ref="F20:AD24" displayName="Table_38" name="Table_38" id="3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4" showColumnStripes="0" showFirstColumn="1" showLastColumn="1" showRowStripes="1"/>
</table>
</file>

<file path=xl/tables/table39.xml><?xml version="1.0" encoding="utf-8"?>
<table xmlns="http://schemas.openxmlformats.org/spreadsheetml/2006/main" headerRowCount="0" ref="F25:AD29" displayName="Table_39" name="Table_39" id="3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5" showColumnStripes="0" showFirstColumn="1" showLastColumn="1" showRowStripes="1"/>
</table>
</file>

<file path=xl/tables/table40.xml><?xml version="1.0" encoding="utf-8"?>
<table xmlns="http://schemas.openxmlformats.org/spreadsheetml/2006/main" headerRowCount="0" ref="F30:AD34" displayName="Table_40" name="Table_40" id="4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6" showColumnStripes="0" showFirstColumn="1" showLastColumn="1" showRowStripes="1"/>
</table>
</file>

<file path=xl/tables/table41.xml><?xml version="1.0" encoding="utf-8"?>
<table xmlns="http://schemas.openxmlformats.org/spreadsheetml/2006/main" headerRowCount="0" ref="F35:AD39" displayName="Table_41" name="Table_41" id="4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7" showColumnStripes="0" showFirstColumn="1" showLastColumn="1" showRowStripes="1"/>
</table>
</file>

<file path=xl/tables/table42.xml><?xml version="1.0" encoding="utf-8"?>
<table xmlns="http://schemas.openxmlformats.org/spreadsheetml/2006/main" headerRowCount="0" ref="F40:AD44" displayName="Table_42" name="Table_42" id="4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8" showColumnStripes="0" showFirstColumn="1" showLastColumn="1" showRowStripes="1"/>
</table>
</file>

<file path=xl/tables/table43.xml><?xml version="1.0" encoding="utf-8"?>
<table xmlns="http://schemas.openxmlformats.org/spreadsheetml/2006/main" headerRowCount="0" ref="F45:AD49" displayName="Table_43" name="Table_43" id="4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ópia de MedVitV2-b-pt-style 9" showColumnStripes="0" showFirstColumn="1" showLastColumn="1" showRowStripes="1"/>
</table>
</file>

<file path=xl/tables/table44.xml><?xml version="1.0" encoding="utf-8"?>
<table xmlns="http://schemas.openxmlformats.org/spreadsheetml/2006/main" headerRowCount="0" ref="F5:AD9" displayName="Table_44" name="Table_44" id="4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" showColumnStripes="0" showFirstColumn="1" showLastColumn="1" showRowStripes="1"/>
</table>
</file>

<file path=xl/tables/table45.xml><?xml version="1.0" encoding="utf-8"?>
<table xmlns="http://schemas.openxmlformats.org/spreadsheetml/2006/main" headerRowCount="0" ref="F10:AD14" displayName="Table_45" name="Table_45" id="4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2" showColumnStripes="0" showFirstColumn="1" showLastColumn="1" showRowStripes="1"/>
</table>
</file>

<file path=xl/tables/table46.xml><?xml version="1.0" encoding="utf-8"?>
<table xmlns="http://schemas.openxmlformats.org/spreadsheetml/2006/main" headerRowCount="0" ref="F15:AD19" displayName="Table_46" name="Table_46" id="4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3" showColumnStripes="0" showFirstColumn="1" showLastColumn="1" showRowStripes="1"/>
</table>
</file>

<file path=xl/tables/table47.xml><?xml version="1.0" encoding="utf-8"?>
<table xmlns="http://schemas.openxmlformats.org/spreadsheetml/2006/main" headerRowCount="0" ref="F20:AD24" displayName="Table_47" name="Table_47" id="4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4" showColumnStripes="0" showFirstColumn="1" showLastColumn="1" showRowStripes="1"/>
</table>
</file>

<file path=xl/tables/table48.xml><?xml version="1.0" encoding="utf-8"?>
<table xmlns="http://schemas.openxmlformats.org/spreadsheetml/2006/main" headerRowCount="0" ref="F25:AD29" displayName="Table_48" name="Table_48" id="4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5" showColumnStripes="0" showFirstColumn="1" showLastColumn="1" showRowStripes="1"/>
</table>
</file>

<file path=xl/tables/table49.xml><?xml version="1.0" encoding="utf-8"?>
<table xmlns="http://schemas.openxmlformats.org/spreadsheetml/2006/main" headerRowCount="0" ref="F30:AD34" displayName="Table_49" name="Table_49" id="4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6" showColumnStripes="0" showFirstColumn="1" showLastColumn="1" showRowStripes="1"/>
</table>
</file>

<file path=xl/tables/table50.xml><?xml version="1.0" encoding="utf-8"?>
<table xmlns="http://schemas.openxmlformats.org/spreadsheetml/2006/main" headerRowCount="0" ref="F35:AD39" displayName="Table_50" name="Table_50" id="5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7" showColumnStripes="0" showFirstColumn="1" showLastColumn="1" showRowStripes="1"/>
</table>
</file>

<file path=xl/tables/table51.xml><?xml version="1.0" encoding="utf-8"?>
<table xmlns="http://schemas.openxmlformats.org/spreadsheetml/2006/main" headerRowCount="0" ref="F40:AD44" displayName="Table_51" name="Table_51" id="5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8" showColumnStripes="0" showFirstColumn="1" showLastColumn="1" showRowStripes="1"/>
</table>
</file>

<file path=xl/tables/table52.xml><?xml version="1.0" encoding="utf-8"?>
<table xmlns="http://schemas.openxmlformats.org/spreadsheetml/2006/main" headerRowCount="0" ref="F45:AD49" displayName="Table_52" name="Table_52" id="5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VitV2-b-nopt-style 9" showColumnStripes="0" showFirstColumn="1" showLastColumn="1" showRowStripes="1"/>
</table>
</file>

<file path=xl/tables/table53.xml><?xml version="1.0" encoding="utf-8"?>
<table xmlns="http://schemas.openxmlformats.org/spreadsheetml/2006/main" headerRowCount="0" ref="F5:AD9" displayName="Table_53" name="Table_53" id="5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" showColumnStripes="0" showFirstColumn="1" showLastColumn="1" showRowStripes="1"/>
</table>
</file>

<file path=xl/tables/table54.xml><?xml version="1.0" encoding="utf-8"?>
<table xmlns="http://schemas.openxmlformats.org/spreadsheetml/2006/main" headerRowCount="0" ref="F10:AD14" displayName="Table_54" name="Table_54" id="5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2" showColumnStripes="0" showFirstColumn="1" showLastColumn="1" showRowStripes="1"/>
</table>
</file>

<file path=xl/tables/table55.xml><?xml version="1.0" encoding="utf-8"?>
<table xmlns="http://schemas.openxmlformats.org/spreadsheetml/2006/main" headerRowCount="0" ref="F15:AD19" displayName="Table_55" name="Table_55" id="5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3" showColumnStripes="0" showFirstColumn="1" showLastColumn="1" showRowStripes="1"/>
</table>
</file>

<file path=xl/tables/table56.xml><?xml version="1.0" encoding="utf-8"?>
<table xmlns="http://schemas.openxmlformats.org/spreadsheetml/2006/main" headerRowCount="0" ref="F20:AD24" displayName="Table_56" name="Table_56" id="5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4" showColumnStripes="0" showFirstColumn="1" showLastColumn="1" showRowStripes="1"/>
</table>
</file>

<file path=xl/tables/table57.xml><?xml version="1.0" encoding="utf-8"?>
<table xmlns="http://schemas.openxmlformats.org/spreadsheetml/2006/main" headerRowCount="0" ref="F25:AD29" displayName="Table_57" name="Table_57" id="5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5" showColumnStripes="0" showFirstColumn="1" showLastColumn="1" showRowStripes="1"/>
</table>
</file>

<file path=xl/tables/table58.xml><?xml version="1.0" encoding="utf-8"?>
<table xmlns="http://schemas.openxmlformats.org/spreadsheetml/2006/main" headerRowCount="0" ref="F30:AD34" displayName="Table_58" name="Table_58" id="5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6" showColumnStripes="0" showFirstColumn="1" showLastColumn="1" showRowStripes="1"/>
</table>
</file>

<file path=xl/tables/table59.xml><?xml version="1.0" encoding="utf-8"?>
<table xmlns="http://schemas.openxmlformats.org/spreadsheetml/2006/main" headerRowCount="0" ref="F35:AD39" displayName="Table_59" name="Table_59" id="5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7" showColumnStripes="0" showFirstColumn="1" showLastColumn="1" showRowStripes="1"/>
</table>
</file>

<file path=xl/tables/table60.xml><?xml version="1.0" encoding="utf-8"?>
<table xmlns="http://schemas.openxmlformats.org/spreadsheetml/2006/main" headerRowCount="0" ref="F40:AD44" displayName="Table_60" name="Table_60" id="6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8" showColumnStripes="0" showFirstColumn="1" showLastColumn="1" showRowStripes="1"/>
</table>
</file>

<file path=xl/tables/table61.xml><?xml version="1.0" encoding="utf-8"?>
<table xmlns="http://schemas.openxmlformats.org/spreadsheetml/2006/main" headerRowCount="0" ref="F45:AD49" displayName="Table_61" name="Table_61" id="6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s-style 9" showColumnStripes="0" showFirstColumn="1" showLastColumn="1" showRowStripes="1"/>
</table>
</file>

<file path=xl/tables/table62.xml><?xml version="1.0" encoding="utf-8"?>
<table xmlns="http://schemas.openxmlformats.org/spreadsheetml/2006/main" headerRowCount="0" ref="F5:AD9" displayName="Table_62" name="Table_62" id="6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" showColumnStripes="0" showFirstColumn="1" showLastColumn="1" showRowStripes="1"/>
</table>
</file>

<file path=xl/tables/table63.xml><?xml version="1.0" encoding="utf-8"?>
<table xmlns="http://schemas.openxmlformats.org/spreadsheetml/2006/main" headerRowCount="0" ref="F10:AD14" displayName="Table_63" name="Table_63" id="6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2" showColumnStripes="0" showFirstColumn="1" showLastColumn="1" showRowStripes="1"/>
</table>
</file>

<file path=xl/tables/table64.xml><?xml version="1.0" encoding="utf-8"?>
<table xmlns="http://schemas.openxmlformats.org/spreadsheetml/2006/main" headerRowCount="0" ref="F15:AD19" displayName="Table_64" name="Table_64" id="6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3" showColumnStripes="0" showFirstColumn="1" showLastColumn="1" showRowStripes="1"/>
</table>
</file>

<file path=xl/tables/table65.xml><?xml version="1.0" encoding="utf-8"?>
<table xmlns="http://schemas.openxmlformats.org/spreadsheetml/2006/main" headerRowCount="0" ref="F20:AD24" displayName="Table_65" name="Table_65" id="6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4" showColumnStripes="0" showFirstColumn="1" showLastColumn="1" showRowStripes="1"/>
</table>
</file>

<file path=xl/tables/table66.xml><?xml version="1.0" encoding="utf-8"?>
<table xmlns="http://schemas.openxmlformats.org/spreadsheetml/2006/main" headerRowCount="0" ref="F25:AD29" displayName="Table_66" name="Table_66" id="6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5" showColumnStripes="0" showFirstColumn="1" showLastColumn="1" showRowStripes="1"/>
</table>
</file>

<file path=xl/tables/table67.xml><?xml version="1.0" encoding="utf-8"?>
<table xmlns="http://schemas.openxmlformats.org/spreadsheetml/2006/main" headerRowCount="0" ref="F30:AD34" displayName="Table_67" name="Table_67" id="6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6" showColumnStripes="0" showFirstColumn="1" showLastColumn="1" showRowStripes="1"/>
</table>
</file>

<file path=xl/tables/table68.xml><?xml version="1.0" encoding="utf-8"?>
<table xmlns="http://schemas.openxmlformats.org/spreadsheetml/2006/main" headerRowCount="0" ref="F35:AD39" displayName="Table_68" name="Table_68" id="6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7" showColumnStripes="0" showFirstColumn="1" showLastColumn="1" showRowStripes="1"/>
</table>
</file>

<file path=xl/tables/table69.xml><?xml version="1.0" encoding="utf-8"?>
<table xmlns="http://schemas.openxmlformats.org/spreadsheetml/2006/main" headerRowCount="0" ref="F40:AD44" displayName="Table_69" name="Table_69" id="6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8" showColumnStripes="0" showFirstColumn="1" showLastColumn="1" showRowStripes="1"/>
</table>
</file>

<file path=xl/tables/table70.xml><?xml version="1.0" encoding="utf-8"?>
<table xmlns="http://schemas.openxmlformats.org/spreadsheetml/2006/main" headerRowCount="0" ref="F45:AD49" displayName="Table_70" name="Table_70" id="7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style 9" showColumnStripes="0" showFirstColumn="1" showLastColumn="1" showRowStripes="1"/>
</table>
</file>

<file path=xl/tables/table71.xml><?xml version="1.0" encoding="utf-8"?>
<table xmlns="http://schemas.openxmlformats.org/spreadsheetml/2006/main" headerRowCount="0" ref="F5:AD9" displayName="Table_71" name="Table_71" id="7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" showColumnStripes="0" showFirstColumn="1" showLastColumn="1" showRowStripes="1"/>
</table>
</file>

<file path=xl/tables/table72.xml><?xml version="1.0" encoding="utf-8"?>
<table xmlns="http://schemas.openxmlformats.org/spreadsheetml/2006/main" headerRowCount="0" ref="F10:AD14" displayName="Table_72" name="Table_72" id="7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2" showColumnStripes="0" showFirstColumn="1" showLastColumn="1" showRowStripes="1"/>
</table>
</file>

<file path=xl/tables/table73.xml><?xml version="1.0" encoding="utf-8"?>
<table xmlns="http://schemas.openxmlformats.org/spreadsheetml/2006/main" headerRowCount="0" ref="F15:AD19" displayName="Table_73" name="Table_73" id="7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3" showColumnStripes="0" showFirstColumn="1" showLastColumn="1" showRowStripes="1"/>
</table>
</file>

<file path=xl/tables/table74.xml><?xml version="1.0" encoding="utf-8"?>
<table xmlns="http://schemas.openxmlformats.org/spreadsheetml/2006/main" headerRowCount="0" ref="F20:AD24" displayName="Table_74" name="Table_74" id="7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4" showColumnStripes="0" showFirstColumn="1" showLastColumn="1" showRowStripes="1"/>
</table>
</file>

<file path=xl/tables/table75.xml><?xml version="1.0" encoding="utf-8"?>
<table xmlns="http://schemas.openxmlformats.org/spreadsheetml/2006/main" headerRowCount="0" ref="F25:AD29" displayName="Table_75" name="Table_75" id="7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5" showColumnStripes="0" showFirstColumn="1" showLastColumn="1" showRowStripes="1"/>
</table>
</file>

<file path=xl/tables/table76.xml><?xml version="1.0" encoding="utf-8"?>
<table xmlns="http://schemas.openxmlformats.org/spreadsheetml/2006/main" headerRowCount="0" ref="F30:AD34" displayName="Table_76" name="Table_76" id="7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6" showColumnStripes="0" showFirstColumn="1" showLastColumn="1" showRowStripes="1"/>
</table>
</file>

<file path=xl/tables/table77.xml><?xml version="1.0" encoding="utf-8"?>
<table xmlns="http://schemas.openxmlformats.org/spreadsheetml/2006/main" headerRowCount="0" ref="F35:AD39" displayName="Table_77" name="Table_77" id="7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7" showColumnStripes="0" showFirstColumn="1" showLastColumn="1" showRowStripes="1"/>
</table>
</file>

<file path=xl/tables/table78.xml><?xml version="1.0" encoding="utf-8"?>
<table xmlns="http://schemas.openxmlformats.org/spreadsheetml/2006/main" headerRowCount="0" ref="F40:AD44" displayName="Table_78" name="Table_78" id="7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8" showColumnStripes="0" showFirstColumn="1" showLastColumn="1" showRowStripes="1"/>
</table>
</file>

<file path=xl/tables/table79.xml><?xml version="1.0" encoding="utf-8"?>
<table xmlns="http://schemas.openxmlformats.org/spreadsheetml/2006/main" headerRowCount="0" ref="F45:AD49" displayName="Table_79" name="Table_79" id="7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SigLiP-finetuing-style 9" showColumnStripes="0" showFirstColumn="1" showLastColumn="1" showRowStripes="1"/>
</table>
</file>

<file path=xl/tables/table80.xml><?xml version="1.0" encoding="utf-8"?>
<table xmlns="http://schemas.openxmlformats.org/spreadsheetml/2006/main" headerRowCount="0" ref="F5:AD9" displayName="Table_80" name="Table_80" id="8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" showColumnStripes="0" showFirstColumn="1" showLastColumn="1" showRowStripes="1"/>
</table>
</file>

<file path=xl/tables/table81.xml><?xml version="1.0" encoding="utf-8"?>
<table xmlns="http://schemas.openxmlformats.org/spreadsheetml/2006/main" headerRowCount="0" ref="F10:AD14" displayName="Table_81" name="Table_81" id="8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2" showColumnStripes="0" showFirstColumn="1" showLastColumn="1" showRowStripes="1"/>
</table>
</file>

<file path=xl/tables/table82.xml><?xml version="1.0" encoding="utf-8"?>
<table xmlns="http://schemas.openxmlformats.org/spreadsheetml/2006/main" headerRowCount="0" ref="F15:AD19" displayName="Table_82" name="Table_82" id="8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3" showColumnStripes="0" showFirstColumn="1" showLastColumn="1" showRowStripes="1"/>
</table>
</file>

<file path=xl/tables/table83.xml><?xml version="1.0" encoding="utf-8"?>
<table xmlns="http://schemas.openxmlformats.org/spreadsheetml/2006/main" headerRowCount="0" ref="F20:AD24" displayName="Table_83" name="Table_83" id="8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4" showColumnStripes="0" showFirstColumn="1" showLastColumn="1" showRowStripes="1"/>
</table>
</file>

<file path=xl/tables/table84.xml><?xml version="1.0" encoding="utf-8"?>
<table xmlns="http://schemas.openxmlformats.org/spreadsheetml/2006/main" headerRowCount="0" ref="F25:AD29" displayName="Table_84" name="Table_84" id="8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5" showColumnStripes="0" showFirstColumn="1" showLastColumn="1" showRowStripes="1"/>
</table>
</file>

<file path=xl/tables/table85.xml><?xml version="1.0" encoding="utf-8"?>
<table xmlns="http://schemas.openxmlformats.org/spreadsheetml/2006/main" headerRowCount="0" ref="F30:AD34" displayName="Table_85" name="Table_85" id="8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6" showColumnStripes="0" showFirstColumn="1" showLastColumn="1" showRowStripes="1"/>
</table>
</file>

<file path=xl/tables/table86.xml><?xml version="1.0" encoding="utf-8"?>
<table xmlns="http://schemas.openxmlformats.org/spreadsheetml/2006/main" headerRowCount="0" ref="F35:AD39" displayName="Table_86" name="Table_86" id="8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7" showColumnStripes="0" showFirstColumn="1" showLastColumn="1" showRowStripes="1"/>
</table>
</file>

<file path=xl/tables/table87.xml><?xml version="1.0" encoding="utf-8"?>
<table xmlns="http://schemas.openxmlformats.org/spreadsheetml/2006/main" headerRowCount="0" ref="F40:AD44" displayName="Table_87" name="Table_87" id="87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8" showColumnStripes="0" showFirstColumn="1" showLastColumn="1" showRowStripes="1"/>
</table>
</file>

<file path=xl/tables/table88.xml><?xml version="1.0" encoding="utf-8"?>
<table xmlns="http://schemas.openxmlformats.org/spreadsheetml/2006/main" headerRowCount="0" ref="F45:AD49" displayName="Table_88" name="Table_88" id="8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MedMamba-b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8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7.xml"/><Relationship Id="rId13" Type="http://schemas.openxmlformats.org/officeDocument/2006/relationships/table" Target="../tables/table19.xml"/><Relationship Id="rId12" Type="http://schemas.openxmlformats.org/officeDocument/2006/relationships/table" Target="../tables/table18.xml"/><Relationship Id="rId15" Type="http://schemas.openxmlformats.org/officeDocument/2006/relationships/table" Target="../tables/table21.xml"/><Relationship Id="rId14" Type="http://schemas.openxmlformats.org/officeDocument/2006/relationships/table" Target="../tables/table20.xml"/><Relationship Id="rId17" Type="http://schemas.openxmlformats.org/officeDocument/2006/relationships/table" Target="../tables/table23.xml"/><Relationship Id="rId16" Type="http://schemas.openxmlformats.org/officeDocument/2006/relationships/table" Target="../tables/table22.xml"/><Relationship Id="rId19" Type="http://schemas.openxmlformats.org/officeDocument/2006/relationships/table" Target="../tables/table25.xml"/><Relationship Id="rId18" Type="http://schemas.openxmlformats.org/officeDocument/2006/relationships/table" Target="../tables/table2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6.xml"/><Relationship Id="rId13" Type="http://schemas.openxmlformats.org/officeDocument/2006/relationships/table" Target="../tables/table28.xml"/><Relationship Id="rId12" Type="http://schemas.openxmlformats.org/officeDocument/2006/relationships/table" Target="../tables/table27.xml"/><Relationship Id="rId15" Type="http://schemas.openxmlformats.org/officeDocument/2006/relationships/table" Target="../tables/table30.xml"/><Relationship Id="rId14" Type="http://schemas.openxmlformats.org/officeDocument/2006/relationships/table" Target="../tables/table29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35.xml"/><Relationship Id="rId13" Type="http://schemas.openxmlformats.org/officeDocument/2006/relationships/table" Target="../tables/table37.xml"/><Relationship Id="rId12" Type="http://schemas.openxmlformats.org/officeDocument/2006/relationships/table" Target="../tables/table36.xml"/><Relationship Id="rId15" Type="http://schemas.openxmlformats.org/officeDocument/2006/relationships/table" Target="../tables/table39.xml"/><Relationship Id="rId14" Type="http://schemas.openxmlformats.org/officeDocument/2006/relationships/table" Target="../tables/table38.xml"/><Relationship Id="rId17" Type="http://schemas.openxmlformats.org/officeDocument/2006/relationships/table" Target="../tables/table41.xml"/><Relationship Id="rId16" Type="http://schemas.openxmlformats.org/officeDocument/2006/relationships/table" Target="../tables/table40.xml"/><Relationship Id="rId19" Type="http://schemas.openxmlformats.org/officeDocument/2006/relationships/table" Target="../tables/table43.xml"/><Relationship Id="rId18" Type="http://schemas.openxmlformats.org/officeDocument/2006/relationships/table" Target="../tables/table4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44.xml"/><Relationship Id="rId13" Type="http://schemas.openxmlformats.org/officeDocument/2006/relationships/table" Target="../tables/table46.xml"/><Relationship Id="rId12" Type="http://schemas.openxmlformats.org/officeDocument/2006/relationships/table" Target="../tables/table45.xml"/><Relationship Id="rId15" Type="http://schemas.openxmlformats.org/officeDocument/2006/relationships/table" Target="../tables/table48.xml"/><Relationship Id="rId14" Type="http://schemas.openxmlformats.org/officeDocument/2006/relationships/table" Target="../tables/table47.xml"/><Relationship Id="rId17" Type="http://schemas.openxmlformats.org/officeDocument/2006/relationships/table" Target="../tables/table50.xml"/><Relationship Id="rId16" Type="http://schemas.openxmlformats.org/officeDocument/2006/relationships/table" Target="../tables/table49.xml"/><Relationship Id="rId19" Type="http://schemas.openxmlformats.org/officeDocument/2006/relationships/table" Target="../tables/table52.xml"/><Relationship Id="rId18" Type="http://schemas.openxmlformats.org/officeDocument/2006/relationships/table" Target="../tables/table5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53.xml"/><Relationship Id="rId13" Type="http://schemas.openxmlformats.org/officeDocument/2006/relationships/table" Target="../tables/table55.xml"/><Relationship Id="rId12" Type="http://schemas.openxmlformats.org/officeDocument/2006/relationships/table" Target="../tables/table54.xml"/><Relationship Id="rId15" Type="http://schemas.openxmlformats.org/officeDocument/2006/relationships/table" Target="../tables/table57.xml"/><Relationship Id="rId14" Type="http://schemas.openxmlformats.org/officeDocument/2006/relationships/table" Target="../tables/table56.xml"/><Relationship Id="rId17" Type="http://schemas.openxmlformats.org/officeDocument/2006/relationships/table" Target="../tables/table59.xml"/><Relationship Id="rId16" Type="http://schemas.openxmlformats.org/officeDocument/2006/relationships/table" Target="../tables/table58.xml"/><Relationship Id="rId19" Type="http://schemas.openxmlformats.org/officeDocument/2006/relationships/table" Target="../tables/table61.xml"/><Relationship Id="rId18" Type="http://schemas.openxmlformats.org/officeDocument/2006/relationships/table" Target="../tables/table6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62.xml"/><Relationship Id="rId13" Type="http://schemas.openxmlformats.org/officeDocument/2006/relationships/table" Target="../tables/table64.xml"/><Relationship Id="rId12" Type="http://schemas.openxmlformats.org/officeDocument/2006/relationships/table" Target="../tables/table63.xml"/><Relationship Id="rId15" Type="http://schemas.openxmlformats.org/officeDocument/2006/relationships/table" Target="../tables/table66.xml"/><Relationship Id="rId14" Type="http://schemas.openxmlformats.org/officeDocument/2006/relationships/table" Target="../tables/table65.xml"/><Relationship Id="rId17" Type="http://schemas.openxmlformats.org/officeDocument/2006/relationships/table" Target="../tables/table68.xml"/><Relationship Id="rId16" Type="http://schemas.openxmlformats.org/officeDocument/2006/relationships/table" Target="../tables/table67.xml"/><Relationship Id="rId19" Type="http://schemas.openxmlformats.org/officeDocument/2006/relationships/table" Target="../tables/table70.xml"/><Relationship Id="rId18" Type="http://schemas.openxmlformats.org/officeDocument/2006/relationships/table" Target="../tables/table6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71.xml"/><Relationship Id="rId13" Type="http://schemas.openxmlformats.org/officeDocument/2006/relationships/table" Target="../tables/table73.xml"/><Relationship Id="rId12" Type="http://schemas.openxmlformats.org/officeDocument/2006/relationships/table" Target="../tables/table72.xml"/><Relationship Id="rId15" Type="http://schemas.openxmlformats.org/officeDocument/2006/relationships/table" Target="../tables/table75.xml"/><Relationship Id="rId14" Type="http://schemas.openxmlformats.org/officeDocument/2006/relationships/table" Target="../tables/table74.xml"/><Relationship Id="rId17" Type="http://schemas.openxmlformats.org/officeDocument/2006/relationships/table" Target="../tables/table77.xml"/><Relationship Id="rId16" Type="http://schemas.openxmlformats.org/officeDocument/2006/relationships/table" Target="../tables/table76.xml"/><Relationship Id="rId19" Type="http://schemas.openxmlformats.org/officeDocument/2006/relationships/table" Target="../tables/table79.xml"/><Relationship Id="rId18" Type="http://schemas.openxmlformats.org/officeDocument/2006/relationships/table" Target="../tables/table7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80.xml"/><Relationship Id="rId13" Type="http://schemas.openxmlformats.org/officeDocument/2006/relationships/table" Target="../tables/table82.xml"/><Relationship Id="rId12" Type="http://schemas.openxmlformats.org/officeDocument/2006/relationships/table" Target="../tables/table81.xml"/><Relationship Id="rId15" Type="http://schemas.openxmlformats.org/officeDocument/2006/relationships/table" Target="../tables/table84.xml"/><Relationship Id="rId14" Type="http://schemas.openxmlformats.org/officeDocument/2006/relationships/table" Target="../tables/table83.xml"/><Relationship Id="rId17" Type="http://schemas.openxmlformats.org/officeDocument/2006/relationships/table" Target="../tables/table86.xml"/><Relationship Id="rId16" Type="http://schemas.openxmlformats.org/officeDocument/2006/relationships/table" Target="../tables/table85.xml"/><Relationship Id="rId19" Type="http://schemas.openxmlformats.org/officeDocument/2006/relationships/table" Target="../tables/table88.xml"/><Relationship Id="rId18" Type="http://schemas.openxmlformats.org/officeDocument/2006/relationships/table" Target="../tables/table8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88"/>
    <col customWidth="1" min="2" max="2" width="24.5"/>
  </cols>
  <sheetData>
    <row r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4"/>
      <c r="K1" s="5" t="s">
        <v>2</v>
      </c>
      <c r="L1" s="1" t="s">
        <v>3</v>
      </c>
      <c r="M1" s="1" t="s">
        <v>4</v>
      </c>
      <c r="N1" s="5" t="s">
        <v>5</v>
      </c>
      <c r="O1" s="1" t="s">
        <v>6</v>
      </c>
      <c r="P1" s="2" t="s">
        <v>7</v>
      </c>
      <c r="Q1" s="3"/>
      <c r="R1" s="3"/>
      <c r="S1" s="3"/>
      <c r="T1" s="3"/>
      <c r="U1" s="3"/>
      <c r="V1" s="3"/>
      <c r="W1" s="4"/>
      <c r="X1" s="5" t="s">
        <v>2</v>
      </c>
      <c r="Y1" s="1" t="s">
        <v>3</v>
      </c>
      <c r="Z1" s="1" t="s">
        <v>4</v>
      </c>
      <c r="AA1" s="5" t="s">
        <v>5</v>
      </c>
      <c r="AB1" s="1" t="s">
        <v>6</v>
      </c>
      <c r="AC1" s="6"/>
    </row>
    <row r="2">
      <c r="A2" s="7"/>
      <c r="B2" s="7"/>
      <c r="C2" s="8" t="s">
        <v>8</v>
      </c>
      <c r="D2" s="8" t="s">
        <v>9</v>
      </c>
      <c r="E2" s="9" t="s">
        <v>10</v>
      </c>
      <c r="F2" s="8" t="s">
        <v>11</v>
      </c>
      <c r="G2" s="10" t="s">
        <v>12</v>
      </c>
      <c r="H2" s="11" t="s">
        <v>13</v>
      </c>
      <c r="I2" s="12" t="s">
        <v>14</v>
      </c>
      <c r="J2" s="13" t="s">
        <v>15</v>
      </c>
      <c r="K2" s="14"/>
      <c r="L2" s="15"/>
      <c r="M2" s="15"/>
      <c r="N2" s="14"/>
      <c r="O2" s="15"/>
      <c r="P2" s="8" t="s">
        <v>8</v>
      </c>
      <c r="Q2" s="8" t="s">
        <v>9</v>
      </c>
      <c r="R2" s="9" t="s">
        <v>10</v>
      </c>
      <c r="S2" s="8" t="s">
        <v>11</v>
      </c>
      <c r="T2" s="10" t="s">
        <v>12</v>
      </c>
      <c r="U2" s="11" t="s">
        <v>13</v>
      </c>
      <c r="V2" s="12" t="s">
        <v>14</v>
      </c>
      <c r="W2" s="13" t="s">
        <v>15</v>
      </c>
      <c r="X2" s="14"/>
      <c r="Y2" s="15"/>
      <c r="Z2" s="15"/>
      <c r="AA2" s="14"/>
      <c r="AB2" s="15"/>
      <c r="AC2" s="6"/>
    </row>
    <row r="3">
      <c r="A3" s="16" t="s">
        <v>16</v>
      </c>
      <c r="B3" s="17" t="s">
        <v>17</v>
      </c>
      <c r="C3" s="18">
        <v>0.774</v>
      </c>
      <c r="D3" s="18">
        <v>0.745</v>
      </c>
      <c r="E3" s="18">
        <v>0.682</v>
      </c>
      <c r="F3" s="18">
        <v>0.74</v>
      </c>
      <c r="G3" s="19">
        <v>0.738</v>
      </c>
      <c r="H3" s="18">
        <v>0.378</v>
      </c>
      <c r="I3" s="20">
        <v>0.842</v>
      </c>
      <c r="J3" s="21">
        <v>0.803</v>
      </c>
      <c r="K3" s="21">
        <v>42.67</v>
      </c>
      <c r="L3" s="20">
        <v>39.0</v>
      </c>
      <c r="M3" s="20">
        <v>29.67</v>
      </c>
      <c r="N3" s="22">
        <v>158.0</v>
      </c>
      <c r="O3" s="23"/>
      <c r="P3" s="18">
        <v>0.762</v>
      </c>
      <c r="Q3" s="18">
        <v>0.725</v>
      </c>
      <c r="R3" s="18">
        <v>0.671</v>
      </c>
      <c r="S3" s="19">
        <v>0.724</v>
      </c>
      <c r="T3" s="19">
        <v>0.725</v>
      </c>
      <c r="U3" s="19">
        <v>0.347</v>
      </c>
      <c r="V3" s="18">
        <v>0.808</v>
      </c>
      <c r="W3" s="18">
        <v>0.8</v>
      </c>
      <c r="X3" s="24">
        <v>43.0</v>
      </c>
      <c r="Y3" s="18">
        <v>38.0</v>
      </c>
      <c r="Z3" s="25">
        <v>36.0</v>
      </c>
      <c r="AA3" s="22">
        <v>151.0</v>
      </c>
      <c r="AB3" s="23"/>
      <c r="AC3" s="26"/>
    </row>
    <row r="4">
      <c r="A4" s="7"/>
      <c r="B4" s="27"/>
      <c r="C4" s="7"/>
      <c r="D4" s="7"/>
      <c r="E4" s="7"/>
      <c r="F4" s="7"/>
      <c r="G4" s="28"/>
      <c r="H4" s="7"/>
      <c r="I4" s="15"/>
      <c r="J4" s="14"/>
      <c r="K4" s="14"/>
      <c r="L4" s="15"/>
      <c r="M4" s="15"/>
      <c r="N4" s="14"/>
      <c r="O4" s="15"/>
      <c r="P4" s="7"/>
      <c r="Q4" s="7"/>
      <c r="R4" s="7"/>
      <c r="S4" s="28"/>
      <c r="T4" s="28"/>
      <c r="U4" s="28"/>
      <c r="V4" s="15"/>
      <c r="W4" s="15"/>
      <c r="X4" s="14"/>
      <c r="Y4" s="15"/>
      <c r="Z4" s="15"/>
      <c r="AA4" s="14"/>
      <c r="AB4" s="15"/>
      <c r="AC4" s="26"/>
    </row>
    <row r="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1"/>
      <c r="AC5" s="32"/>
    </row>
    <row r="6">
      <c r="A6" s="33" t="s">
        <v>18</v>
      </c>
      <c r="B6" s="34" t="s">
        <v>19</v>
      </c>
      <c r="C6" s="35">
        <v>0.7658333333333334</v>
      </c>
      <c r="D6" s="36">
        <v>0.7326333333333332</v>
      </c>
      <c r="E6" s="36">
        <v>0.6407</v>
      </c>
      <c r="F6" s="36">
        <v>0.7055</v>
      </c>
      <c r="G6" s="37">
        <v>0.7383666666666666</v>
      </c>
      <c r="H6" s="36">
        <v>0.30790000000000006</v>
      </c>
      <c r="I6" s="38">
        <v>0.8748333333333334</v>
      </c>
      <c r="J6" s="39">
        <v>0.7774000000000001</v>
      </c>
      <c r="K6" s="38">
        <v>33.2</v>
      </c>
      <c r="L6" s="38">
        <v>48.466666666666676</v>
      </c>
      <c r="M6" s="38">
        <v>23.53333333333333</v>
      </c>
      <c r="N6" s="40">
        <v>164.13333333333335</v>
      </c>
      <c r="O6" s="41"/>
      <c r="P6" s="36">
        <v>0.7614000000000001</v>
      </c>
      <c r="Q6" s="36">
        <v>0.7279333333333333</v>
      </c>
      <c r="R6" s="36">
        <v>0.6728</v>
      </c>
      <c r="S6" s="37">
        <v>0.7245666666666666</v>
      </c>
      <c r="T6" s="36">
        <v>0.7274666666666667</v>
      </c>
      <c r="U6" s="37">
        <v>0.3511</v>
      </c>
      <c r="V6" s="36">
        <v>0.8127666666666666</v>
      </c>
      <c r="W6" s="36">
        <v>0.8026333333333333</v>
      </c>
      <c r="X6" s="36">
        <v>43.53333333333334</v>
      </c>
      <c r="Y6" s="36">
        <v>38.43333333333333</v>
      </c>
      <c r="Z6" s="42">
        <v>35.166666666666664</v>
      </c>
      <c r="AA6" s="40">
        <v>152.53333333333333</v>
      </c>
      <c r="AB6" s="40"/>
      <c r="AC6" s="43"/>
    </row>
    <row r="7">
      <c r="A7" s="7"/>
      <c r="B7" s="14"/>
      <c r="C7" s="15"/>
      <c r="D7" s="15"/>
      <c r="E7" s="15"/>
      <c r="F7" s="15"/>
      <c r="G7" s="44"/>
      <c r="H7" s="15"/>
      <c r="I7" s="15"/>
      <c r="J7" s="14"/>
      <c r="K7" s="15"/>
      <c r="L7" s="15"/>
      <c r="M7" s="15"/>
      <c r="N7" s="15"/>
      <c r="O7" s="15"/>
      <c r="P7" s="15"/>
      <c r="Q7" s="15"/>
      <c r="R7" s="15"/>
      <c r="S7" s="44"/>
      <c r="T7" s="15"/>
      <c r="U7" s="44"/>
      <c r="V7" s="15"/>
      <c r="W7" s="15"/>
      <c r="X7" s="15"/>
      <c r="Y7" s="15"/>
      <c r="Z7" s="15"/>
      <c r="AA7" s="15"/>
      <c r="AB7" s="15"/>
      <c r="AC7" s="43"/>
    </row>
    <row r="8">
      <c r="A8" s="7"/>
      <c r="B8" s="34" t="s">
        <v>20</v>
      </c>
      <c r="C8" s="45">
        <v>0.014929670516404396</v>
      </c>
      <c r="D8" s="45">
        <v>0.012122268051649832</v>
      </c>
      <c r="E8" s="45">
        <v>0.02498663840466408</v>
      </c>
      <c r="F8" s="45">
        <v>0.024091517896718383</v>
      </c>
      <c r="G8" s="46">
        <v>0.018947914312401924</v>
      </c>
      <c r="H8" s="45">
        <v>0.052161678852781786</v>
      </c>
      <c r="I8" s="47">
        <v>0.02833060989089579</v>
      </c>
      <c r="J8" s="48">
        <v>0.015350071379574264</v>
      </c>
      <c r="K8" s="47">
        <v>5.837723215918944</v>
      </c>
      <c r="L8" s="47">
        <v>5.837723215918944</v>
      </c>
      <c r="M8" s="47">
        <v>5.322210623972517</v>
      </c>
      <c r="N8" s="41">
        <v>5.322210623972518</v>
      </c>
      <c r="O8" s="41"/>
      <c r="P8" s="47">
        <v>0.008406053080671234</v>
      </c>
      <c r="Q8" s="47">
        <v>0.0061016087738914905</v>
      </c>
      <c r="R8" s="47">
        <v>0.016332350688506126</v>
      </c>
      <c r="S8" s="46">
        <v>0.007004495910696393</v>
      </c>
      <c r="T8" s="45">
        <v>0.010868688746197896</v>
      </c>
      <c r="U8" s="49">
        <v>0.024610070206229743</v>
      </c>
      <c r="V8" s="47">
        <v>0.02631717741629022</v>
      </c>
      <c r="W8" s="47">
        <v>0.01554320938624615</v>
      </c>
      <c r="X8" s="47">
        <v>4.603273124287776</v>
      </c>
      <c r="Y8" s="47">
        <v>4.784362387694948</v>
      </c>
      <c r="Z8" s="41">
        <v>5.028928658948157</v>
      </c>
      <c r="AA8" s="41">
        <v>4.952116395050048</v>
      </c>
      <c r="AB8" s="50"/>
      <c r="AC8" s="51"/>
    </row>
    <row r="9">
      <c r="A9" s="15"/>
      <c r="B9" s="14"/>
      <c r="C9" s="15"/>
      <c r="D9" s="15"/>
      <c r="E9" s="15"/>
      <c r="F9" s="15"/>
      <c r="G9" s="44"/>
      <c r="H9" s="15"/>
      <c r="I9" s="15"/>
      <c r="J9" s="14"/>
      <c r="K9" s="15"/>
      <c r="L9" s="15"/>
      <c r="M9" s="15"/>
      <c r="N9" s="15"/>
      <c r="O9" s="15"/>
      <c r="P9" s="15"/>
      <c r="Q9" s="15"/>
      <c r="R9" s="15"/>
      <c r="S9" s="44"/>
      <c r="T9" s="15"/>
      <c r="U9" s="44"/>
      <c r="V9" s="15"/>
      <c r="W9" s="15"/>
      <c r="X9" s="15"/>
      <c r="Y9" s="15"/>
      <c r="Z9" s="15"/>
      <c r="AA9" s="15"/>
      <c r="AB9" s="15"/>
      <c r="AC9" s="51"/>
    </row>
    <row r="10" ht="15.75" customHeight="1">
      <c r="A10" s="5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53"/>
    </row>
    <row r="11">
      <c r="A11" s="54" t="s">
        <v>21</v>
      </c>
      <c r="B11" s="34" t="s">
        <v>19</v>
      </c>
      <c r="C11" s="36">
        <v>0.7640333333333335</v>
      </c>
      <c r="D11" s="36">
        <v>0.733</v>
      </c>
      <c r="E11" s="36">
        <v>0.6491666666666667</v>
      </c>
      <c r="F11" s="36">
        <v>0.7147000000000001</v>
      </c>
      <c r="G11" s="37">
        <v>0.7269666666666666</v>
      </c>
      <c r="H11" s="36">
        <v>0.32443333333333335</v>
      </c>
      <c r="I11" s="36">
        <v>0.8623999999999998</v>
      </c>
      <c r="J11" s="55">
        <v>0.7826333333333333</v>
      </c>
      <c r="K11" s="36">
        <v>35.599999999999994</v>
      </c>
      <c r="L11" s="36">
        <v>46.06666666666666</v>
      </c>
      <c r="M11" s="36">
        <v>25.833333333333336</v>
      </c>
      <c r="N11" s="42">
        <v>161.83333333333334</v>
      </c>
      <c r="O11" s="56"/>
      <c r="P11" s="36">
        <v>0.7554000000000001</v>
      </c>
      <c r="Q11" s="36">
        <v>0.7225666666666667</v>
      </c>
      <c r="R11" s="36">
        <v>0.6582</v>
      </c>
      <c r="S11" s="37">
        <v>0.7173666666666667</v>
      </c>
      <c r="T11" s="36">
        <v>0.7182666666666667</v>
      </c>
      <c r="U11" s="37">
        <v>0.32910000000000006</v>
      </c>
      <c r="V11" s="36">
        <v>0.8215999999999999</v>
      </c>
      <c r="W11" s="36">
        <v>0.7900666666666667</v>
      </c>
      <c r="X11" s="36">
        <v>40.43333333333334</v>
      </c>
      <c r="Y11" s="36">
        <v>41.233333333333334</v>
      </c>
      <c r="Z11" s="42">
        <v>33.46666666666667</v>
      </c>
      <c r="AA11" s="42">
        <v>154.2</v>
      </c>
      <c r="AB11" s="57"/>
      <c r="AC11" s="58"/>
    </row>
    <row r="12">
      <c r="A12" s="7"/>
      <c r="B12" s="14"/>
      <c r="C12" s="15"/>
      <c r="D12" s="15"/>
      <c r="E12" s="15"/>
      <c r="F12" s="15"/>
      <c r="G12" s="44"/>
      <c r="H12" s="15"/>
      <c r="I12" s="15"/>
      <c r="J12" s="14"/>
      <c r="K12" s="15"/>
      <c r="L12" s="15"/>
      <c r="M12" s="15"/>
      <c r="N12" s="15"/>
      <c r="O12" s="15"/>
      <c r="P12" s="15"/>
      <c r="Q12" s="15"/>
      <c r="R12" s="15"/>
      <c r="S12" s="44"/>
      <c r="T12" s="15"/>
      <c r="U12" s="44"/>
      <c r="V12" s="15"/>
      <c r="W12" s="15"/>
      <c r="X12" s="15"/>
      <c r="Y12" s="15"/>
      <c r="Z12" s="15"/>
      <c r="AA12" s="15"/>
      <c r="AB12" s="15"/>
      <c r="AC12" s="58"/>
    </row>
    <row r="13">
      <c r="A13" s="7"/>
      <c r="B13" s="34" t="s">
        <v>20</v>
      </c>
      <c r="C13" s="45">
        <v>0.011171447290655818</v>
      </c>
      <c r="D13" s="45">
        <v>0.011861338795628939</v>
      </c>
      <c r="E13" s="45">
        <v>0.024292583840127637</v>
      </c>
      <c r="F13" s="45">
        <v>0.022704461953382465</v>
      </c>
      <c r="G13" s="46">
        <v>0.010916574780501105</v>
      </c>
      <c r="H13" s="45">
        <v>0.0480629859380787</v>
      </c>
      <c r="I13" s="47">
        <v>0.028257982593364938</v>
      </c>
      <c r="J13" s="48">
        <v>0.01508776791777831</v>
      </c>
      <c r="K13" s="47">
        <v>5.6934009884088415</v>
      </c>
      <c r="L13" s="47">
        <v>5.693400988408844</v>
      </c>
      <c r="M13" s="47">
        <v>5.329280867800199</v>
      </c>
      <c r="N13" s="41">
        <v>5.329280867800201</v>
      </c>
      <c r="O13" s="41"/>
      <c r="P13" s="47">
        <v>0.008939853894461662</v>
      </c>
      <c r="Q13" s="47">
        <v>0.00879119930300666</v>
      </c>
      <c r="R13" s="47">
        <v>0.01519762814502869</v>
      </c>
      <c r="S13" s="46">
        <v>0.007757831566699741</v>
      </c>
      <c r="T13" s="45">
        <v>0.009899245513088108</v>
      </c>
      <c r="U13" s="49">
        <v>0.023181010747145167</v>
      </c>
      <c r="V13" s="47">
        <v>0.030189443008041803</v>
      </c>
      <c r="W13" s="47">
        <v>0.013341478993289876</v>
      </c>
      <c r="X13" s="47">
        <v>4.543479930245452</v>
      </c>
      <c r="Y13" s="47">
        <v>4.543479930245452</v>
      </c>
      <c r="Z13" s="41">
        <v>5.672545969648706</v>
      </c>
      <c r="AA13" s="41">
        <v>5.672545969648703</v>
      </c>
      <c r="AB13" s="50"/>
      <c r="AC13" s="51"/>
    </row>
    <row r="14">
      <c r="A14" s="15"/>
      <c r="B14" s="14"/>
      <c r="C14" s="15"/>
      <c r="D14" s="15"/>
      <c r="E14" s="15"/>
      <c r="F14" s="15"/>
      <c r="G14" s="44"/>
      <c r="H14" s="15"/>
      <c r="I14" s="15"/>
      <c r="J14" s="14"/>
      <c r="K14" s="15"/>
      <c r="L14" s="15"/>
      <c r="M14" s="15"/>
      <c r="N14" s="15"/>
      <c r="O14" s="15"/>
      <c r="P14" s="15"/>
      <c r="Q14" s="15"/>
      <c r="R14" s="15"/>
      <c r="S14" s="44"/>
      <c r="T14" s="15"/>
      <c r="U14" s="44"/>
      <c r="V14" s="15"/>
      <c r="W14" s="15"/>
      <c r="X14" s="15"/>
      <c r="Y14" s="15"/>
      <c r="Z14" s="15"/>
      <c r="AA14" s="15"/>
      <c r="AB14" s="15"/>
      <c r="AC14" s="51"/>
    </row>
    <row r="15">
      <c r="A15" s="5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1"/>
    </row>
    <row r="16">
      <c r="A16" s="54" t="s">
        <v>22</v>
      </c>
      <c r="B16" s="34" t="s">
        <v>19</v>
      </c>
      <c r="C16" s="36">
        <v>0.7201666666666667</v>
      </c>
      <c r="D16" s="36">
        <v>0.7109000000000002</v>
      </c>
      <c r="E16" s="36">
        <v>0.6048666666666667</v>
      </c>
      <c r="F16" s="36">
        <v>0.6724999999999999</v>
      </c>
      <c r="G16" s="37">
        <v>0.7113666666666667</v>
      </c>
      <c r="H16" s="36">
        <v>0.2323</v>
      </c>
      <c r="I16" s="36">
        <v>0.8747666666666667</v>
      </c>
      <c r="J16" s="55">
        <v>0.7578333333333334</v>
      </c>
      <c r="K16" s="36">
        <v>27.333333333333336</v>
      </c>
      <c r="L16" s="36">
        <v>54.333333333333336</v>
      </c>
      <c r="M16" s="36">
        <v>23.53333333333333</v>
      </c>
      <c r="N16" s="42">
        <v>164.13333333333333</v>
      </c>
      <c r="O16" s="56"/>
      <c r="P16" s="36">
        <v>0.7074</v>
      </c>
      <c r="Q16" s="36">
        <v>0.6912999999999999</v>
      </c>
      <c r="R16" s="36">
        <v>0.6143333333333334</v>
      </c>
      <c r="S16" s="37">
        <v>0.6757666666666665</v>
      </c>
      <c r="T16" s="36">
        <v>0.6888333333333333</v>
      </c>
      <c r="U16" s="37">
        <v>0.24663333333333332</v>
      </c>
      <c r="V16" s="36">
        <v>0.8099333333333334</v>
      </c>
      <c r="W16" s="36">
        <v>0.7678666666666667</v>
      </c>
      <c r="X16" s="36">
        <v>34.2</v>
      </c>
      <c r="Y16" s="36">
        <v>47.46666666666666</v>
      </c>
      <c r="Z16" s="42">
        <v>35.66666666666666</v>
      </c>
      <c r="AA16" s="42">
        <v>151.99999999999997</v>
      </c>
      <c r="AB16" s="57"/>
      <c r="AC16" s="58"/>
    </row>
    <row r="17">
      <c r="A17" s="7"/>
      <c r="B17" s="14"/>
      <c r="C17" s="15"/>
      <c r="D17" s="15"/>
      <c r="E17" s="15"/>
      <c r="F17" s="15"/>
      <c r="G17" s="44"/>
      <c r="H17" s="15"/>
      <c r="I17" s="15"/>
      <c r="J17" s="14"/>
      <c r="K17" s="15"/>
      <c r="L17" s="15"/>
      <c r="M17" s="15"/>
      <c r="N17" s="15"/>
      <c r="O17" s="15"/>
      <c r="P17" s="15"/>
      <c r="Q17" s="15"/>
      <c r="R17" s="15"/>
      <c r="S17" s="44"/>
      <c r="T17" s="15"/>
      <c r="U17" s="44"/>
      <c r="V17" s="15"/>
      <c r="W17" s="15"/>
      <c r="X17" s="15"/>
      <c r="Y17" s="15"/>
      <c r="Z17" s="15"/>
      <c r="AA17" s="15"/>
      <c r="AB17" s="15"/>
      <c r="AC17" s="58"/>
    </row>
    <row r="18">
      <c r="A18" s="7"/>
      <c r="B18" s="34" t="s">
        <v>20</v>
      </c>
      <c r="C18" s="45">
        <v>0.01695327638679066</v>
      </c>
      <c r="D18" s="45">
        <v>0.015327736498675812</v>
      </c>
      <c r="E18" s="45">
        <v>0.024172834461972516</v>
      </c>
      <c r="F18" s="45">
        <v>0.019899283441407702</v>
      </c>
      <c r="G18" s="46">
        <v>0.029040393324547907</v>
      </c>
      <c r="H18" s="45">
        <v>0.04508358492433394</v>
      </c>
      <c r="I18" s="47">
        <v>0.0401509651191599</v>
      </c>
      <c r="J18" s="48">
        <v>0.01650233803113448</v>
      </c>
      <c r="K18" s="47">
        <v>6.236095644623235</v>
      </c>
      <c r="L18" s="47">
        <v>6.236095644623235</v>
      </c>
      <c r="M18" s="47">
        <v>7.5542482529148245</v>
      </c>
      <c r="N18" s="41">
        <v>7.554248252914812</v>
      </c>
      <c r="O18" s="41"/>
      <c r="P18" s="47">
        <v>0.022719872195780328</v>
      </c>
      <c r="Q18" s="47">
        <v>0.029271167290832453</v>
      </c>
      <c r="R18" s="47">
        <v>0.02559369135230473</v>
      </c>
      <c r="S18" s="46">
        <v>0.026675484653169535</v>
      </c>
      <c r="T18" s="45">
        <v>0.017488091186099567</v>
      </c>
      <c r="U18" s="49">
        <v>0.04503673397802518</v>
      </c>
      <c r="V18" s="47">
        <v>0.07275068197890007</v>
      </c>
      <c r="W18" s="47">
        <v>0.01959541392554849</v>
      </c>
      <c r="X18" s="47">
        <v>7.992589160058302</v>
      </c>
      <c r="Y18" s="47">
        <v>7.992589160058302</v>
      </c>
      <c r="Z18" s="41">
        <v>13.649040123623942</v>
      </c>
      <c r="AA18" s="41">
        <v>13.649040123623942</v>
      </c>
      <c r="AB18" s="50"/>
      <c r="AC18" s="51"/>
    </row>
    <row r="19">
      <c r="A19" s="15"/>
      <c r="B19" s="14"/>
      <c r="C19" s="15"/>
      <c r="D19" s="15"/>
      <c r="E19" s="15"/>
      <c r="F19" s="15"/>
      <c r="G19" s="44"/>
      <c r="H19" s="15"/>
      <c r="I19" s="15"/>
      <c r="J19" s="14"/>
      <c r="K19" s="15"/>
      <c r="L19" s="15"/>
      <c r="M19" s="15"/>
      <c r="N19" s="15"/>
      <c r="O19" s="15"/>
      <c r="P19" s="15"/>
      <c r="Q19" s="15"/>
      <c r="R19" s="15"/>
      <c r="S19" s="44"/>
      <c r="T19" s="15"/>
      <c r="U19" s="44"/>
      <c r="V19" s="15"/>
      <c r="W19" s="15"/>
      <c r="X19" s="15"/>
      <c r="Y19" s="15"/>
      <c r="Z19" s="15"/>
      <c r="AA19" s="15"/>
      <c r="AB19" s="15"/>
      <c r="AC19" s="51"/>
    </row>
    <row r="21">
      <c r="A21" s="54" t="s">
        <v>23</v>
      </c>
      <c r="B21" s="34" t="s">
        <v>19</v>
      </c>
      <c r="C21" s="36">
        <v>0.7497666666666667</v>
      </c>
      <c r="D21" s="35">
        <v>0.7395</v>
      </c>
      <c r="E21" s="36">
        <v>0.6499333333333333</v>
      </c>
      <c r="F21" s="36">
        <v>0.7159</v>
      </c>
      <c r="G21" s="60">
        <v>0.7399333333333333</v>
      </c>
      <c r="H21" s="36">
        <v>0.3252333333333333</v>
      </c>
      <c r="I21" s="36">
        <v>0.8779999999999999</v>
      </c>
      <c r="J21" s="55">
        <v>0.7817000000000001</v>
      </c>
      <c r="K21" s="36">
        <v>34.43333333333334</v>
      </c>
      <c r="L21" s="36">
        <v>47.233333333333334</v>
      </c>
      <c r="M21" s="36">
        <v>22.866666666666667</v>
      </c>
      <c r="N21" s="42">
        <v>164.76666666666668</v>
      </c>
      <c r="O21" s="56"/>
      <c r="P21" s="36">
        <v>0.7583666666666666</v>
      </c>
      <c r="Q21" s="36">
        <v>0.7275666666666666</v>
      </c>
      <c r="R21" s="36">
        <v>0.6704333333333333</v>
      </c>
      <c r="S21" s="37">
        <v>0.723</v>
      </c>
      <c r="T21" s="36">
        <v>0.7292333333333334</v>
      </c>
      <c r="U21" s="37">
        <v>0.3519333333333334</v>
      </c>
      <c r="V21" s="36">
        <v>0.8157666666666665</v>
      </c>
      <c r="W21" s="36">
        <v>0.8009666666666668</v>
      </c>
      <c r="X21" s="36">
        <v>42.9</v>
      </c>
      <c r="Y21" s="36">
        <v>38.766666666666666</v>
      </c>
      <c r="Z21" s="42">
        <v>34.6</v>
      </c>
      <c r="AA21" s="42">
        <v>153.0666666666667</v>
      </c>
      <c r="AB21" s="57"/>
      <c r="AC21" s="58"/>
    </row>
    <row r="22">
      <c r="A22" s="7"/>
      <c r="B22" s="14"/>
      <c r="C22" s="15"/>
      <c r="D22" s="15"/>
      <c r="E22" s="15"/>
      <c r="F22" s="15"/>
      <c r="G22" s="44"/>
      <c r="H22" s="15"/>
      <c r="I22" s="15"/>
      <c r="J22" s="14"/>
      <c r="K22" s="15"/>
      <c r="L22" s="15"/>
      <c r="M22" s="15"/>
      <c r="N22" s="15"/>
      <c r="O22" s="15"/>
      <c r="P22" s="15"/>
      <c r="Q22" s="15"/>
      <c r="R22" s="15"/>
      <c r="S22" s="44"/>
      <c r="T22" s="15"/>
      <c r="U22" s="44"/>
      <c r="V22" s="15"/>
      <c r="W22" s="15"/>
      <c r="X22" s="15"/>
      <c r="Y22" s="15"/>
      <c r="Z22" s="15"/>
      <c r="AA22" s="15"/>
      <c r="AB22" s="15"/>
      <c r="AC22" s="58"/>
    </row>
    <row r="23">
      <c r="A23" s="7"/>
      <c r="B23" s="34" t="s">
        <v>20</v>
      </c>
      <c r="C23" s="45">
        <v>0.024987923008851654</v>
      </c>
      <c r="D23" s="45">
        <v>0.010483673373746793</v>
      </c>
      <c r="E23" s="45">
        <v>0.020985474106076096</v>
      </c>
      <c r="F23" s="45">
        <v>0.024241098659044513</v>
      </c>
      <c r="G23" s="46">
        <v>0.015279939241040067</v>
      </c>
      <c r="H23" s="45">
        <v>0.0518706963111396</v>
      </c>
      <c r="I23" s="47">
        <v>0.016860356014576673</v>
      </c>
      <c r="J23" s="48">
        <v>0.01023000911142082</v>
      </c>
      <c r="K23" s="47">
        <v>4.320636670048512</v>
      </c>
      <c r="L23" s="47">
        <v>4.320636670048512</v>
      </c>
      <c r="M23" s="47">
        <v>3.115869377125531</v>
      </c>
      <c r="N23" s="41">
        <v>3.154655583713042</v>
      </c>
      <c r="O23" s="41" t="e">
        <v>#DIV/0!</v>
      </c>
      <c r="P23" s="47">
        <v>0.011257315865419597</v>
      </c>
      <c r="Q23" s="47">
        <v>0.02078166927313054</v>
      </c>
      <c r="R23" s="47">
        <v>0.02025092590475804</v>
      </c>
      <c r="S23" s="46">
        <v>0.01756610091154466</v>
      </c>
      <c r="T23" s="45">
        <v>0.01264915944116055</v>
      </c>
      <c r="U23" s="49">
        <v>0.0319690436686245</v>
      </c>
      <c r="V23" s="47">
        <v>0.05630342182000997</v>
      </c>
      <c r="W23" s="47">
        <v>0.019413912537147148</v>
      </c>
      <c r="X23" s="47">
        <v>6.624030327359454</v>
      </c>
      <c r="Y23" s="47">
        <v>6.624030327359454</v>
      </c>
      <c r="Z23" s="41">
        <v>10.579271603202224</v>
      </c>
      <c r="AA23" s="41">
        <v>10.579271603202223</v>
      </c>
      <c r="AB23" s="50"/>
      <c r="AC23" s="51"/>
    </row>
    <row r="24">
      <c r="A24" s="15"/>
      <c r="B24" s="14"/>
      <c r="C24" s="15"/>
      <c r="D24" s="15"/>
      <c r="E24" s="15"/>
      <c r="F24" s="15"/>
      <c r="G24" s="44"/>
      <c r="H24" s="15"/>
      <c r="I24" s="15"/>
      <c r="J24" s="14"/>
      <c r="K24" s="15"/>
      <c r="L24" s="15"/>
      <c r="M24" s="15"/>
      <c r="N24" s="15"/>
      <c r="O24" s="15"/>
      <c r="P24" s="15"/>
      <c r="Q24" s="15"/>
      <c r="R24" s="15"/>
      <c r="S24" s="44"/>
      <c r="T24" s="15"/>
      <c r="U24" s="44"/>
      <c r="V24" s="15"/>
      <c r="W24" s="15"/>
      <c r="X24" s="15"/>
      <c r="Y24" s="15"/>
      <c r="Z24" s="15"/>
      <c r="AA24" s="15"/>
      <c r="AB24" s="15"/>
      <c r="AC24" s="51"/>
    </row>
    <row r="25" ht="21.0" customHeight="1"/>
    <row r="26">
      <c r="A26" s="54" t="s">
        <v>24</v>
      </c>
      <c r="B26" s="34" t="s">
        <v>19</v>
      </c>
      <c r="C26" s="36">
        <v>0.7478</v>
      </c>
      <c r="D26" s="36">
        <v>0.7232666666666666</v>
      </c>
      <c r="E26" s="36">
        <v>0.6424666666666667</v>
      </c>
      <c r="F26" s="36">
        <v>0.7018</v>
      </c>
      <c r="G26" s="37">
        <v>0.7254999999999999</v>
      </c>
      <c r="H26" s="36">
        <v>0.31366666666666665</v>
      </c>
      <c r="I26" s="36">
        <v>0.8481</v>
      </c>
      <c r="J26" s="55">
        <v>0.7824666666666666</v>
      </c>
      <c r="K26" s="36">
        <v>35.66666666666667</v>
      </c>
      <c r="L26" s="36">
        <v>46.00000000000001</v>
      </c>
      <c r="M26" s="36">
        <v>28.46666666666667</v>
      </c>
      <c r="N26" s="42">
        <v>159.13333333333333</v>
      </c>
      <c r="O26" s="56"/>
      <c r="P26" s="36">
        <v>0.7488333333333334</v>
      </c>
      <c r="Q26" s="36">
        <v>0.7201</v>
      </c>
      <c r="R26" s="36">
        <v>0.6587</v>
      </c>
      <c r="S26" s="37">
        <v>0.7134333333333333</v>
      </c>
      <c r="T26" s="36">
        <v>0.7223666666666666</v>
      </c>
      <c r="U26" s="37">
        <v>0.3316</v>
      </c>
      <c r="V26" s="36">
        <v>0.8145</v>
      </c>
      <c r="W26" s="36">
        <v>0.7929999999999999</v>
      </c>
      <c r="X26" s="36">
        <v>41.06666666666668</v>
      </c>
      <c r="Y26" s="36">
        <v>40.599999999999994</v>
      </c>
      <c r="Z26" s="42">
        <v>34.8</v>
      </c>
      <c r="AA26" s="42">
        <v>152.86666666666667</v>
      </c>
      <c r="AB26" s="57"/>
      <c r="AC26" s="58"/>
    </row>
    <row r="27">
      <c r="A27" s="7"/>
      <c r="B27" s="14"/>
      <c r="C27" s="15"/>
      <c r="D27" s="15"/>
      <c r="E27" s="15"/>
      <c r="F27" s="15"/>
      <c r="G27" s="44"/>
      <c r="H27" s="15"/>
      <c r="I27" s="15"/>
      <c r="J27" s="14"/>
      <c r="K27" s="15"/>
      <c r="L27" s="15"/>
      <c r="M27" s="15"/>
      <c r="N27" s="15"/>
      <c r="O27" s="15"/>
      <c r="P27" s="15"/>
      <c r="Q27" s="15"/>
      <c r="R27" s="15"/>
      <c r="S27" s="44"/>
      <c r="T27" s="15"/>
      <c r="U27" s="44"/>
      <c r="V27" s="15"/>
      <c r="W27" s="15"/>
      <c r="X27" s="15"/>
      <c r="Y27" s="15"/>
      <c r="Z27" s="15"/>
      <c r="AA27" s="15"/>
      <c r="AB27" s="15"/>
      <c r="AC27" s="58"/>
    </row>
    <row r="28">
      <c r="A28" s="7"/>
      <c r="B28" s="34" t="s">
        <v>20</v>
      </c>
      <c r="C28" s="45">
        <v>0.02058838219679931</v>
      </c>
      <c r="D28" s="45">
        <v>0.017582819897717077</v>
      </c>
      <c r="E28" s="45">
        <v>0.026614857078029724</v>
      </c>
      <c r="F28" s="45">
        <v>0.02056017966006913</v>
      </c>
      <c r="G28" s="46">
        <v>0.012281924890356</v>
      </c>
      <c r="H28" s="45">
        <v>0.03606852189381951</v>
      </c>
      <c r="I28" s="47">
        <v>0.056460638534324904</v>
      </c>
      <c r="J28" s="48">
        <v>0.020408301385272103</v>
      </c>
      <c r="K28" s="47">
        <v>8.092062869348055</v>
      </c>
      <c r="L28" s="47">
        <v>8.092062869348055</v>
      </c>
      <c r="M28" s="47">
        <v>10.648363926960219</v>
      </c>
      <c r="N28" s="41">
        <v>10.603051040055634</v>
      </c>
      <c r="O28" s="41" t="e">
        <v>#DIV/0!</v>
      </c>
      <c r="P28" s="47">
        <v>0.013950751119209443</v>
      </c>
      <c r="Q28" s="47">
        <v>0.01363732170222131</v>
      </c>
      <c r="R28" s="47">
        <v>0.020529683417787235</v>
      </c>
      <c r="S28" s="46">
        <v>0.011957796155182108</v>
      </c>
      <c r="T28" s="45">
        <v>0.009156324131710244</v>
      </c>
      <c r="U28" s="49">
        <v>0.021992591345134274</v>
      </c>
      <c r="V28" s="47">
        <v>0.05239598750069363</v>
      </c>
      <c r="W28" s="47">
        <v>0.017874735601946846</v>
      </c>
      <c r="X28" s="47">
        <v>7.162660378916743</v>
      </c>
      <c r="Y28" s="47">
        <v>7.162660378916741</v>
      </c>
      <c r="Z28" s="41">
        <v>9.850988544742195</v>
      </c>
      <c r="AA28" s="41">
        <v>9.850988544742192</v>
      </c>
      <c r="AB28" s="50"/>
      <c r="AC28" s="51"/>
    </row>
    <row r="29">
      <c r="A29" s="15"/>
      <c r="B29" s="14"/>
      <c r="C29" s="15"/>
      <c r="D29" s="15"/>
      <c r="E29" s="15"/>
      <c r="F29" s="15"/>
      <c r="G29" s="44"/>
      <c r="H29" s="15"/>
      <c r="I29" s="15"/>
      <c r="J29" s="14"/>
      <c r="K29" s="15"/>
      <c r="L29" s="15"/>
      <c r="M29" s="15"/>
      <c r="N29" s="15"/>
      <c r="O29" s="15"/>
      <c r="P29" s="15"/>
      <c r="Q29" s="15"/>
      <c r="R29" s="15"/>
      <c r="S29" s="44"/>
      <c r="T29" s="15"/>
      <c r="U29" s="44"/>
      <c r="V29" s="15"/>
      <c r="W29" s="15"/>
      <c r="X29" s="15"/>
      <c r="Y29" s="15"/>
      <c r="Z29" s="15"/>
      <c r="AA29" s="15"/>
      <c r="AB29" s="15"/>
      <c r="AC29" s="51"/>
    </row>
    <row r="31">
      <c r="A31" s="54" t="s">
        <v>25</v>
      </c>
      <c r="B31" s="34" t="s">
        <v>19</v>
      </c>
      <c r="C31" s="36">
        <v>0.7637333333333334</v>
      </c>
      <c r="D31" s="36">
        <v>0.7312333333333333</v>
      </c>
      <c r="E31" s="35">
        <v>0.6540333333333334</v>
      </c>
      <c r="F31" s="35">
        <v>0.7178666666666665</v>
      </c>
      <c r="G31" s="37">
        <v>0.7237</v>
      </c>
      <c r="H31" s="35">
        <v>0.3334666666666666</v>
      </c>
      <c r="I31" s="36">
        <v>0.8505666666666667</v>
      </c>
      <c r="J31" s="61">
        <v>0.7863333333333333</v>
      </c>
      <c r="K31" s="35">
        <v>37.36666666666667</v>
      </c>
      <c r="L31" s="35">
        <v>44.300000000000004</v>
      </c>
      <c r="M31" s="36">
        <v>28.06666666666667</v>
      </c>
      <c r="N31" s="42">
        <v>159.60000000000002</v>
      </c>
      <c r="O31" s="56"/>
      <c r="P31" s="36">
        <v>0.7456333333333334</v>
      </c>
      <c r="Q31" s="36">
        <v>0.7113333333333334</v>
      </c>
      <c r="R31" s="36">
        <v>0.6613</v>
      </c>
      <c r="S31" s="37">
        <v>0.7062333333333334</v>
      </c>
      <c r="T31" s="36">
        <v>0.7219666666666668</v>
      </c>
      <c r="U31" s="37">
        <v>0.32853333333333334</v>
      </c>
      <c r="V31" s="36">
        <v>0.7881666666666668</v>
      </c>
      <c r="W31" s="36">
        <v>0.8016666666666667</v>
      </c>
      <c r="X31" s="36">
        <v>43.66666666666667</v>
      </c>
      <c r="Y31" s="36">
        <v>36.233333333333334</v>
      </c>
      <c r="Z31" s="42">
        <v>41.53333333333334</v>
      </c>
      <c r="AA31" s="42">
        <v>147.90000000000003</v>
      </c>
      <c r="AB31" s="57"/>
      <c r="AC31" s="58"/>
    </row>
    <row r="32">
      <c r="A32" s="7"/>
      <c r="B32" s="14"/>
      <c r="C32" s="15"/>
      <c r="D32" s="15"/>
      <c r="E32" s="15"/>
      <c r="F32" s="15"/>
      <c r="G32" s="44"/>
      <c r="H32" s="15"/>
      <c r="I32" s="15"/>
      <c r="J32" s="14"/>
      <c r="K32" s="15"/>
      <c r="L32" s="15"/>
      <c r="M32" s="15"/>
      <c r="N32" s="15"/>
      <c r="O32" s="15"/>
      <c r="P32" s="15"/>
      <c r="Q32" s="15"/>
      <c r="R32" s="15"/>
      <c r="S32" s="44"/>
      <c r="T32" s="15"/>
      <c r="U32" s="44"/>
      <c r="V32" s="15"/>
      <c r="W32" s="15"/>
      <c r="X32" s="15"/>
      <c r="Y32" s="15"/>
      <c r="Z32" s="15"/>
      <c r="AA32" s="15"/>
      <c r="AB32" s="15"/>
      <c r="AC32" s="58"/>
    </row>
    <row r="33">
      <c r="A33" s="7"/>
      <c r="B33" s="34" t="s">
        <v>20</v>
      </c>
      <c r="C33" s="45">
        <v>0.011315476127852504</v>
      </c>
      <c r="D33" s="45">
        <v>0.012198406088957323</v>
      </c>
      <c r="E33" s="45">
        <v>0.016525031517872116</v>
      </c>
      <c r="F33" s="45">
        <v>0.014239382009062041</v>
      </c>
      <c r="G33" s="46">
        <v>0.009356459444326861</v>
      </c>
      <c r="H33" s="45">
        <v>0.02650291388591911</v>
      </c>
      <c r="I33" s="47">
        <v>0.027798501158635622</v>
      </c>
      <c r="J33" s="48">
        <v>0.012271013722499752</v>
      </c>
      <c r="K33" s="47">
        <v>4.042688874169434</v>
      </c>
      <c r="L33" s="47">
        <v>4.042688874169437</v>
      </c>
      <c r="M33" s="47">
        <v>5.225578117937447</v>
      </c>
      <c r="N33" s="41">
        <v>5.225578117937451</v>
      </c>
      <c r="O33" s="41"/>
      <c r="P33" s="47">
        <v>0.008959724698151551</v>
      </c>
      <c r="Q33" s="47">
        <v>0.014696938456699069</v>
      </c>
      <c r="R33" s="47">
        <v>0.0046030183334175336</v>
      </c>
      <c r="S33" s="46">
        <v>0.014750555545093526</v>
      </c>
      <c r="T33" s="45">
        <v>0.008982019075167224</v>
      </c>
      <c r="U33" s="49">
        <v>0.014233918801385805</v>
      </c>
      <c r="V33" s="47">
        <v>0.03619553379447064</v>
      </c>
      <c r="W33" s="47">
        <v>0.009863513009515837</v>
      </c>
      <c r="X33" s="47">
        <v>2.996294007232564</v>
      </c>
      <c r="Y33" s="47">
        <v>6.184299115951264</v>
      </c>
      <c r="Z33" s="41">
        <v>8.461940938368953</v>
      </c>
      <c r="AA33" s="41">
        <v>6.798774399355606</v>
      </c>
      <c r="AB33" s="50"/>
      <c r="AC33" s="51"/>
    </row>
    <row r="34">
      <c r="A34" s="15"/>
      <c r="B34" s="14"/>
      <c r="C34" s="15"/>
      <c r="D34" s="15"/>
      <c r="E34" s="15"/>
      <c r="F34" s="15"/>
      <c r="G34" s="44"/>
      <c r="H34" s="15"/>
      <c r="I34" s="15"/>
      <c r="J34" s="14"/>
      <c r="K34" s="15"/>
      <c r="L34" s="15"/>
      <c r="M34" s="15"/>
      <c r="N34" s="15"/>
      <c r="O34" s="15"/>
      <c r="P34" s="15"/>
      <c r="Q34" s="15"/>
      <c r="R34" s="15"/>
      <c r="S34" s="44"/>
      <c r="T34" s="15"/>
      <c r="U34" s="44"/>
      <c r="V34" s="15"/>
      <c r="W34" s="15"/>
      <c r="X34" s="15"/>
      <c r="Y34" s="15"/>
      <c r="Z34" s="15"/>
      <c r="AA34" s="15"/>
      <c r="AB34" s="15"/>
      <c r="AC34" s="51"/>
    </row>
    <row r="36">
      <c r="A36" s="54" t="s">
        <v>26</v>
      </c>
      <c r="B36" s="34" t="s">
        <v>19</v>
      </c>
      <c r="C36" s="36">
        <v>0.7623666666666667</v>
      </c>
      <c r="D36" s="36">
        <v>0.7348666666666667</v>
      </c>
      <c r="E36" s="36">
        <v>0.6370333333333333</v>
      </c>
      <c r="F36" s="36">
        <v>0.7048666666666665</v>
      </c>
      <c r="G36" s="37">
        <v>0.7344999999999999</v>
      </c>
      <c r="H36" s="36">
        <v>0.3047666666666667</v>
      </c>
      <c r="I36" s="35">
        <v>0.8861666666666667</v>
      </c>
      <c r="J36" s="55">
        <v>0.7748666666666667</v>
      </c>
      <c r="K36" s="36">
        <v>31.666666666666664</v>
      </c>
      <c r="L36" s="36">
        <v>49.99999999999999</v>
      </c>
      <c r="M36" s="35">
        <v>21.366666666666667</v>
      </c>
      <c r="N36" s="57">
        <v>166.29999999999998</v>
      </c>
      <c r="O36" s="56"/>
      <c r="P36" s="36">
        <v>0.7445333333333333</v>
      </c>
      <c r="Q36" s="36">
        <v>0.7076333333333332</v>
      </c>
      <c r="R36" s="36">
        <v>0.6608</v>
      </c>
      <c r="S36" s="37">
        <v>0.7036333333333333</v>
      </c>
      <c r="T36" s="36">
        <v>0.7223333333333333</v>
      </c>
      <c r="U36" s="37">
        <v>0.32799999999999996</v>
      </c>
      <c r="V36" s="36">
        <v>0.7797666666666666</v>
      </c>
      <c r="W36" s="36">
        <v>0.8023333333333333</v>
      </c>
      <c r="X36" s="36">
        <v>44.266666666666666</v>
      </c>
      <c r="Y36" s="36">
        <v>37.4</v>
      </c>
      <c r="Z36" s="42">
        <v>41.333333333333336</v>
      </c>
      <c r="AA36" s="42">
        <v>146.33333333333331</v>
      </c>
      <c r="AB36" s="57"/>
      <c r="AC36" s="58"/>
    </row>
    <row r="37">
      <c r="A37" s="7"/>
      <c r="B37" s="14"/>
      <c r="C37" s="15"/>
      <c r="D37" s="15"/>
      <c r="E37" s="15"/>
      <c r="F37" s="15"/>
      <c r="G37" s="44"/>
      <c r="H37" s="15"/>
      <c r="I37" s="15"/>
      <c r="J37" s="14"/>
      <c r="K37" s="15"/>
      <c r="L37" s="15"/>
      <c r="M37" s="15"/>
      <c r="N37" s="15"/>
      <c r="O37" s="15"/>
      <c r="P37" s="15"/>
      <c r="Q37" s="15"/>
      <c r="R37" s="15"/>
      <c r="S37" s="44"/>
      <c r="T37" s="15"/>
      <c r="U37" s="44"/>
      <c r="V37" s="15"/>
      <c r="W37" s="15"/>
      <c r="X37" s="15"/>
      <c r="Y37" s="15"/>
      <c r="Z37" s="15"/>
      <c r="AA37" s="15"/>
      <c r="AB37" s="15"/>
      <c r="AC37" s="58"/>
    </row>
    <row r="38">
      <c r="A38" s="7"/>
      <c r="B38" s="34" t="s">
        <v>20</v>
      </c>
      <c r="C38" s="45">
        <v>0.01216090680504491</v>
      </c>
      <c r="D38" s="45">
        <v>0.011070146708519652</v>
      </c>
      <c r="E38" s="45">
        <v>0.023948220893223314</v>
      </c>
      <c r="F38" s="45">
        <v>0.02352524255001502</v>
      </c>
      <c r="G38" s="46">
        <v>0.01947917533174692</v>
      </c>
      <c r="H38" s="45">
        <v>0.04937862035484739</v>
      </c>
      <c r="I38" s="47">
        <v>0.027096193527942358</v>
      </c>
      <c r="J38" s="48">
        <v>0.014750768969283784</v>
      </c>
      <c r="K38" s="47">
        <v>5.624022548819451</v>
      </c>
      <c r="L38" s="47">
        <v>5.62402254881945</v>
      </c>
      <c r="M38" s="47">
        <v>5.078276172963507</v>
      </c>
      <c r="N38" s="41">
        <v>5.078276172963506</v>
      </c>
      <c r="O38" s="41"/>
      <c r="P38" s="47">
        <v>0.015802172065108925</v>
      </c>
      <c r="Q38" s="47">
        <v>0.020604715989007327</v>
      </c>
      <c r="R38" s="47">
        <v>0.02332550133106852</v>
      </c>
      <c r="S38" s="46">
        <v>0.01372971005781273</v>
      </c>
      <c r="T38" s="45">
        <v>0.010388740343560786</v>
      </c>
      <c r="U38" s="49">
        <v>0.025168567502411768</v>
      </c>
      <c r="V38" s="47">
        <v>0.07546776762709552</v>
      </c>
      <c r="W38" s="47">
        <v>0.02572072229848054</v>
      </c>
      <c r="X38" s="47">
        <v>9.447450501995462</v>
      </c>
      <c r="Y38" s="47">
        <v>9.447450501995462</v>
      </c>
      <c r="Z38" s="41">
        <v>14.157840387730202</v>
      </c>
      <c r="AA38" s="41">
        <v>14.1578403877302</v>
      </c>
      <c r="AB38" s="50"/>
      <c r="AC38" s="51"/>
    </row>
    <row r="39">
      <c r="A39" s="15"/>
      <c r="B39" s="14"/>
      <c r="C39" s="15"/>
      <c r="D39" s="15"/>
      <c r="E39" s="15"/>
      <c r="F39" s="15"/>
      <c r="G39" s="44"/>
      <c r="H39" s="15"/>
      <c r="I39" s="15"/>
      <c r="J39" s="14"/>
      <c r="K39" s="15"/>
      <c r="L39" s="15"/>
      <c r="M39" s="15"/>
      <c r="N39" s="15"/>
      <c r="O39" s="15"/>
      <c r="P39" s="15"/>
      <c r="Q39" s="15"/>
      <c r="R39" s="15"/>
      <c r="S39" s="44"/>
      <c r="T39" s="15"/>
      <c r="U39" s="44"/>
      <c r="V39" s="15"/>
      <c r="W39" s="15"/>
      <c r="X39" s="15"/>
      <c r="Y39" s="15"/>
      <c r="Z39" s="15"/>
      <c r="AA39" s="15"/>
      <c r="AB39" s="15"/>
      <c r="AC39" s="51"/>
    </row>
    <row r="40">
      <c r="A40" s="62" t="s">
        <v>27</v>
      </c>
      <c r="AC40" s="62"/>
    </row>
    <row r="41">
      <c r="AC41" s="62"/>
    </row>
    <row r="42">
      <c r="A42" s="33" t="s">
        <v>18</v>
      </c>
      <c r="B42" s="34" t="s">
        <v>28</v>
      </c>
      <c r="C42" s="36">
        <v>0.7833333333333333</v>
      </c>
      <c r="D42" s="36">
        <v>0.7426666666666667</v>
      </c>
      <c r="E42" s="36">
        <v>0.6836666666666668</v>
      </c>
      <c r="F42" s="36">
        <v>0.739</v>
      </c>
      <c r="G42" s="37">
        <v>0.737</v>
      </c>
      <c r="H42" s="36">
        <v>0.3766666666666667</v>
      </c>
      <c r="I42" s="36">
        <v>0.8330000000000001</v>
      </c>
      <c r="J42" s="55">
        <v>0.805</v>
      </c>
      <c r="K42" s="36">
        <v>43.666666666666664</v>
      </c>
      <c r="L42" s="36">
        <v>38.0</v>
      </c>
      <c r="M42" s="36">
        <v>31.333333333333332</v>
      </c>
      <c r="N42" s="42">
        <v>156.33333333333334</v>
      </c>
      <c r="O42" s="42"/>
      <c r="P42" s="36">
        <v>0.7706666666666667</v>
      </c>
      <c r="Q42" s="36">
        <v>0.729</v>
      </c>
      <c r="R42" s="36">
        <v>0.681</v>
      </c>
      <c r="S42" s="37">
        <v>0.7276666666666666</v>
      </c>
      <c r="T42" s="36">
        <v>0.7316666666666666</v>
      </c>
      <c r="U42" s="37">
        <v>0.36233333333333334</v>
      </c>
      <c r="V42" s="36">
        <v>0.8029999999999999</v>
      </c>
      <c r="W42" s="36">
        <v>0.8093333333333333</v>
      </c>
      <c r="X42" s="36">
        <v>45.666666666666664</v>
      </c>
      <c r="Y42" s="36">
        <v>36.0</v>
      </c>
      <c r="Z42" s="42">
        <v>37.0</v>
      </c>
      <c r="AA42" s="42">
        <v>150.66666666666666</v>
      </c>
      <c r="AB42" s="42"/>
      <c r="AC42" s="43"/>
    </row>
    <row r="43">
      <c r="A43" s="7"/>
      <c r="B43" s="14"/>
      <c r="C43" s="15"/>
      <c r="D43" s="15"/>
      <c r="E43" s="15"/>
      <c r="F43" s="15"/>
      <c r="G43" s="44"/>
      <c r="H43" s="15"/>
      <c r="I43" s="15"/>
      <c r="J43" s="14"/>
      <c r="K43" s="15"/>
      <c r="L43" s="15"/>
      <c r="M43" s="15"/>
      <c r="N43" s="15"/>
      <c r="O43" s="15"/>
      <c r="P43" s="15"/>
      <c r="Q43" s="15"/>
      <c r="R43" s="15"/>
      <c r="S43" s="44"/>
      <c r="T43" s="15"/>
      <c r="U43" s="44"/>
      <c r="V43" s="15"/>
      <c r="W43" s="15"/>
      <c r="X43" s="15"/>
      <c r="Y43" s="15"/>
      <c r="Z43" s="15"/>
      <c r="AA43" s="15"/>
      <c r="AB43" s="15"/>
      <c r="AC43" s="43"/>
    </row>
    <row r="44">
      <c r="A44" s="7"/>
      <c r="B44" s="34" t="s">
        <v>29</v>
      </c>
      <c r="C44" s="38">
        <v>0.018717193521821957</v>
      </c>
      <c r="D44" s="38">
        <v>0.012096831541082752</v>
      </c>
      <c r="E44" s="38">
        <v>0.023544284515213756</v>
      </c>
      <c r="F44" s="38">
        <v>0.014730919862656247</v>
      </c>
      <c r="G44" s="63">
        <v>0.017088007490635077</v>
      </c>
      <c r="H44" s="38">
        <v>0.03955165398985653</v>
      </c>
      <c r="I44" s="38">
        <v>0.013527749258468665</v>
      </c>
      <c r="J44" s="39">
        <v>0.018083141320025094</v>
      </c>
      <c r="K44" s="38">
        <v>4.725815626252608</v>
      </c>
      <c r="L44" s="38">
        <v>4.58257569495584</v>
      </c>
      <c r="M44" s="38">
        <v>2.516611478423583</v>
      </c>
      <c r="N44" s="40">
        <v>2.5166114784235836</v>
      </c>
      <c r="O44" s="40"/>
      <c r="P44" s="38">
        <v>0.01792577287966501</v>
      </c>
      <c r="Q44" s="38">
        <v>0.0036055512754639926</v>
      </c>
      <c r="R44" s="38">
        <v>0.036660605559646675</v>
      </c>
      <c r="S44" s="63">
        <v>0.012741009902410954</v>
      </c>
      <c r="T44" s="38">
        <v>0.02084066537645415</v>
      </c>
      <c r="U44" s="63">
        <v>0.04888080741286231</v>
      </c>
      <c r="V44" s="38">
        <v>0.05068530358989679</v>
      </c>
      <c r="W44" s="38">
        <v>0.03385754470326116</v>
      </c>
      <c r="X44" s="38">
        <v>10.066445913694333</v>
      </c>
      <c r="Y44" s="38">
        <v>10.14889156509222</v>
      </c>
      <c r="Z44" s="40">
        <v>9.539392014169456</v>
      </c>
      <c r="AA44" s="40">
        <v>9.018499505645792</v>
      </c>
      <c r="AB44" s="50"/>
      <c r="AC44" s="51"/>
    </row>
    <row r="45">
      <c r="A45" s="15"/>
      <c r="B45" s="14"/>
      <c r="C45" s="15"/>
      <c r="D45" s="15"/>
      <c r="E45" s="15"/>
      <c r="F45" s="15"/>
      <c r="G45" s="44"/>
      <c r="H45" s="15"/>
      <c r="I45" s="15"/>
      <c r="J45" s="14"/>
      <c r="K45" s="15"/>
      <c r="L45" s="15"/>
      <c r="M45" s="15"/>
      <c r="N45" s="15"/>
      <c r="O45" s="15"/>
      <c r="P45" s="15"/>
      <c r="Q45" s="15"/>
      <c r="R45" s="15"/>
      <c r="S45" s="44"/>
      <c r="T45" s="15"/>
      <c r="U45" s="44"/>
      <c r="V45" s="15"/>
      <c r="W45" s="15"/>
      <c r="X45" s="15"/>
      <c r="Y45" s="15"/>
      <c r="Z45" s="15"/>
      <c r="AA45" s="15"/>
      <c r="AB45" s="15"/>
      <c r="AC45" s="51"/>
    </row>
    <row r="46"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</row>
    <row r="47">
      <c r="A47" s="54" t="s">
        <v>21</v>
      </c>
      <c r="B47" s="34" t="s">
        <v>28</v>
      </c>
      <c r="C47" s="36">
        <v>0.7633333333333333</v>
      </c>
      <c r="D47" s="36">
        <v>0.7376666666666667</v>
      </c>
      <c r="E47" s="36">
        <v>0.6836666666666668</v>
      </c>
      <c r="F47" s="36">
        <v>0.734</v>
      </c>
      <c r="G47" s="37">
        <v>0.7376666666666667</v>
      </c>
      <c r="H47" s="36">
        <v>0.37399999999999994</v>
      </c>
      <c r="I47" s="36">
        <v>0.8210000000000001</v>
      </c>
      <c r="J47" s="55">
        <v>0.809</v>
      </c>
      <c r="K47" s="36">
        <v>44.666666666666664</v>
      </c>
      <c r="L47" s="36">
        <v>37.0</v>
      </c>
      <c r="M47" s="36">
        <v>33.666666666666664</v>
      </c>
      <c r="N47" s="42">
        <v>154.0</v>
      </c>
      <c r="O47" s="66"/>
      <c r="P47" s="36">
        <v>0.742</v>
      </c>
      <c r="Q47" s="36">
        <v>0.7103333333333334</v>
      </c>
      <c r="R47" s="36">
        <v>0.641</v>
      </c>
      <c r="S47" s="37">
        <v>0.7050000000000001</v>
      </c>
      <c r="T47" s="36">
        <v>0.7013333333333334</v>
      </c>
      <c r="U47" s="37">
        <v>0.29200000000000004</v>
      </c>
      <c r="V47" s="36">
        <v>0.8170000000000001</v>
      </c>
      <c r="W47" s="36">
        <v>0.7786666666666667</v>
      </c>
      <c r="X47" s="36">
        <v>38.0</v>
      </c>
      <c r="Y47" s="36">
        <v>43.666666666666664</v>
      </c>
      <c r="Z47" s="42">
        <v>34.333333333333336</v>
      </c>
      <c r="AA47" s="42">
        <v>153.33333333333334</v>
      </c>
      <c r="AB47" s="42"/>
      <c r="AC47" s="43"/>
    </row>
    <row r="48">
      <c r="A48" s="7"/>
      <c r="B48" s="14"/>
      <c r="C48" s="15"/>
      <c r="D48" s="15"/>
      <c r="E48" s="15"/>
      <c r="F48" s="15"/>
      <c r="G48" s="44"/>
      <c r="H48" s="15"/>
      <c r="I48" s="15"/>
      <c r="J48" s="14"/>
      <c r="K48" s="15"/>
      <c r="L48" s="15"/>
      <c r="M48" s="15"/>
      <c r="N48" s="15"/>
      <c r="O48" s="15"/>
      <c r="P48" s="15"/>
      <c r="Q48" s="15"/>
      <c r="R48" s="15"/>
      <c r="S48" s="44"/>
      <c r="T48" s="15"/>
      <c r="U48" s="44"/>
      <c r="V48" s="15"/>
      <c r="W48" s="15"/>
      <c r="X48" s="15"/>
      <c r="Y48" s="15"/>
      <c r="Z48" s="15"/>
      <c r="AA48" s="15"/>
      <c r="AB48" s="15"/>
      <c r="AC48" s="43"/>
    </row>
    <row r="49">
      <c r="A49" s="7"/>
      <c r="B49" s="34" t="s">
        <v>29</v>
      </c>
      <c r="C49" s="36">
        <v>0.033501243758005984</v>
      </c>
      <c r="D49" s="36">
        <v>0.004932882862316201</v>
      </c>
      <c r="E49" s="36">
        <v>0.040377386410382375</v>
      </c>
      <c r="F49" s="36">
        <v>0.012288205727444487</v>
      </c>
      <c r="G49" s="37">
        <v>0.021126602503321126</v>
      </c>
      <c r="H49" s="36">
        <v>0.051419840528729756</v>
      </c>
      <c r="I49" s="38">
        <v>0.058557663887829396</v>
      </c>
      <c r="J49" s="39">
        <v>0.03772267222772001</v>
      </c>
      <c r="K49" s="38">
        <v>11.590225767142474</v>
      </c>
      <c r="L49" s="38">
        <v>11.135528725660043</v>
      </c>
      <c r="M49" s="38">
        <v>11.015141094572204</v>
      </c>
      <c r="N49" s="40">
        <v>11.0</v>
      </c>
      <c r="O49" s="40"/>
      <c r="P49" s="38">
        <v>0.030265491900843138</v>
      </c>
      <c r="Q49" s="38">
        <v>0.02371356854910986</v>
      </c>
      <c r="R49" s="38">
        <v>0.03174901573277512</v>
      </c>
      <c r="S49" s="37">
        <v>0.024979991993593565</v>
      </c>
      <c r="T49" s="36">
        <v>0.026102362600602502</v>
      </c>
      <c r="U49" s="63">
        <v>0.06369458375717672</v>
      </c>
      <c r="V49" s="38">
        <v>0.013527749258468637</v>
      </c>
      <c r="W49" s="38">
        <v>0.017387735140993333</v>
      </c>
      <c r="X49" s="38">
        <v>4.358898943540674</v>
      </c>
      <c r="Y49" s="38">
        <v>3.785938897200182</v>
      </c>
      <c r="Z49" s="40">
        <v>2.5166114784235836</v>
      </c>
      <c r="AA49" s="40">
        <v>2.5166114784235836</v>
      </c>
      <c r="AB49" s="50"/>
      <c r="AC49" s="51"/>
    </row>
    <row r="50">
      <c r="A50" s="15"/>
      <c r="B50" s="14"/>
      <c r="C50" s="15"/>
      <c r="D50" s="15"/>
      <c r="E50" s="15"/>
      <c r="F50" s="15"/>
      <c r="G50" s="44"/>
      <c r="H50" s="15"/>
      <c r="I50" s="15"/>
      <c r="J50" s="14"/>
      <c r="K50" s="15"/>
      <c r="L50" s="15"/>
      <c r="M50" s="15"/>
      <c r="N50" s="15"/>
      <c r="O50" s="15"/>
      <c r="P50" s="15"/>
      <c r="Q50" s="15"/>
      <c r="R50" s="15"/>
      <c r="S50" s="44"/>
      <c r="T50" s="15"/>
      <c r="U50" s="44"/>
      <c r="V50" s="15"/>
      <c r="W50" s="15"/>
      <c r="X50" s="15"/>
      <c r="Y50" s="15"/>
      <c r="Z50" s="15"/>
      <c r="AA50" s="15"/>
      <c r="AB50" s="15"/>
      <c r="AC50" s="51"/>
    </row>
    <row r="51">
      <c r="B51" s="6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>
      <c r="A52" s="54" t="s">
        <v>22</v>
      </c>
      <c r="B52" s="34" t="s">
        <v>30</v>
      </c>
      <c r="C52" s="36">
        <v>0.7266666666666667</v>
      </c>
      <c r="D52" s="36">
        <v>0.7386666666666666</v>
      </c>
      <c r="E52" s="36">
        <v>0.6436666666666667</v>
      </c>
      <c r="F52" s="36">
        <v>0.7123333333333334</v>
      </c>
      <c r="G52" s="37">
        <v>0.7223333333333334</v>
      </c>
      <c r="H52" s="36">
        <v>0.32233333333333336</v>
      </c>
      <c r="I52" s="36">
        <v>0.8866666666666667</v>
      </c>
      <c r="J52" s="55">
        <v>0.778</v>
      </c>
      <c r="K52" s="36">
        <v>32.666666666666664</v>
      </c>
      <c r="L52" s="36">
        <v>49.0</v>
      </c>
      <c r="M52" s="36">
        <v>21.333333333333332</v>
      </c>
      <c r="N52" s="42">
        <v>166.33333333333334</v>
      </c>
      <c r="O52" s="66"/>
      <c r="P52" s="36">
        <v>0.727</v>
      </c>
      <c r="Q52" s="36">
        <v>0.7016666666666667</v>
      </c>
      <c r="R52" s="36">
        <v>0.6626666666666667</v>
      </c>
      <c r="S52" s="37">
        <v>0.7053333333333334</v>
      </c>
      <c r="T52" s="36">
        <v>0.7120000000000001</v>
      </c>
      <c r="U52" s="37">
        <v>0.317</v>
      </c>
      <c r="V52" s="36">
        <v>0.762</v>
      </c>
      <c r="W52" s="36">
        <v>0.801</v>
      </c>
      <c r="X52" s="36">
        <v>46.0</v>
      </c>
      <c r="Y52" s="36">
        <v>35.666666666666664</v>
      </c>
      <c r="Z52" s="42">
        <v>44.666666666666664</v>
      </c>
      <c r="AA52" s="42">
        <v>143.0</v>
      </c>
      <c r="AB52" s="42"/>
      <c r="AC52" s="43"/>
    </row>
    <row r="53">
      <c r="A53" s="7"/>
      <c r="B53" s="14"/>
      <c r="C53" s="15"/>
      <c r="D53" s="15"/>
      <c r="E53" s="15"/>
      <c r="F53" s="15"/>
      <c r="G53" s="44"/>
      <c r="H53" s="15"/>
      <c r="I53" s="15"/>
      <c r="J53" s="14"/>
      <c r="K53" s="15"/>
      <c r="L53" s="15"/>
      <c r="M53" s="15"/>
      <c r="N53" s="15"/>
      <c r="O53" s="15"/>
      <c r="P53" s="15"/>
      <c r="Q53" s="15"/>
      <c r="R53" s="15"/>
      <c r="S53" s="44"/>
      <c r="T53" s="15"/>
      <c r="U53" s="44"/>
      <c r="V53" s="15"/>
      <c r="W53" s="15"/>
      <c r="X53" s="15"/>
      <c r="Y53" s="15"/>
      <c r="Z53" s="15"/>
      <c r="AA53" s="15"/>
      <c r="AB53" s="15"/>
      <c r="AC53" s="43"/>
    </row>
    <row r="54">
      <c r="A54" s="7"/>
      <c r="B54" s="34" t="s">
        <v>29</v>
      </c>
      <c r="C54" s="36">
        <v>0.0659570567364352</v>
      </c>
      <c r="D54" s="36">
        <v>0.0470141822574139</v>
      </c>
      <c r="E54" s="36">
        <v>0.09436807369726968</v>
      </c>
      <c r="F54" s="36">
        <v>0.07580457330091199</v>
      </c>
      <c r="G54" s="37">
        <v>0.07296802952891998</v>
      </c>
      <c r="H54" s="36">
        <v>0.18142859017622703</v>
      </c>
      <c r="I54" s="38">
        <v>0.08115622793928595</v>
      </c>
      <c r="J54" s="39">
        <v>0.060324124527422716</v>
      </c>
      <c r="K54" s="38">
        <v>19.857828011475306</v>
      </c>
      <c r="L54" s="38">
        <v>20.29778313018444</v>
      </c>
      <c r="M54" s="38">
        <v>15.307950004273378</v>
      </c>
      <c r="N54" s="40">
        <v>15.011106998930268</v>
      </c>
      <c r="O54" s="40"/>
      <c r="P54" s="38">
        <v>0.051961524227066284</v>
      </c>
      <c r="Q54" s="38">
        <v>0.02311565126344768</v>
      </c>
      <c r="R54" s="38">
        <v>0.034530180036213796</v>
      </c>
      <c r="S54" s="37">
        <v>0.02454248017893327</v>
      </c>
      <c r="T54" s="36">
        <v>0.027999999999999945</v>
      </c>
      <c r="U54" s="63">
        <v>0.06295236294214858</v>
      </c>
      <c r="V54" s="38">
        <v>0.029816103031751175</v>
      </c>
      <c r="W54" s="38">
        <v>0.027073972741361772</v>
      </c>
      <c r="X54" s="38">
        <v>6.244997998398398</v>
      </c>
      <c r="Y54" s="38">
        <v>6.658328118479393</v>
      </c>
      <c r="Z54" s="40">
        <v>5.686240703077327</v>
      </c>
      <c r="AA54" s="40">
        <v>5.5677643628300215</v>
      </c>
      <c r="AB54" s="50"/>
      <c r="AC54" s="51"/>
    </row>
    <row r="55">
      <c r="A55" s="15"/>
      <c r="B55" s="14"/>
      <c r="C55" s="15"/>
      <c r="D55" s="15"/>
      <c r="E55" s="15"/>
      <c r="F55" s="15"/>
      <c r="G55" s="44"/>
      <c r="H55" s="15"/>
      <c r="I55" s="15"/>
      <c r="J55" s="14"/>
      <c r="K55" s="15"/>
      <c r="L55" s="15"/>
      <c r="M55" s="15"/>
      <c r="N55" s="15"/>
      <c r="O55" s="15"/>
      <c r="P55" s="15"/>
      <c r="Q55" s="15"/>
      <c r="R55" s="15"/>
      <c r="S55" s="44"/>
      <c r="T55" s="15"/>
      <c r="U55" s="44"/>
      <c r="V55" s="15"/>
      <c r="W55" s="15"/>
      <c r="X55" s="15"/>
      <c r="Y55" s="15"/>
      <c r="Z55" s="15"/>
      <c r="AA55" s="15"/>
      <c r="AB55" s="15"/>
      <c r="AC55" s="51"/>
    </row>
    <row r="56">
      <c r="B56" s="6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</row>
    <row r="57">
      <c r="A57" s="54" t="s">
        <v>23</v>
      </c>
      <c r="B57" s="34" t="s">
        <v>30</v>
      </c>
      <c r="C57" s="36">
        <v>0.771</v>
      </c>
      <c r="D57" s="36">
        <v>0.7546666666666667</v>
      </c>
      <c r="E57" s="36">
        <v>0.677</v>
      </c>
      <c r="F57" s="36">
        <v>0.7436666666666666</v>
      </c>
      <c r="G57" s="37">
        <v>0.7483333333333334</v>
      </c>
      <c r="H57" s="36">
        <v>0.39166666666666666</v>
      </c>
      <c r="I57" s="36">
        <v>0.8753333333333333</v>
      </c>
      <c r="J57" s="55">
        <v>0.7946666666666666</v>
      </c>
      <c r="K57" s="36">
        <v>39.0</v>
      </c>
      <c r="L57" s="36">
        <v>42.666666666666664</v>
      </c>
      <c r="M57" s="36">
        <v>23.333333333333332</v>
      </c>
      <c r="N57" s="42">
        <v>164.33333333333334</v>
      </c>
      <c r="O57" s="66"/>
      <c r="P57" s="36">
        <v>0.7543333333333333</v>
      </c>
      <c r="Q57" s="36">
        <v>0.7426666666666667</v>
      </c>
      <c r="R57" s="36">
        <v>0.6846666666666668</v>
      </c>
      <c r="S57" s="37">
        <v>0.7376666666666667</v>
      </c>
      <c r="T57" s="36">
        <v>0.7396666666666666</v>
      </c>
      <c r="U57" s="37">
        <v>0.3786666666666667</v>
      </c>
      <c r="V57" s="36">
        <v>0.8313333333333333</v>
      </c>
      <c r="W57" s="36">
        <v>0.8093333333333333</v>
      </c>
      <c r="X57" s="36">
        <v>44.0</v>
      </c>
      <c r="Y57" s="36">
        <v>37.666666666666664</v>
      </c>
      <c r="Z57" s="42">
        <v>31.666666666666668</v>
      </c>
      <c r="AA57" s="42">
        <v>156.0</v>
      </c>
      <c r="AB57" s="42"/>
      <c r="AC57" s="43"/>
    </row>
    <row r="58">
      <c r="A58" s="7"/>
      <c r="B58" s="14"/>
      <c r="C58" s="15"/>
      <c r="D58" s="15"/>
      <c r="E58" s="15"/>
      <c r="F58" s="15"/>
      <c r="G58" s="44"/>
      <c r="H58" s="15"/>
      <c r="I58" s="15"/>
      <c r="J58" s="14"/>
      <c r="K58" s="15"/>
      <c r="L58" s="15"/>
      <c r="M58" s="15"/>
      <c r="N58" s="15"/>
      <c r="O58" s="15"/>
      <c r="P58" s="15"/>
      <c r="Q58" s="15"/>
      <c r="R58" s="15"/>
      <c r="S58" s="44"/>
      <c r="T58" s="15"/>
      <c r="U58" s="44"/>
      <c r="V58" s="15"/>
      <c r="W58" s="15"/>
      <c r="X58" s="15"/>
      <c r="Y58" s="15"/>
      <c r="Z58" s="15"/>
      <c r="AA58" s="15"/>
      <c r="AB58" s="15"/>
      <c r="AC58" s="43"/>
    </row>
    <row r="59">
      <c r="A59" s="7"/>
      <c r="B59" s="34" t="s">
        <v>29</v>
      </c>
      <c r="C59" s="36">
        <v>0.023259406699226035</v>
      </c>
      <c r="D59" s="36">
        <v>0.02650157228040131</v>
      </c>
      <c r="E59" s="36">
        <v>0.02137755832643195</v>
      </c>
      <c r="F59" s="36">
        <v>0.020008331597945288</v>
      </c>
      <c r="G59" s="37">
        <v>0.030353473167552575</v>
      </c>
      <c r="H59" s="36">
        <v>0.05758761440911865</v>
      </c>
      <c r="I59" s="38">
        <v>0.06153318887668125</v>
      </c>
      <c r="J59" s="39">
        <v>0.018448125469362225</v>
      </c>
      <c r="K59" s="38">
        <v>6.082762530298219</v>
      </c>
      <c r="L59" s="38">
        <v>6.658328118479393</v>
      </c>
      <c r="M59" s="38">
        <v>11.590225767142474</v>
      </c>
      <c r="N59" s="40">
        <v>11.67618659209133</v>
      </c>
      <c r="O59" s="40"/>
      <c r="P59" s="38">
        <v>0.045236416008933925</v>
      </c>
      <c r="Q59" s="38">
        <v>0.023115651263447806</v>
      </c>
      <c r="R59" s="38">
        <v>0.0627402050788275</v>
      </c>
      <c r="S59" s="37">
        <v>0.03139001964531618</v>
      </c>
      <c r="T59" s="36">
        <v>0.04082074635933715</v>
      </c>
      <c r="U59" s="63">
        <v>0.09571485429824013</v>
      </c>
      <c r="V59" s="38">
        <v>0.04562163229580168</v>
      </c>
      <c r="W59" s="38">
        <v>0.05257692776621064</v>
      </c>
      <c r="X59" s="38">
        <v>13.892443989449804</v>
      </c>
      <c r="Y59" s="38">
        <v>13.576941236277534</v>
      </c>
      <c r="Z59" s="40">
        <v>8.621678104251709</v>
      </c>
      <c r="AA59" s="40">
        <v>8.54400374531753</v>
      </c>
      <c r="AB59" s="50"/>
      <c r="AC59" s="51"/>
    </row>
    <row r="60">
      <c r="A60" s="15"/>
      <c r="B60" s="14"/>
      <c r="C60" s="15"/>
      <c r="D60" s="15"/>
      <c r="E60" s="15"/>
      <c r="F60" s="15"/>
      <c r="G60" s="44"/>
      <c r="H60" s="15"/>
      <c r="I60" s="15"/>
      <c r="J60" s="14"/>
      <c r="K60" s="15"/>
      <c r="L60" s="15"/>
      <c r="M60" s="15"/>
      <c r="N60" s="15"/>
      <c r="O60" s="15"/>
      <c r="P60" s="15"/>
      <c r="Q60" s="15"/>
      <c r="R60" s="15"/>
      <c r="S60" s="44"/>
      <c r="T60" s="15"/>
      <c r="U60" s="44"/>
      <c r="V60" s="15"/>
      <c r="W60" s="15"/>
      <c r="X60" s="15"/>
      <c r="Y60" s="15"/>
      <c r="Z60" s="15"/>
      <c r="AA60" s="15"/>
      <c r="AB60" s="15"/>
      <c r="AC60" s="51"/>
    </row>
    <row r="61" ht="16.5" customHeight="1">
      <c r="B61" s="6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</row>
    <row r="62">
      <c r="A62" s="54" t="s">
        <v>24</v>
      </c>
      <c r="B62" s="34" t="s">
        <v>31</v>
      </c>
      <c r="C62" s="36">
        <v>0.7623333333333333</v>
      </c>
      <c r="D62" s="36">
        <v>0.7266666666666667</v>
      </c>
      <c r="E62" s="36">
        <v>0.6953333333333332</v>
      </c>
      <c r="F62" s="36">
        <v>0.7306666666666667</v>
      </c>
      <c r="G62" s="37">
        <v>0.738</v>
      </c>
      <c r="H62" s="36">
        <v>0.37799999999999995</v>
      </c>
      <c r="I62" s="36">
        <v>0.7746666666666667</v>
      </c>
      <c r="J62" s="55">
        <v>0.8226666666666667</v>
      </c>
      <c r="K62" s="36">
        <v>50.333333333333336</v>
      </c>
      <c r="L62" s="36">
        <v>31.333333333333332</v>
      </c>
      <c r="M62" s="36">
        <v>42.333333333333336</v>
      </c>
      <c r="N62" s="42">
        <v>145.33333333333334</v>
      </c>
      <c r="O62" s="66"/>
      <c r="P62" s="36">
        <v>0.7303333333333333</v>
      </c>
      <c r="Q62" s="36">
        <v>0.7216666666666667</v>
      </c>
      <c r="R62" s="36">
        <v>0.6343333333333333</v>
      </c>
      <c r="S62" s="37">
        <v>0.7066666666666666</v>
      </c>
      <c r="T62" s="36">
        <v>0.7079999999999999</v>
      </c>
      <c r="U62" s="37">
        <v>0.29866666666666664</v>
      </c>
      <c r="V62" s="36">
        <v>0.8563333333333333</v>
      </c>
      <c r="W62" s="36">
        <v>0.7706666666666667</v>
      </c>
      <c r="X62" s="36">
        <v>33.666666666666664</v>
      </c>
      <c r="Y62" s="36">
        <v>48.0</v>
      </c>
      <c r="Z62" s="42">
        <v>27.0</v>
      </c>
      <c r="AA62" s="42">
        <v>160.66666666666666</v>
      </c>
      <c r="AB62" s="42"/>
      <c r="AC62" s="43"/>
    </row>
    <row r="63">
      <c r="A63" s="7"/>
      <c r="B63" s="14"/>
      <c r="C63" s="15"/>
      <c r="D63" s="15"/>
      <c r="E63" s="15"/>
      <c r="F63" s="15"/>
      <c r="G63" s="44"/>
      <c r="H63" s="15"/>
      <c r="I63" s="15"/>
      <c r="J63" s="14"/>
      <c r="K63" s="15"/>
      <c r="L63" s="15"/>
      <c r="M63" s="15"/>
      <c r="N63" s="15"/>
      <c r="O63" s="15"/>
      <c r="P63" s="15"/>
      <c r="Q63" s="15"/>
      <c r="R63" s="15"/>
      <c r="S63" s="44"/>
      <c r="T63" s="15"/>
      <c r="U63" s="44"/>
      <c r="V63" s="15"/>
      <c r="W63" s="15"/>
      <c r="X63" s="15"/>
      <c r="Y63" s="15"/>
      <c r="Z63" s="15"/>
      <c r="AA63" s="15"/>
      <c r="AB63" s="15"/>
      <c r="AC63" s="43"/>
    </row>
    <row r="64">
      <c r="A64" s="7"/>
      <c r="B64" s="34" t="s">
        <v>29</v>
      </c>
      <c r="C64" s="36">
        <v>0.027592269448766537</v>
      </c>
      <c r="D64" s="36">
        <v>0.0028867513459481715</v>
      </c>
      <c r="E64" s="36">
        <v>0.009291573243177536</v>
      </c>
      <c r="F64" s="36">
        <v>0.0037859388972001956</v>
      </c>
      <c r="G64" s="37">
        <v>0.006999999999999975</v>
      </c>
      <c r="H64" s="36">
        <v>0.014730919862656249</v>
      </c>
      <c r="I64" s="38">
        <v>0.007767453465153994</v>
      </c>
      <c r="J64" s="39">
        <v>0.00832666399786455</v>
      </c>
      <c r="K64" s="38">
        <v>2.3094010767585034</v>
      </c>
      <c r="L64" s="38">
        <v>2.081665999466133</v>
      </c>
      <c r="M64" s="38">
        <v>1.5275252316519474</v>
      </c>
      <c r="N64" s="40">
        <v>1.1547005383792495</v>
      </c>
      <c r="O64" s="40"/>
      <c r="P64" s="38">
        <v>0.04578573285788203</v>
      </c>
      <c r="Q64" s="38">
        <v>0.010408329997330669</v>
      </c>
      <c r="R64" s="38">
        <v>0.019756855350316575</v>
      </c>
      <c r="S64" s="37">
        <v>0.005859465277082372</v>
      </c>
      <c r="T64" s="36">
        <v>0.0</v>
      </c>
      <c r="U64" s="63">
        <v>0.011846237095944588</v>
      </c>
      <c r="V64" s="38">
        <v>0.05614564393907452</v>
      </c>
      <c r="W64" s="38">
        <v>0.018009256878986815</v>
      </c>
      <c r="X64" s="38">
        <v>7.505553499465135</v>
      </c>
      <c r="Y64" s="38">
        <v>8.0</v>
      </c>
      <c r="Z64" s="40">
        <v>10.535653752852738</v>
      </c>
      <c r="AA64" s="40">
        <v>10.503967504392488</v>
      </c>
      <c r="AB64" s="50"/>
      <c r="AC64" s="51"/>
    </row>
    <row r="65">
      <c r="A65" s="15"/>
      <c r="B65" s="14"/>
      <c r="C65" s="15"/>
      <c r="D65" s="15"/>
      <c r="E65" s="15"/>
      <c r="F65" s="15"/>
      <c r="G65" s="44"/>
      <c r="H65" s="15"/>
      <c r="I65" s="15"/>
      <c r="J65" s="14"/>
      <c r="K65" s="15"/>
      <c r="L65" s="15"/>
      <c r="M65" s="15"/>
      <c r="N65" s="15"/>
      <c r="O65" s="15"/>
      <c r="P65" s="15"/>
      <c r="Q65" s="15"/>
      <c r="R65" s="15"/>
      <c r="S65" s="44"/>
      <c r="T65" s="15"/>
      <c r="U65" s="44"/>
      <c r="V65" s="15"/>
      <c r="W65" s="15"/>
      <c r="X65" s="15"/>
      <c r="Y65" s="15"/>
      <c r="Z65" s="15"/>
      <c r="AA65" s="15"/>
      <c r="AB65" s="15"/>
      <c r="AC65" s="51"/>
    </row>
    <row r="66"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>
      <c r="A67" s="54" t="s">
        <v>25</v>
      </c>
      <c r="B67" s="34" t="s">
        <v>30</v>
      </c>
      <c r="C67" s="36">
        <v>0.7853333333333333</v>
      </c>
      <c r="D67" s="36">
        <v>0.7523333333333334</v>
      </c>
      <c r="E67" s="36">
        <v>0.6783333333333333</v>
      </c>
      <c r="F67" s="36">
        <v>0.7406666666666667</v>
      </c>
      <c r="G67" s="37">
        <v>0.7413333333333334</v>
      </c>
      <c r="H67" s="36">
        <v>0.3796666666666666</v>
      </c>
      <c r="I67" s="36">
        <v>0.867</v>
      </c>
      <c r="J67" s="55">
        <v>0.799</v>
      </c>
      <c r="K67" s="36">
        <v>40.0</v>
      </c>
      <c r="L67" s="36">
        <v>41.666666666666664</v>
      </c>
      <c r="M67" s="36">
        <v>25.0</v>
      </c>
      <c r="N67" s="42">
        <v>162.66666666666666</v>
      </c>
      <c r="O67" s="66"/>
      <c r="P67" s="36">
        <v>0.7563333333333334</v>
      </c>
      <c r="Q67" s="36">
        <v>0.7426666666666667</v>
      </c>
      <c r="R67" s="36">
        <v>0.6586666666666666</v>
      </c>
      <c r="S67" s="37">
        <v>0.7266666666666667</v>
      </c>
      <c r="T67" s="36">
        <v>0.7320000000000001</v>
      </c>
      <c r="U67" s="37">
        <v>0.3506666666666667</v>
      </c>
      <c r="V67" s="36">
        <v>0.872</v>
      </c>
      <c r="W67" s="36">
        <v>0.786</v>
      </c>
      <c r="X67" s="36">
        <v>36.333333333333336</v>
      </c>
      <c r="Y67" s="36">
        <v>45.333333333333336</v>
      </c>
      <c r="Z67" s="42">
        <v>24.0</v>
      </c>
      <c r="AA67" s="42">
        <v>163.66666666666666</v>
      </c>
      <c r="AB67" s="42"/>
      <c r="AC67" s="43"/>
    </row>
    <row r="68">
      <c r="A68" s="7"/>
      <c r="B68" s="14"/>
      <c r="C68" s="15"/>
      <c r="D68" s="15"/>
      <c r="E68" s="15"/>
      <c r="F68" s="15"/>
      <c r="G68" s="44"/>
      <c r="H68" s="15"/>
      <c r="I68" s="15"/>
      <c r="J68" s="14"/>
      <c r="K68" s="15"/>
      <c r="L68" s="15"/>
      <c r="M68" s="15"/>
      <c r="N68" s="15"/>
      <c r="O68" s="15"/>
      <c r="P68" s="15"/>
      <c r="Q68" s="15"/>
      <c r="R68" s="15"/>
      <c r="S68" s="44"/>
      <c r="T68" s="15"/>
      <c r="U68" s="44"/>
      <c r="V68" s="15"/>
      <c r="W68" s="15"/>
      <c r="X68" s="15"/>
      <c r="Y68" s="15"/>
      <c r="Z68" s="15"/>
      <c r="AA68" s="15"/>
      <c r="AB68" s="15"/>
      <c r="AC68" s="43"/>
    </row>
    <row r="69">
      <c r="A69" s="7"/>
      <c r="B69" s="34" t="s">
        <v>29</v>
      </c>
      <c r="C69" s="36">
        <v>0.022744962812309342</v>
      </c>
      <c r="D69" s="36">
        <v>0.03666515148384552</v>
      </c>
      <c r="E69" s="36">
        <v>0.07366365001364879</v>
      </c>
      <c r="F69" s="36">
        <v>0.051052260805309405</v>
      </c>
      <c r="G69" s="37">
        <v>0.050934598588124026</v>
      </c>
      <c r="H69" s="36">
        <v>0.1267175336460323</v>
      </c>
      <c r="I69" s="38">
        <v>0.03214031735997639</v>
      </c>
      <c r="J69" s="39">
        <v>0.050408332644514255</v>
      </c>
      <c r="K69" s="38">
        <v>14.106735979665885</v>
      </c>
      <c r="L69" s="38">
        <v>14.189197769195177</v>
      </c>
      <c r="M69" s="38">
        <v>6.082762530298219</v>
      </c>
      <c r="N69" s="40">
        <v>5.77350269189626</v>
      </c>
      <c r="O69" s="40"/>
      <c r="P69" s="38">
        <v>0.03980368492154127</v>
      </c>
      <c r="Q69" s="38">
        <v>0.01350308606701945</v>
      </c>
      <c r="R69" s="38">
        <v>0.05169461609619838</v>
      </c>
      <c r="S69" s="37">
        <v>0.03280751946327758</v>
      </c>
      <c r="T69" s="36">
        <v>0.020074859899884768</v>
      </c>
      <c r="U69" s="63">
        <v>0.06839103255057152</v>
      </c>
      <c r="V69" s="38">
        <v>0.05370288632839026</v>
      </c>
      <c r="W69" s="38">
        <v>0.03671511950137167</v>
      </c>
      <c r="X69" s="38">
        <v>12.50333288900737</v>
      </c>
      <c r="Y69" s="38">
        <v>12.858201014657272</v>
      </c>
      <c r="Z69" s="40">
        <v>10.14889156509222</v>
      </c>
      <c r="AA69" s="40">
        <v>9.609023536933053</v>
      </c>
      <c r="AB69" s="50"/>
      <c r="AC69" s="51"/>
    </row>
    <row r="70">
      <c r="A70" s="15"/>
      <c r="B70" s="14"/>
      <c r="C70" s="15"/>
      <c r="D70" s="15"/>
      <c r="E70" s="15"/>
      <c r="F70" s="15"/>
      <c r="G70" s="44"/>
      <c r="H70" s="15"/>
      <c r="I70" s="15"/>
      <c r="J70" s="14"/>
      <c r="K70" s="15"/>
      <c r="L70" s="15"/>
      <c r="M70" s="15"/>
      <c r="N70" s="15"/>
      <c r="O70" s="15"/>
      <c r="P70" s="15"/>
      <c r="Q70" s="15"/>
      <c r="R70" s="15"/>
      <c r="S70" s="44"/>
      <c r="T70" s="15"/>
      <c r="U70" s="44"/>
      <c r="V70" s="15"/>
      <c r="W70" s="15"/>
      <c r="X70" s="15"/>
      <c r="Y70" s="15"/>
      <c r="Z70" s="15"/>
      <c r="AA70" s="15"/>
      <c r="AB70" s="15"/>
      <c r="AC70" s="51"/>
    </row>
    <row r="71">
      <c r="B71" s="6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</row>
    <row r="72">
      <c r="A72" s="54" t="s">
        <v>26</v>
      </c>
      <c r="B72" s="34" t="s">
        <v>31</v>
      </c>
      <c r="C72" s="55">
        <v>0.7753333333333333</v>
      </c>
      <c r="D72" s="36">
        <v>0.7523333333333334</v>
      </c>
      <c r="E72" s="36">
        <v>0.6633333333333333</v>
      </c>
      <c r="F72" s="36">
        <v>0.7373333333333333</v>
      </c>
      <c r="G72" s="36">
        <v>0.738</v>
      </c>
      <c r="H72" s="37">
        <v>0.36866666666666664</v>
      </c>
      <c r="I72" s="36">
        <v>0.8896666666666667</v>
      </c>
      <c r="J72" s="36">
        <v>0.7840000000000001</v>
      </c>
      <c r="K72" s="55">
        <v>35.666666666666664</v>
      </c>
      <c r="L72" s="36">
        <v>46.0</v>
      </c>
      <c r="M72" s="36">
        <v>20.666666666666668</v>
      </c>
      <c r="N72" s="36">
        <v>167.0</v>
      </c>
      <c r="O72" s="66"/>
      <c r="P72" s="42">
        <v>0.7573333333333334</v>
      </c>
      <c r="Q72" s="36">
        <v>0.7263333333333333</v>
      </c>
      <c r="R72" s="36">
        <v>0.6596666666666667</v>
      </c>
      <c r="S72" s="36">
        <v>0.7146666666666666</v>
      </c>
      <c r="T72" s="37">
        <v>0.7303333333333333</v>
      </c>
      <c r="U72" s="36">
        <v>0.3419999999999999</v>
      </c>
      <c r="V72" s="37">
        <v>0.8293333333333334</v>
      </c>
      <c r="W72" s="36">
        <v>0.7943333333333333</v>
      </c>
      <c r="X72" s="36">
        <v>40.0</v>
      </c>
      <c r="Y72" s="36">
        <v>41.666666666666664</v>
      </c>
      <c r="Z72" s="36">
        <v>32.0</v>
      </c>
      <c r="AA72" s="42">
        <v>155.66666666666666</v>
      </c>
      <c r="AB72" s="42"/>
      <c r="AC72" s="42"/>
    </row>
    <row r="73">
      <c r="A73" s="7"/>
      <c r="B73" s="14"/>
      <c r="C73" s="14"/>
      <c r="D73" s="15"/>
      <c r="E73" s="15"/>
      <c r="F73" s="15"/>
      <c r="G73" s="15"/>
      <c r="H73" s="44"/>
      <c r="I73" s="15"/>
      <c r="J73" s="15"/>
      <c r="K73" s="14"/>
      <c r="L73" s="15"/>
      <c r="M73" s="15"/>
      <c r="N73" s="15"/>
      <c r="O73" s="15"/>
      <c r="P73" s="15"/>
      <c r="Q73" s="15"/>
      <c r="R73" s="15"/>
      <c r="S73" s="15"/>
      <c r="T73" s="44"/>
      <c r="U73" s="15"/>
      <c r="V73" s="44"/>
      <c r="W73" s="15"/>
      <c r="X73" s="15"/>
      <c r="Y73" s="15"/>
      <c r="Z73" s="15"/>
      <c r="AA73" s="15"/>
      <c r="AB73" s="15"/>
      <c r="AC73" s="15"/>
    </row>
    <row r="74">
      <c r="A74" s="7"/>
      <c r="B74" s="34" t="s">
        <v>29</v>
      </c>
      <c r="C74" s="36">
        <v>0.03365016097039261</v>
      </c>
      <c r="D74" s="36">
        <v>0.03300505011863086</v>
      </c>
      <c r="E74" s="36">
        <v>0.040153870714208006</v>
      </c>
      <c r="F74" s="36">
        <v>0.034947579792216445</v>
      </c>
      <c r="G74" s="37">
        <v>0.03897435053981019</v>
      </c>
      <c r="H74" s="36">
        <v>0.09078178965703054</v>
      </c>
      <c r="I74" s="38">
        <v>0.022501851775650207</v>
      </c>
      <c r="J74" s="39">
        <v>0.021633307652783956</v>
      </c>
      <c r="K74" s="38">
        <v>5.033222956847166</v>
      </c>
      <c r="L74" s="38">
        <v>4.58257569495584</v>
      </c>
      <c r="M74" s="38">
        <v>4.163331998932265</v>
      </c>
      <c r="N74" s="40">
        <v>4.358898943540674</v>
      </c>
      <c r="O74" s="40"/>
      <c r="P74" s="38">
        <v>0.0255408170059874</v>
      </c>
      <c r="Q74" s="38">
        <v>0.010066445913694341</v>
      </c>
      <c r="R74" s="38">
        <v>0.05128677542342991</v>
      </c>
      <c r="S74" s="37">
        <v>0.0188237438713274</v>
      </c>
      <c r="T74" s="36">
        <v>0.007094598884597591</v>
      </c>
      <c r="U74" s="63">
        <v>0.04293017586733139</v>
      </c>
      <c r="V74" s="38">
        <v>0.10394389512296205</v>
      </c>
      <c r="W74" s="38">
        <v>0.04387862045841159</v>
      </c>
      <c r="X74" s="38">
        <v>16.64331697709324</v>
      </c>
      <c r="Y74" s="38">
        <v>17.009801096230763</v>
      </c>
      <c r="Z74" s="40">
        <v>19.467922333931785</v>
      </c>
      <c r="AA74" s="40">
        <v>19.655363983740756</v>
      </c>
      <c r="AB74" s="50"/>
      <c r="AC74" s="51"/>
    </row>
    <row r="75">
      <c r="A75" s="15"/>
      <c r="B75" s="14"/>
      <c r="C75" s="15"/>
      <c r="D75" s="15"/>
      <c r="E75" s="15"/>
      <c r="F75" s="15"/>
      <c r="G75" s="44"/>
      <c r="H75" s="15"/>
      <c r="I75" s="15"/>
      <c r="J75" s="14"/>
      <c r="K75" s="15"/>
      <c r="L75" s="15"/>
      <c r="M75" s="15"/>
      <c r="N75" s="15"/>
      <c r="O75" s="15"/>
      <c r="P75" s="15"/>
      <c r="Q75" s="15"/>
      <c r="R75" s="15"/>
      <c r="S75" s="44"/>
      <c r="T75" s="15"/>
      <c r="U75" s="44"/>
      <c r="V75" s="15"/>
      <c r="W75" s="15"/>
      <c r="X75" s="15"/>
      <c r="Y75" s="15"/>
      <c r="Z75" s="15"/>
      <c r="AA75" s="15"/>
      <c r="AB75" s="15"/>
      <c r="AC75" s="51"/>
    </row>
    <row r="76"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>
      <c r="B77" s="6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>
      <c r="B78" s="6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>
      <c r="B79" s="6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</row>
    <row r="80"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</row>
    <row r="81">
      <c r="B81" s="6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</row>
    <row r="82">
      <c r="B82" s="6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</row>
    <row r="83">
      <c r="B83" s="6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</row>
    <row r="84"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</row>
    <row r="85">
      <c r="B85" s="6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</row>
    <row r="86">
      <c r="B86" s="6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</row>
    <row r="87">
      <c r="B87" s="6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</row>
    <row r="88">
      <c r="B88" s="6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</row>
    <row r="89">
      <c r="B89" s="6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</row>
    <row r="90">
      <c r="B90" s="6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>
      <c r="B91" s="6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</row>
    <row r="92"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</row>
    <row r="93">
      <c r="B93" s="6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</row>
    <row r="94"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</row>
    <row r="95">
      <c r="B95" s="6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</row>
    <row r="96"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</row>
    <row r="97">
      <c r="B97" s="6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</row>
    <row r="98"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</row>
    <row r="99">
      <c r="B99" s="6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</row>
    <row r="100"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</row>
    <row r="101"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</row>
    <row r="102"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</row>
    <row r="103"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</row>
    <row r="104"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</row>
    <row r="105">
      <c r="B105" s="6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</row>
    <row r="106"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</row>
    <row r="107">
      <c r="B107" s="6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</row>
    <row r="108"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</row>
    <row r="109">
      <c r="B109" s="6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</row>
    <row r="110"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</row>
    <row r="111"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</row>
    <row r="112"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</row>
    <row r="113">
      <c r="B113" s="6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</row>
    <row r="114"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</row>
    <row r="115">
      <c r="B115" s="6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</row>
    <row r="116">
      <c r="B116" s="6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</row>
    <row r="117">
      <c r="B117" s="6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</row>
    <row r="118"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</row>
    <row r="119">
      <c r="B119" s="6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</row>
    <row r="120"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</row>
    <row r="121">
      <c r="B121" s="6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</row>
    <row r="122"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</row>
    <row r="123">
      <c r="B123" s="6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</row>
    <row r="124"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</row>
    <row r="125">
      <c r="B125" s="6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</row>
    <row r="126"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</row>
    <row r="127">
      <c r="B127" s="6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</row>
    <row r="128"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</row>
    <row r="129">
      <c r="B129" s="6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</row>
    <row r="130"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</row>
    <row r="131">
      <c r="B131" s="6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</row>
    <row r="132"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</row>
    <row r="133"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</row>
    <row r="134"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</row>
    <row r="135">
      <c r="B135" s="6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</row>
    <row r="136"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</row>
    <row r="137">
      <c r="B137" s="6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</row>
    <row r="138"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</row>
    <row r="139">
      <c r="B139" s="6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</row>
    <row r="140"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</row>
    <row r="141">
      <c r="B141" s="6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</row>
    <row r="142"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</row>
    <row r="143">
      <c r="B143" s="6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</row>
    <row r="144"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</row>
    <row r="145">
      <c r="B145" s="6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</row>
    <row r="146"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</row>
    <row r="147">
      <c r="B147" s="6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</row>
    <row r="148"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</row>
    <row r="149">
      <c r="B149" s="6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</row>
    <row r="150"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</row>
    <row r="151">
      <c r="B151" s="6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</row>
    <row r="152"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</row>
    <row r="153">
      <c r="B153" s="6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</row>
    <row r="154"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</row>
    <row r="155">
      <c r="B155" s="6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</row>
    <row r="156"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</row>
    <row r="157">
      <c r="B157" s="6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</row>
    <row r="158"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</row>
    <row r="159">
      <c r="B159" s="6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</row>
    <row r="160"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</row>
    <row r="161">
      <c r="B161" s="6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</row>
    <row r="162"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</row>
    <row r="163">
      <c r="B163" s="6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</row>
    <row r="164"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</row>
    <row r="165">
      <c r="B165" s="6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</row>
    <row r="166"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</row>
    <row r="167">
      <c r="B167" s="6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</row>
    <row r="168"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</row>
    <row r="169">
      <c r="B169" s="6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</row>
    <row r="170"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</row>
    <row r="171">
      <c r="B171" s="6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</row>
    <row r="172">
      <c r="B172" s="6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</row>
    <row r="173">
      <c r="B173" s="6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</row>
    <row r="174">
      <c r="B174" s="6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</row>
    <row r="175">
      <c r="B175" s="6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</row>
    <row r="176"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</row>
    <row r="177">
      <c r="B177" s="6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</row>
    <row r="178">
      <c r="B178" s="6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</row>
    <row r="179">
      <c r="B179" s="6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</row>
    <row r="180">
      <c r="B180" s="6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</row>
    <row r="181">
      <c r="B181" s="6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</row>
    <row r="182"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</row>
    <row r="183">
      <c r="B183" s="6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</row>
    <row r="184">
      <c r="B184" s="6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</row>
    <row r="185">
      <c r="B185" s="6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</row>
    <row r="186">
      <c r="B186" s="6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</row>
    <row r="187">
      <c r="B187" s="6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</row>
    <row r="188">
      <c r="B188" s="6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</row>
    <row r="189">
      <c r="B189" s="6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</row>
    <row r="190">
      <c r="B190" s="6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</row>
    <row r="191">
      <c r="B191" s="6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</row>
    <row r="192">
      <c r="B192" s="6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</row>
    <row r="193">
      <c r="B193" s="6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</row>
    <row r="194">
      <c r="B194" s="6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</row>
    <row r="195">
      <c r="B195" s="6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</row>
    <row r="196">
      <c r="B196" s="6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</row>
    <row r="197">
      <c r="B197" s="6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</row>
    <row r="198"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</row>
    <row r="199">
      <c r="B199" s="6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</row>
    <row r="200">
      <c r="B200" s="6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</row>
    <row r="201">
      <c r="B201" s="6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</row>
    <row r="202">
      <c r="B202" s="6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</row>
    <row r="203">
      <c r="B203" s="6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</row>
    <row r="204">
      <c r="B204" s="6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</row>
    <row r="205">
      <c r="B205" s="6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</row>
    <row r="206">
      <c r="B206" s="6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</row>
    <row r="207">
      <c r="B207" s="6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</row>
    <row r="208">
      <c r="B208" s="6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</row>
    <row r="209">
      <c r="B209" s="6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</row>
    <row r="210"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</row>
    <row r="211">
      <c r="B211" s="6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</row>
    <row r="212">
      <c r="B212" s="6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</row>
    <row r="213">
      <c r="B213" s="6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</row>
    <row r="214"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</row>
    <row r="215">
      <c r="B215" s="6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</row>
    <row r="216">
      <c r="B216" s="6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</row>
    <row r="217">
      <c r="B217" s="6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</row>
    <row r="218">
      <c r="B218" s="6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</row>
    <row r="219">
      <c r="B219" s="6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</row>
    <row r="220">
      <c r="B220" s="6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</row>
    <row r="221">
      <c r="B221" s="6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</row>
    <row r="222">
      <c r="B222" s="6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</row>
    <row r="223">
      <c r="B223" s="6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</row>
    <row r="224">
      <c r="B224" s="6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</row>
    <row r="225">
      <c r="B225" s="6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</row>
    <row r="226">
      <c r="B226" s="6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</row>
    <row r="227">
      <c r="B227" s="6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</row>
    <row r="228"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</row>
    <row r="229">
      <c r="B229" s="6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</row>
    <row r="230"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</row>
    <row r="231">
      <c r="B231" s="6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</row>
    <row r="232">
      <c r="B232" s="6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</row>
    <row r="233">
      <c r="B233" s="6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</row>
    <row r="234">
      <c r="B234" s="6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</row>
    <row r="235">
      <c r="B235" s="6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</row>
    <row r="236">
      <c r="B236" s="6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</row>
    <row r="237">
      <c r="B237" s="6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</row>
    <row r="238"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</row>
    <row r="239">
      <c r="B239" s="6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</row>
    <row r="240"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</row>
    <row r="241">
      <c r="B241" s="6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</row>
    <row r="242"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</row>
    <row r="243">
      <c r="B243" s="6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</row>
    <row r="244"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</row>
    <row r="245">
      <c r="B245" s="6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</row>
    <row r="246"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</row>
    <row r="247">
      <c r="B247" s="6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</row>
    <row r="248"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</row>
    <row r="249">
      <c r="B249" s="6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</row>
    <row r="250"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</row>
    <row r="251">
      <c r="B251" s="6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</row>
    <row r="252"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</row>
    <row r="253">
      <c r="B253" s="6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</row>
    <row r="254"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</row>
    <row r="255">
      <c r="B255" s="6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</row>
    <row r="256"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</row>
    <row r="257">
      <c r="B257" s="6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</row>
    <row r="258"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</row>
    <row r="259">
      <c r="B259" s="6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</row>
    <row r="260"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</row>
    <row r="261">
      <c r="B261" s="6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</row>
    <row r="262"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</row>
    <row r="263">
      <c r="B263" s="6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</row>
    <row r="264"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</row>
    <row r="265">
      <c r="B265" s="6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</row>
    <row r="266"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</row>
    <row r="267">
      <c r="B267" s="6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</row>
    <row r="268"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</row>
    <row r="269">
      <c r="B269" s="6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</row>
    <row r="270"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</row>
    <row r="271">
      <c r="B271" s="6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</row>
    <row r="272"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</row>
    <row r="273">
      <c r="B273" s="6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</row>
    <row r="274"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</row>
    <row r="275">
      <c r="B275" s="6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</row>
    <row r="276"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</row>
    <row r="277">
      <c r="B277" s="6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</row>
    <row r="278"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</row>
    <row r="279">
      <c r="B279" s="6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</row>
    <row r="280"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</row>
    <row r="281">
      <c r="B281" s="6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</row>
    <row r="282"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</row>
    <row r="283">
      <c r="B283" s="6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</row>
    <row r="284"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</row>
    <row r="285">
      <c r="B285" s="6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</row>
    <row r="286"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</row>
    <row r="287">
      <c r="B287" s="6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</row>
    <row r="288"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</row>
    <row r="289">
      <c r="B289" s="6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</row>
    <row r="290"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</row>
    <row r="291">
      <c r="B291" s="6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</row>
    <row r="292"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</row>
    <row r="293">
      <c r="B293" s="6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</row>
    <row r="294"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</row>
    <row r="295">
      <c r="B295" s="6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</row>
    <row r="296"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</row>
    <row r="297">
      <c r="B297" s="6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</row>
    <row r="298"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</row>
    <row r="299"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</row>
    <row r="300"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</row>
    <row r="301">
      <c r="B301" s="6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</row>
    <row r="302"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</row>
    <row r="303">
      <c r="B303" s="6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</row>
    <row r="304"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</row>
    <row r="305">
      <c r="B305" s="6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</row>
    <row r="306"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</row>
    <row r="307">
      <c r="B307" s="6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</row>
    <row r="308"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</row>
    <row r="309">
      <c r="B309" s="6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</row>
    <row r="310"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</row>
    <row r="311">
      <c r="B311" s="6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</row>
    <row r="312"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</row>
    <row r="313">
      <c r="B313" s="6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</row>
    <row r="314"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</row>
    <row r="315">
      <c r="B315" s="6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</row>
    <row r="316"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</row>
    <row r="317">
      <c r="B317" s="6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</row>
    <row r="318"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</row>
    <row r="319">
      <c r="B319" s="6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</row>
    <row r="320"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</row>
    <row r="321">
      <c r="B321" s="6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</row>
    <row r="322"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</row>
    <row r="323">
      <c r="B323" s="6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</row>
    <row r="324"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</row>
    <row r="325">
      <c r="B325" s="6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</row>
    <row r="326"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</row>
    <row r="327">
      <c r="B327" s="6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</row>
    <row r="328"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</row>
    <row r="329">
      <c r="B329" s="6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</row>
    <row r="330"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</row>
    <row r="331">
      <c r="B331" s="6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</row>
    <row r="332"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</row>
    <row r="333">
      <c r="B333" s="6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</row>
    <row r="334"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</row>
    <row r="335">
      <c r="B335" s="6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</row>
    <row r="336"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</row>
    <row r="337">
      <c r="B337" s="6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</row>
    <row r="338"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</row>
    <row r="339">
      <c r="B339" s="6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</row>
    <row r="340"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</row>
    <row r="341">
      <c r="B341" s="6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</row>
    <row r="342"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</row>
    <row r="343">
      <c r="B343" s="6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</row>
    <row r="344"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</row>
    <row r="345">
      <c r="B345" s="6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</row>
    <row r="346"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</row>
    <row r="347">
      <c r="B347" s="6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</row>
    <row r="348"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</row>
    <row r="349">
      <c r="B349" s="6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</row>
    <row r="350"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</row>
    <row r="351">
      <c r="B351" s="6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</row>
    <row r="352"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</row>
    <row r="353">
      <c r="B353" s="6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</row>
    <row r="354"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</row>
    <row r="355">
      <c r="B355" s="6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</row>
    <row r="356"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</row>
    <row r="357">
      <c r="B357" s="6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</row>
    <row r="358"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</row>
    <row r="359">
      <c r="B359" s="6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</row>
    <row r="360"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</row>
    <row r="361">
      <c r="B361" s="6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</row>
    <row r="362"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</row>
    <row r="363">
      <c r="B363" s="6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</row>
    <row r="364"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</row>
    <row r="365">
      <c r="B365" s="6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</row>
    <row r="366"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</row>
    <row r="367">
      <c r="B367" s="6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</row>
    <row r="368"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</row>
    <row r="369"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</row>
    <row r="370"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</row>
    <row r="371">
      <c r="B371" s="6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</row>
    <row r="372"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</row>
    <row r="373">
      <c r="B373" s="6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</row>
    <row r="374"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</row>
    <row r="375">
      <c r="B375" s="6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</row>
    <row r="376"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</row>
    <row r="377">
      <c r="B377" s="6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</row>
    <row r="378"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</row>
    <row r="379">
      <c r="B379" s="6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</row>
    <row r="380"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</row>
    <row r="381">
      <c r="B381" s="6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</row>
    <row r="382"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</row>
    <row r="383">
      <c r="B383" s="6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</row>
    <row r="384"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</row>
    <row r="385">
      <c r="B385" s="6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</row>
    <row r="386"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</row>
    <row r="387">
      <c r="B387" s="6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</row>
    <row r="388"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</row>
    <row r="389">
      <c r="B389" s="6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</row>
    <row r="390"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</row>
    <row r="391">
      <c r="B391" s="6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</row>
    <row r="392"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</row>
    <row r="393">
      <c r="B393" s="6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</row>
    <row r="394"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>
      <c r="B395" s="6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</row>
    <row r="396"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>
      <c r="B397" s="6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</row>
    <row r="398"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</row>
    <row r="400"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</row>
    <row r="401">
      <c r="B401" s="6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</row>
    <row r="402"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</row>
    <row r="403">
      <c r="B403" s="6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</row>
    <row r="404"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</row>
    <row r="405">
      <c r="B405" s="6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</row>
    <row r="406">
      <c r="B406" s="6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</row>
    <row r="407">
      <c r="B407" s="6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</row>
    <row r="408">
      <c r="B408" s="6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</row>
    <row r="409">
      <c r="B409" s="6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</row>
    <row r="410">
      <c r="B410" s="6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</row>
    <row r="411">
      <c r="B411" s="6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</row>
    <row r="412">
      <c r="B412" s="6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</row>
    <row r="413">
      <c r="B413" s="6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</row>
    <row r="414">
      <c r="B414" s="6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</row>
    <row r="415">
      <c r="B415" s="6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</row>
    <row r="416">
      <c r="B416" s="6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</row>
    <row r="417">
      <c r="B417" s="6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</row>
    <row r="418">
      <c r="B418" s="6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</row>
    <row r="419">
      <c r="B419" s="6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</row>
    <row r="420">
      <c r="B420" s="6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</row>
    <row r="421">
      <c r="B421" s="6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</row>
    <row r="422">
      <c r="B422" s="6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</row>
    <row r="423">
      <c r="B423" s="6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</row>
    <row r="424">
      <c r="B424" s="6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</row>
    <row r="425">
      <c r="B425" s="6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</row>
    <row r="426">
      <c r="B426" s="6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</row>
    <row r="427">
      <c r="B427" s="6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</row>
    <row r="428">
      <c r="B428" s="6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</row>
    <row r="429">
      <c r="B429" s="6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</row>
    <row r="430">
      <c r="B430" s="6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</row>
    <row r="431">
      <c r="B431" s="6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</row>
    <row r="432">
      <c r="B432" s="6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</row>
    <row r="433">
      <c r="B433" s="6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</row>
    <row r="434">
      <c r="B434" s="6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</row>
    <row r="435">
      <c r="B435" s="6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</row>
    <row r="436">
      <c r="B436" s="6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</row>
    <row r="437">
      <c r="B437" s="6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</row>
    <row r="438">
      <c r="B438" s="6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</row>
    <row r="439">
      <c r="B439" s="6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</row>
    <row r="440">
      <c r="B440" s="6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</row>
    <row r="441">
      <c r="B441" s="6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</row>
    <row r="442">
      <c r="B442" s="6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</row>
    <row r="443">
      <c r="B443" s="6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</row>
    <row r="444">
      <c r="B444" s="6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</row>
    <row r="445">
      <c r="B445" s="6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</row>
    <row r="446">
      <c r="B446" s="6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</row>
    <row r="447">
      <c r="B447" s="6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</row>
    <row r="448">
      <c r="B448" s="6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</row>
    <row r="449">
      <c r="B449" s="6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</row>
    <row r="450">
      <c r="B450" s="6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</row>
    <row r="451">
      <c r="B451" s="6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</row>
    <row r="452">
      <c r="B452" s="6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</row>
    <row r="453">
      <c r="B453" s="6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</row>
    <row r="454">
      <c r="B454" s="6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</row>
    <row r="455">
      <c r="B455" s="6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</row>
    <row r="456">
      <c r="B456" s="6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</row>
    <row r="457">
      <c r="B457" s="6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</row>
    <row r="458">
      <c r="B458" s="6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</row>
    <row r="459">
      <c r="B459" s="6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</row>
    <row r="460">
      <c r="B460" s="6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</row>
    <row r="461">
      <c r="B461" s="6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</row>
    <row r="462">
      <c r="B462" s="6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</row>
    <row r="463">
      <c r="B463" s="6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</row>
    <row r="464">
      <c r="B464" s="6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</row>
    <row r="465">
      <c r="B465" s="6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</row>
    <row r="466">
      <c r="B466" s="6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</row>
    <row r="467">
      <c r="B467" s="6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</row>
    <row r="468">
      <c r="B468" s="6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</row>
    <row r="469">
      <c r="B469" s="6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</row>
    <row r="470">
      <c r="B470" s="6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</row>
    <row r="471">
      <c r="B471" s="6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</row>
    <row r="472">
      <c r="B472" s="6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</row>
    <row r="473">
      <c r="B473" s="6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</row>
    <row r="474"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</row>
    <row r="475">
      <c r="B475" s="6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</row>
    <row r="476">
      <c r="B476" s="6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</row>
    <row r="477">
      <c r="B477" s="6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</row>
    <row r="478">
      <c r="B478" s="6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</row>
    <row r="479">
      <c r="B479" s="6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</row>
    <row r="480">
      <c r="B480" s="6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</row>
    <row r="481">
      <c r="B481" s="6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</row>
    <row r="482">
      <c r="B482" s="6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</row>
    <row r="483">
      <c r="B483" s="6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</row>
    <row r="484">
      <c r="B484" s="6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</row>
    <row r="485">
      <c r="B485" s="6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</row>
    <row r="486">
      <c r="B486" s="6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</row>
    <row r="487">
      <c r="B487" s="6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</row>
    <row r="488">
      <c r="B488" s="6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</row>
    <row r="489">
      <c r="B489" s="6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</row>
    <row r="490">
      <c r="B490" s="6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</row>
    <row r="491">
      <c r="B491" s="6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</row>
    <row r="492">
      <c r="B492" s="6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</row>
    <row r="493">
      <c r="B493" s="6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</row>
    <row r="494">
      <c r="B494" s="6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</row>
    <row r="495">
      <c r="B495" s="6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</row>
    <row r="496">
      <c r="B496" s="6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</row>
    <row r="497">
      <c r="B497" s="6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</row>
    <row r="498">
      <c r="B498" s="6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</row>
    <row r="499">
      <c r="B499" s="6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</row>
    <row r="500">
      <c r="B500" s="6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</row>
    <row r="501">
      <c r="B501" s="6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</row>
    <row r="502">
      <c r="B502" s="6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</row>
    <row r="503">
      <c r="B503" s="6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</row>
    <row r="504">
      <c r="B504" s="6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</row>
    <row r="505">
      <c r="B505" s="6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</row>
    <row r="506">
      <c r="B506" s="6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</row>
    <row r="507">
      <c r="B507" s="6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</row>
    <row r="508">
      <c r="B508" s="6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</row>
    <row r="509"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</row>
    <row r="510">
      <c r="B510" s="6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</row>
    <row r="511">
      <c r="B511" s="6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</row>
    <row r="512">
      <c r="B512" s="6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</row>
    <row r="513">
      <c r="B513" s="6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</row>
    <row r="514">
      <c r="B514" s="6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</row>
    <row r="515">
      <c r="B515" s="6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</row>
    <row r="516">
      <c r="B516" s="6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</row>
    <row r="517">
      <c r="B517" s="6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</row>
    <row r="518">
      <c r="B518" s="6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</row>
    <row r="519">
      <c r="B519" s="6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</row>
    <row r="520">
      <c r="B520" s="6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</row>
    <row r="521">
      <c r="B521" s="6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</row>
    <row r="522">
      <c r="B522" s="6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</row>
    <row r="523">
      <c r="B523" s="6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</row>
    <row r="524">
      <c r="B524" s="6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</row>
    <row r="525">
      <c r="B525" s="6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</row>
    <row r="526">
      <c r="B526" s="6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</row>
    <row r="527">
      <c r="B527" s="6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</row>
    <row r="528">
      <c r="B528" s="6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</row>
    <row r="529">
      <c r="B529" s="6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</row>
    <row r="530">
      <c r="B530" s="6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</row>
    <row r="531">
      <c r="B531" s="6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</row>
    <row r="532">
      <c r="B532" s="6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</row>
    <row r="533">
      <c r="B533" s="6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</row>
    <row r="534">
      <c r="B534" s="6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</row>
    <row r="535">
      <c r="B535" s="6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</row>
    <row r="536">
      <c r="B536" s="6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</row>
    <row r="537">
      <c r="B537" s="6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</row>
    <row r="538">
      <c r="B538" s="6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</row>
    <row r="539">
      <c r="B539" s="6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</row>
    <row r="540">
      <c r="B540" s="6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</row>
    <row r="541">
      <c r="B541" s="6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</row>
    <row r="542">
      <c r="B542" s="6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</row>
    <row r="543">
      <c r="B543" s="6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</row>
    <row r="544">
      <c r="B544" s="6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</row>
    <row r="545">
      <c r="B545" s="6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</row>
    <row r="546">
      <c r="B546" s="6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</row>
    <row r="547">
      <c r="B547" s="6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</row>
    <row r="548">
      <c r="B548" s="6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</row>
    <row r="549">
      <c r="B549" s="6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</row>
    <row r="550">
      <c r="B550" s="6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</row>
    <row r="551">
      <c r="B551" s="6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</row>
    <row r="552">
      <c r="B552" s="6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</row>
    <row r="553">
      <c r="B553" s="6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</row>
    <row r="554">
      <c r="B554" s="6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</row>
    <row r="555">
      <c r="B555" s="6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</row>
    <row r="556">
      <c r="B556" s="6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</row>
    <row r="557">
      <c r="B557" s="6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</row>
    <row r="558">
      <c r="B558" s="6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</row>
    <row r="559">
      <c r="B559" s="6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</row>
    <row r="560">
      <c r="B560" s="6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</row>
    <row r="561">
      <c r="B561" s="6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</row>
    <row r="562">
      <c r="B562" s="6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</row>
    <row r="563">
      <c r="B563" s="6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</row>
    <row r="564">
      <c r="B564" s="6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</row>
    <row r="565">
      <c r="B565" s="6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</row>
    <row r="566">
      <c r="B566" s="6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</row>
    <row r="567">
      <c r="B567" s="6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</row>
    <row r="568">
      <c r="B568" s="6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</row>
    <row r="569">
      <c r="B569" s="6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</row>
    <row r="570">
      <c r="B570" s="6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</row>
    <row r="571">
      <c r="B571" s="6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</row>
    <row r="572">
      <c r="B572" s="6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</row>
    <row r="573">
      <c r="B573" s="6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</row>
    <row r="574">
      <c r="B574" s="6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</row>
    <row r="575">
      <c r="B575" s="6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</row>
    <row r="576">
      <c r="B576" s="6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</row>
    <row r="577">
      <c r="B577" s="6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</row>
    <row r="578">
      <c r="B578" s="6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</row>
    <row r="579">
      <c r="B579" s="6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</row>
    <row r="580">
      <c r="B580" s="6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</row>
    <row r="581">
      <c r="B581" s="6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</row>
    <row r="582">
      <c r="B582" s="6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</row>
    <row r="583">
      <c r="B583" s="6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</row>
    <row r="584"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</row>
    <row r="585">
      <c r="B585" s="6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</row>
    <row r="586">
      <c r="B586" s="6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</row>
    <row r="587">
      <c r="B587" s="6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</row>
    <row r="588">
      <c r="B588" s="6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</row>
    <row r="589">
      <c r="B589" s="6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</row>
    <row r="590">
      <c r="B590" s="6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</row>
    <row r="591">
      <c r="B591" s="6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</row>
    <row r="592">
      <c r="B592" s="6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</row>
    <row r="593">
      <c r="B593" s="6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</row>
    <row r="594">
      <c r="B594" s="6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</row>
    <row r="595">
      <c r="B595" s="6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</row>
    <row r="596">
      <c r="B596" s="6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</row>
    <row r="597">
      <c r="B597" s="6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</row>
    <row r="598">
      <c r="B598" s="6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</row>
    <row r="599">
      <c r="B599" s="6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</row>
    <row r="600">
      <c r="B600" s="6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</row>
    <row r="601">
      <c r="B601" s="6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</row>
    <row r="602">
      <c r="B602" s="6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</row>
    <row r="603">
      <c r="B603" s="6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</row>
    <row r="604">
      <c r="B604" s="6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</row>
    <row r="605">
      <c r="B605" s="6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</row>
    <row r="606">
      <c r="B606" s="6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</row>
    <row r="607">
      <c r="B607" s="6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</row>
    <row r="608">
      <c r="B608" s="6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</row>
    <row r="609">
      <c r="B609" s="6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</row>
    <row r="610">
      <c r="B610" s="6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</row>
    <row r="611">
      <c r="B611" s="6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</row>
    <row r="612">
      <c r="B612" s="6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</row>
    <row r="613">
      <c r="B613" s="6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</row>
    <row r="614">
      <c r="B614" s="6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</row>
    <row r="615">
      <c r="B615" s="6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</row>
    <row r="616">
      <c r="B616" s="6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</row>
    <row r="617">
      <c r="B617" s="6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</row>
    <row r="618">
      <c r="B618" s="6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</row>
    <row r="619"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</row>
    <row r="620">
      <c r="B620" s="6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</row>
    <row r="621">
      <c r="B621" s="6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</row>
    <row r="622">
      <c r="B622" s="6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</row>
    <row r="623">
      <c r="B623" s="6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</row>
    <row r="624">
      <c r="B624" s="6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</row>
    <row r="625">
      <c r="B625" s="6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</row>
    <row r="626">
      <c r="B626" s="6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</row>
    <row r="627">
      <c r="B627" s="6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</row>
    <row r="628">
      <c r="B628" s="6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</row>
    <row r="629">
      <c r="B629" s="6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</row>
    <row r="630">
      <c r="B630" s="6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</row>
    <row r="631">
      <c r="B631" s="6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</row>
    <row r="632">
      <c r="B632" s="6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</row>
    <row r="633">
      <c r="B633" s="6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</row>
    <row r="634">
      <c r="B634" s="6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</row>
    <row r="635">
      <c r="B635" s="6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</row>
    <row r="636">
      <c r="B636" s="6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</row>
    <row r="637">
      <c r="B637" s="6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</row>
    <row r="638">
      <c r="B638" s="6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</row>
    <row r="639">
      <c r="B639" s="6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</row>
    <row r="640">
      <c r="B640" s="6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</row>
    <row r="641">
      <c r="B641" s="6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</row>
    <row r="642">
      <c r="B642" s="6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</row>
    <row r="643">
      <c r="B643" s="6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</row>
    <row r="644">
      <c r="B644" s="6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</row>
    <row r="645">
      <c r="B645" s="6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</row>
    <row r="646">
      <c r="B646" s="6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</row>
    <row r="647">
      <c r="B647" s="6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</row>
    <row r="648">
      <c r="B648" s="6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</row>
    <row r="649">
      <c r="B649" s="6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</row>
    <row r="650">
      <c r="B650" s="6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</row>
    <row r="651">
      <c r="B651" s="6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</row>
    <row r="652">
      <c r="B652" s="6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</row>
    <row r="653">
      <c r="B653" s="6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</row>
    <row r="654">
      <c r="B654" s="6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</row>
    <row r="655">
      <c r="B655" s="6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</row>
    <row r="656">
      <c r="B656" s="6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</row>
    <row r="657">
      <c r="B657" s="6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</row>
    <row r="658">
      <c r="B658" s="6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</row>
    <row r="659">
      <c r="B659" s="6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</row>
    <row r="660">
      <c r="B660" s="6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</row>
    <row r="661">
      <c r="B661" s="6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</row>
    <row r="662">
      <c r="B662" s="6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</row>
    <row r="663">
      <c r="B663" s="6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</row>
    <row r="664">
      <c r="B664" s="6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</row>
    <row r="665">
      <c r="B665" s="6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</row>
    <row r="666">
      <c r="B666" s="6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</row>
    <row r="667">
      <c r="B667" s="6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</row>
    <row r="668">
      <c r="B668" s="6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</row>
    <row r="669">
      <c r="B669" s="6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</row>
    <row r="670">
      <c r="B670" s="6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</row>
    <row r="671">
      <c r="B671" s="6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</row>
    <row r="672">
      <c r="B672" s="6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</row>
    <row r="673">
      <c r="B673" s="6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</row>
    <row r="674">
      <c r="B674" s="6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</row>
    <row r="675">
      <c r="B675" s="6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</row>
    <row r="676">
      <c r="B676" s="6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</row>
    <row r="677">
      <c r="B677" s="6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</row>
    <row r="678">
      <c r="B678" s="6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</row>
    <row r="679">
      <c r="B679" s="6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</row>
    <row r="680">
      <c r="B680" s="6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</row>
    <row r="681">
      <c r="B681" s="6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</row>
    <row r="682">
      <c r="B682" s="6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</row>
    <row r="683">
      <c r="B683" s="6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</row>
    <row r="684">
      <c r="B684" s="6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</row>
    <row r="685">
      <c r="B685" s="6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</row>
    <row r="686">
      <c r="B686" s="6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</row>
    <row r="687">
      <c r="B687" s="6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</row>
    <row r="688">
      <c r="B688" s="6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</row>
    <row r="689">
      <c r="B689" s="6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</row>
    <row r="690">
      <c r="B690" s="6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</row>
    <row r="691">
      <c r="B691" s="6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</row>
    <row r="692">
      <c r="B692" s="6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</row>
    <row r="693">
      <c r="B693" s="6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</row>
    <row r="694"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</row>
    <row r="695">
      <c r="B695" s="6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</row>
    <row r="696">
      <c r="B696" s="6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</row>
    <row r="697">
      <c r="B697" s="6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</row>
    <row r="698">
      <c r="B698" s="6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</row>
    <row r="699">
      <c r="B699" s="6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</row>
    <row r="700">
      <c r="B700" s="6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</row>
    <row r="701">
      <c r="B701" s="6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</row>
    <row r="702">
      <c r="B702" s="6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</row>
    <row r="703">
      <c r="B703" s="6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</row>
    <row r="704">
      <c r="B704" s="6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</row>
    <row r="705">
      <c r="B705" s="6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</row>
    <row r="706">
      <c r="B706" s="6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</row>
    <row r="707">
      <c r="B707" s="6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</row>
    <row r="708">
      <c r="B708" s="6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</row>
    <row r="709">
      <c r="B709" s="6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</row>
    <row r="710">
      <c r="B710" s="6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</row>
    <row r="711">
      <c r="B711" s="6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</row>
    <row r="712">
      <c r="B712" s="6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</row>
    <row r="713">
      <c r="B713" s="6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</row>
    <row r="714">
      <c r="B714" s="6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</row>
    <row r="715">
      <c r="B715" s="6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</row>
    <row r="716">
      <c r="B716" s="6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</row>
    <row r="717">
      <c r="B717" s="6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</row>
    <row r="718">
      <c r="B718" s="6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</row>
    <row r="719">
      <c r="B719" s="6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</row>
    <row r="720">
      <c r="B720" s="6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</row>
    <row r="721">
      <c r="B721" s="6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</row>
    <row r="722">
      <c r="B722" s="6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</row>
    <row r="723">
      <c r="B723" s="6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</row>
    <row r="724">
      <c r="B724" s="6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</row>
    <row r="725">
      <c r="B725" s="6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</row>
    <row r="726">
      <c r="B726" s="6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</row>
    <row r="727">
      <c r="B727" s="6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</row>
    <row r="728">
      <c r="B728" s="6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</row>
    <row r="729"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</row>
    <row r="730">
      <c r="B730" s="6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</row>
    <row r="731">
      <c r="B731" s="6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</row>
    <row r="732">
      <c r="B732" s="6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</row>
    <row r="733">
      <c r="B733" s="6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</row>
    <row r="734">
      <c r="B734" s="6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</row>
    <row r="735">
      <c r="B735" s="6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</row>
    <row r="736">
      <c r="B736" s="6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</row>
    <row r="737">
      <c r="B737" s="6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</row>
    <row r="738">
      <c r="B738" s="6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</row>
    <row r="739">
      <c r="B739" s="6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</row>
    <row r="740">
      <c r="B740" s="6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</row>
    <row r="741">
      <c r="B741" s="6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</row>
    <row r="742">
      <c r="B742" s="6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</row>
    <row r="743">
      <c r="B743" s="6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</row>
    <row r="744">
      <c r="B744" s="6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</row>
    <row r="745">
      <c r="B745" s="6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</row>
    <row r="746">
      <c r="B746" s="6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</row>
    <row r="747">
      <c r="B747" s="6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</row>
    <row r="748">
      <c r="B748" s="6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</row>
    <row r="749">
      <c r="B749" s="6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</row>
    <row r="750">
      <c r="B750" s="6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</row>
    <row r="751">
      <c r="B751" s="6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</row>
    <row r="752">
      <c r="B752" s="6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</row>
    <row r="753">
      <c r="B753" s="6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</row>
    <row r="754">
      <c r="B754" s="6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</row>
    <row r="755">
      <c r="B755" s="6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</row>
    <row r="756">
      <c r="B756" s="6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</row>
    <row r="757">
      <c r="B757" s="6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</row>
    <row r="758">
      <c r="B758" s="6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</row>
    <row r="759">
      <c r="B759" s="6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</row>
    <row r="760">
      <c r="B760" s="6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</row>
    <row r="761">
      <c r="B761" s="6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</row>
    <row r="762">
      <c r="B762" s="6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</row>
    <row r="763">
      <c r="B763" s="6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</row>
    <row r="764">
      <c r="B764" s="6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</row>
    <row r="765">
      <c r="B765" s="6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</row>
    <row r="766">
      <c r="B766" s="6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</row>
    <row r="767">
      <c r="B767" s="6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</row>
    <row r="768">
      <c r="B768" s="6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</row>
    <row r="769">
      <c r="B769" s="6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</row>
    <row r="770">
      <c r="B770" s="6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</row>
    <row r="771">
      <c r="B771" s="6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</row>
    <row r="772">
      <c r="B772" s="6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</row>
    <row r="773">
      <c r="B773" s="6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</row>
    <row r="774">
      <c r="B774" s="6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</row>
    <row r="775">
      <c r="B775" s="6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</row>
    <row r="776">
      <c r="B776" s="6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</row>
    <row r="777">
      <c r="B777" s="6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</row>
    <row r="778">
      <c r="B778" s="6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</row>
    <row r="779">
      <c r="B779" s="6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</row>
    <row r="780">
      <c r="B780" s="6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</row>
    <row r="781">
      <c r="B781" s="6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</row>
    <row r="782">
      <c r="B782" s="6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</row>
    <row r="783">
      <c r="B783" s="6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</row>
    <row r="784">
      <c r="B784" s="6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</row>
    <row r="785">
      <c r="B785" s="6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</row>
    <row r="786">
      <c r="B786" s="6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</row>
    <row r="787">
      <c r="B787" s="6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</row>
    <row r="788">
      <c r="B788" s="6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</row>
    <row r="789">
      <c r="B789" s="6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</row>
    <row r="790">
      <c r="B790" s="6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</row>
    <row r="791">
      <c r="B791" s="6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</row>
    <row r="792">
      <c r="B792" s="6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</row>
    <row r="793">
      <c r="B793" s="6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</row>
    <row r="794">
      <c r="B794" s="6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</row>
    <row r="795">
      <c r="B795" s="6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</row>
    <row r="796">
      <c r="B796" s="6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</row>
    <row r="797">
      <c r="B797" s="6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</row>
    <row r="798">
      <c r="B798" s="6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</row>
    <row r="799"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</row>
    <row r="800">
      <c r="B800" s="6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</row>
    <row r="801">
      <c r="B801" s="6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</row>
    <row r="802">
      <c r="B802" s="6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</row>
    <row r="803">
      <c r="B803" s="6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</row>
    <row r="804">
      <c r="B804" s="6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</row>
    <row r="805">
      <c r="B805" s="6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</row>
    <row r="806">
      <c r="B806" s="6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</row>
    <row r="807">
      <c r="B807" s="6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</row>
    <row r="808">
      <c r="B808" s="6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</row>
    <row r="809">
      <c r="B809" s="6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</row>
    <row r="810">
      <c r="B810" s="6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</row>
    <row r="811">
      <c r="B811" s="6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</row>
    <row r="812">
      <c r="B812" s="6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</row>
    <row r="813">
      <c r="B813" s="6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</row>
    <row r="814">
      <c r="B814" s="6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</row>
    <row r="815">
      <c r="B815" s="6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</row>
    <row r="816">
      <c r="B816" s="6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</row>
    <row r="817">
      <c r="B817" s="6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</row>
    <row r="818">
      <c r="B818" s="6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</row>
    <row r="819">
      <c r="B819" s="6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</row>
    <row r="820">
      <c r="B820" s="6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</row>
    <row r="821">
      <c r="B821" s="6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</row>
    <row r="822">
      <c r="B822" s="6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</row>
    <row r="823">
      <c r="B823" s="6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</row>
    <row r="824">
      <c r="B824" s="6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</row>
    <row r="825">
      <c r="B825" s="6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</row>
    <row r="826">
      <c r="B826" s="6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</row>
    <row r="827">
      <c r="B827" s="6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</row>
    <row r="828">
      <c r="B828" s="6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</row>
    <row r="829">
      <c r="B829" s="6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</row>
    <row r="830">
      <c r="B830" s="6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</row>
    <row r="831">
      <c r="B831" s="6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</row>
    <row r="832">
      <c r="B832" s="6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</row>
    <row r="833">
      <c r="B833" s="6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</row>
    <row r="834">
      <c r="B834" s="6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</row>
    <row r="835">
      <c r="B835" s="6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</row>
    <row r="836">
      <c r="B836" s="6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</row>
    <row r="837">
      <c r="B837" s="6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</row>
    <row r="838">
      <c r="B838" s="6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</row>
    <row r="839">
      <c r="B839" s="6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</row>
    <row r="840">
      <c r="B840" s="6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</row>
    <row r="841">
      <c r="B841" s="6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</row>
    <row r="842">
      <c r="B842" s="6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</row>
    <row r="843">
      <c r="B843" s="6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</row>
    <row r="844">
      <c r="B844" s="6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</row>
    <row r="845">
      <c r="B845" s="6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</row>
    <row r="846">
      <c r="B846" s="6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</row>
    <row r="847">
      <c r="B847" s="6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</row>
    <row r="848">
      <c r="B848" s="6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</row>
    <row r="849">
      <c r="B849" s="6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</row>
    <row r="850">
      <c r="B850" s="6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</row>
    <row r="851">
      <c r="B851" s="6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</row>
    <row r="852">
      <c r="B852" s="6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</row>
    <row r="853">
      <c r="B853" s="6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</row>
    <row r="854">
      <c r="B854" s="6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</row>
    <row r="855">
      <c r="B855" s="6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</row>
    <row r="856">
      <c r="B856" s="6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</row>
    <row r="857">
      <c r="B857" s="6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</row>
    <row r="858">
      <c r="B858" s="6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</row>
    <row r="859">
      <c r="B859" s="6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</row>
    <row r="860">
      <c r="B860" s="6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</row>
    <row r="861">
      <c r="B861" s="6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</row>
    <row r="862">
      <c r="B862" s="6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</row>
    <row r="863">
      <c r="B863" s="6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</row>
    <row r="864">
      <c r="B864" s="6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</row>
    <row r="865">
      <c r="B865" s="6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</row>
    <row r="866">
      <c r="B866" s="6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</row>
    <row r="867">
      <c r="B867" s="6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</row>
    <row r="868">
      <c r="B868" s="6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</row>
    <row r="869">
      <c r="B869" s="6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</row>
    <row r="870">
      <c r="B870" s="6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</row>
    <row r="871">
      <c r="B871" s="6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</row>
    <row r="872">
      <c r="B872" s="6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</row>
    <row r="873">
      <c r="B873" s="6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</row>
    <row r="874"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</row>
    <row r="875">
      <c r="B875" s="6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</row>
    <row r="876">
      <c r="B876" s="6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</row>
    <row r="877">
      <c r="B877" s="6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</row>
    <row r="878">
      <c r="B878" s="6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</row>
    <row r="879">
      <c r="B879" s="6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</row>
    <row r="880">
      <c r="B880" s="6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</row>
    <row r="881">
      <c r="B881" s="6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</row>
    <row r="882">
      <c r="B882" s="6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</row>
    <row r="883">
      <c r="B883" s="6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</row>
    <row r="884">
      <c r="B884" s="6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</row>
    <row r="885">
      <c r="B885" s="6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</row>
    <row r="886">
      <c r="B886" s="6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</row>
    <row r="887">
      <c r="B887" s="6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</row>
    <row r="888">
      <c r="B888" s="6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</row>
    <row r="889">
      <c r="B889" s="6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</row>
    <row r="890">
      <c r="B890" s="6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</row>
    <row r="891">
      <c r="B891" s="6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</row>
    <row r="892">
      <c r="B892" s="6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</row>
    <row r="893">
      <c r="B893" s="6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</row>
    <row r="894">
      <c r="B894" s="6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</row>
    <row r="895">
      <c r="B895" s="6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</row>
    <row r="896">
      <c r="B896" s="6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</row>
    <row r="897">
      <c r="B897" s="6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</row>
    <row r="898">
      <c r="B898" s="6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</row>
    <row r="899">
      <c r="B899" s="6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</row>
    <row r="900">
      <c r="B900" s="6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</row>
    <row r="901">
      <c r="B901" s="6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</row>
    <row r="902">
      <c r="B902" s="6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</row>
    <row r="903">
      <c r="B903" s="6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</row>
    <row r="904">
      <c r="B904" s="6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</row>
    <row r="905">
      <c r="B905" s="6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</row>
    <row r="906">
      <c r="B906" s="6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</row>
    <row r="907">
      <c r="B907" s="6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</row>
    <row r="908">
      <c r="B908" s="6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</row>
    <row r="909"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</row>
    <row r="910">
      <c r="B910" s="6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</row>
    <row r="911">
      <c r="B911" s="6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</row>
    <row r="912">
      <c r="B912" s="6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</row>
    <row r="913">
      <c r="B913" s="6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</row>
    <row r="914">
      <c r="B914" s="6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</row>
    <row r="915">
      <c r="B915" s="6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</row>
    <row r="916">
      <c r="B916" s="6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</row>
    <row r="917">
      <c r="B917" s="6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</row>
    <row r="918">
      <c r="B918" s="6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</row>
    <row r="919">
      <c r="B919" s="6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</row>
    <row r="920">
      <c r="B920" s="6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</row>
    <row r="921">
      <c r="B921" s="6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</row>
    <row r="922">
      <c r="B922" s="6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</row>
    <row r="923">
      <c r="B923" s="6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</row>
    <row r="924">
      <c r="B924" s="6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</row>
    <row r="925">
      <c r="B925" s="6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</row>
    <row r="926">
      <c r="B926" s="6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</row>
    <row r="927">
      <c r="B927" s="6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</row>
    <row r="928">
      <c r="B928" s="6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</row>
    <row r="929">
      <c r="B929" s="6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</row>
    <row r="930">
      <c r="B930" s="6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</row>
    <row r="931">
      <c r="B931" s="6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</row>
    <row r="932">
      <c r="B932" s="6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</row>
    <row r="933">
      <c r="B933" s="6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</row>
    <row r="934">
      <c r="B934" s="6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</row>
    <row r="935">
      <c r="B935" s="6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</row>
    <row r="936">
      <c r="B936" s="6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</row>
    <row r="937">
      <c r="B937" s="6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</row>
    <row r="938">
      <c r="B938" s="6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</row>
    <row r="939">
      <c r="B939" s="6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</row>
    <row r="940">
      <c r="B940" s="6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</row>
    <row r="941">
      <c r="B941" s="6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</row>
    <row r="942">
      <c r="B942" s="6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</row>
    <row r="943">
      <c r="B943" s="6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</row>
    <row r="944">
      <c r="B944" s="6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</row>
    <row r="945">
      <c r="B945" s="6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</row>
    <row r="946">
      <c r="B946" s="6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</row>
    <row r="947">
      <c r="B947" s="6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</row>
    <row r="948">
      <c r="B948" s="6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</row>
    <row r="949">
      <c r="B949" s="6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</row>
    <row r="950">
      <c r="B950" s="6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</row>
    <row r="951">
      <c r="B951" s="6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</row>
    <row r="952">
      <c r="B952" s="6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</row>
    <row r="953">
      <c r="B953" s="6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</row>
    <row r="954">
      <c r="B954" s="6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</row>
    <row r="955">
      <c r="B955" s="6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</row>
    <row r="956">
      <c r="B956" s="6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</row>
    <row r="957">
      <c r="B957" s="6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</row>
    <row r="958">
      <c r="B958" s="6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</row>
    <row r="959">
      <c r="B959" s="6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</row>
    <row r="960">
      <c r="B960" s="6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</row>
    <row r="961">
      <c r="B961" s="6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</row>
    <row r="962">
      <c r="B962" s="6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</row>
    <row r="963">
      <c r="B963" s="6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</row>
    <row r="964">
      <c r="B964" s="6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</row>
  </sheetData>
  <mergeCells count="821">
    <mergeCell ref="D38:D39"/>
    <mergeCell ref="E38:E39"/>
    <mergeCell ref="D33:D34"/>
    <mergeCell ref="E33:E34"/>
    <mergeCell ref="A36:A39"/>
    <mergeCell ref="B36:B37"/>
    <mergeCell ref="C36:C37"/>
    <mergeCell ref="D36:D37"/>
    <mergeCell ref="E36:E37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B44:B45"/>
    <mergeCell ref="C44:C45"/>
    <mergeCell ref="D44:D45"/>
    <mergeCell ref="E44:E45"/>
    <mergeCell ref="H44:H45"/>
    <mergeCell ref="I44:I45"/>
    <mergeCell ref="J44:J45"/>
    <mergeCell ref="K44:K45"/>
    <mergeCell ref="L44:L45"/>
    <mergeCell ref="V44:V45"/>
    <mergeCell ref="W44:W45"/>
    <mergeCell ref="X44:X45"/>
    <mergeCell ref="Y44:Y45"/>
    <mergeCell ref="Z44:Z45"/>
    <mergeCell ref="AA44:AA45"/>
    <mergeCell ref="AB44:AB45"/>
    <mergeCell ref="V42:V43"/>
    <mergeCell ref="W42:W43"/>
    <mergeCell ref="X42:X43"/>
    <mergeCell ref="Y42:Y43"/>
    <mergeCell ref="Z42:Z43"/>
    <mergeCell ref="AA42:AA43"/>
    <mergeCell ref="AB42:AB43"/>
    <mergeCell ref="T49:T50"/>
    <mergeCell ref="U49:U50"/>
    <mergeCell ref="M49:M50"/>
    <mergeCell ref="N49:N50"/>
    <mergeCell ref="O49:O50"/>
    <mergeCell ref="P49:P50"/>
    <mergeCell ref="Q49:Q50"/>
    <mergeCell ref="R49:R50"/>
    <mergeCell ref="S49:S50"/>
    <mergeCell ref="F44:F45"/>
    <mergeCell ref="G44:G45"/>
    <mergeCell ref="A42:A45"/>
    <mergeCell ref="B42:B43"/>
    <mergeCell ref="C42:C43"/>
    <mergeCell ref="D42:D43"/>
    <mergeCell ref="E42:E43"/>
    <mergeCell ref="F42:F43"/>
    <mergeCell ref="G42:G43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B49:B50"/>
    <mergeCell ref="C49:C50"/>
    <mergeCell ref="D49:D50"/>
    <mergeCell ref="E49:E50"/>
    <mergeCell ref="H49:H50"/>
    <mergeCell ref="I49:I50"/>
    <mergeCell ref="J49:J50"/>
    <mergeCell ref="K49:K50"/>
    <mergeCell ref="L49:L50"/>
    <mergeCell ref="V49:V50"/>
    <mergeCell ref="W49:W50"/>
    <mergeCell ref="X49:X50"/>
    <mergeCell ref="Y49:Y50"/>
    <mergeCell ref="Z49:Z50"/>
    <mergeCell ref="AA49:AA50"/>
    <mergeCell ref="AB49:AB50"/>
    <mergeCell ref="V47:V48"/>
    <mergeCell ref="W47:W48"/>
    <mergeCell ref="X47:X48"/>
    <mergeCell ref="Y47:Y48"/>
    <mergeCell ref="Z47:Z48"/>
    <mergeCell ref="AA47:AA48"/>
    <mergeCell ref="AB47:AB48"/>
    <mergeCell ref="Q31:Q32"/>
    <mergeCell ref="R31:R32"/>
    <mergeCell ref="S31:S32"/>
    <mergeCell ref="T31:T32"/>
    <mergeCell ref="T33:T34"/>
    <mergeCell ref="U31:U32"/>
    <mergeCell ref="V31:V32"/>
    <mergeCell ref="U33:U34"/>
    <mergeCell ref="V33:V34"/>
    <mergeCell ref="W31:W32"/>
    <mergeCell ref="X31:X32"/>
    <mergeCell ref="W33:W34"/>
    <mergeCell ref="X33:X34"/>
    <mergeCell ref="Y31:Y32"/>
    <mergeCell ref="Z31:Z32"/>
    <mergeCell ref="Y33:Y34"/>
    <mergeCell ref="Z33:Z34"/>
    <mergeCell ref="AA31:AA32"/>
    <mergeCell ref="AB31:AB32"/>
    <mergeCell ref="AA33:AA34"/>
    <mergeCell ref="AB33:AB34"/>
    <mergeCell ref="B33:B34"/>
    <mergeCell ref="C33:C34"/>
    <mergeCell ref="R33:R34"/>
    <mergeCell ref="S33:S34"/>
    <mergeCell ref="A30:AB30"/>
    <mergeCell ref="A31:A34"/>
    <mergeCell ref="B31:B32"/>
    <mergeCell ref="C31:C32"/>
    <mergeCell ref="D31:D32"/>
    <mergeCell ref="E31:E32"/>
    <mergeCell ref="F31:F32"/>
    <mergeCell ref="A35:AB35"/>
    <mergeCell ref="K36:K37"/>
    <mergeCell ref="L36:L37"/>
    <mergeCell ref="M36:M37"/>
    <mergeCell ref="N36:N37"/>
    <mergeCell ref="O36:O37"/>
    <mergeCell ref="P36:P37"/>
    <mergeCell ref="Q36:Q37"/>
    <mergeCell ref="Y36:Y37"/>
    <mergeCell ref="Z36:Z37"/>
    <mergeCell ref="AA36:AA37"/>
    <mergeCell ref="AB36:AB37"/>
    <mergeCell ref="R36:R37"/>
    <mergeCell ref="S36:S37"/>
    <mergeCell ref="T36:T37"/>
    <mergeCell ref="U36:U37"/>
    <mergeCell ref="V36:V37"/>
    <mergeCell ref="W36:W37"/>
    <mergeCell ref="X36:X37"/>
    <mergeCell ref="K38:K39"/>
    <mergeCell ref="L38:L39"/>
    <mergeCell ref="M38:M39"/>
    <mergeCell ref="N38:N39"/>
    <mergeCell ref="O38:O39"/>
    <mergeCell ref="P38:P39"/>
    <mergeCell ref="Q38:Q39"/>
    <mergeCell ref="Y38:Y39"/>
    <mergeCell ref="Z38:Z39"/>
    <mergeCell ref="AA38:AA39"/>
    <mergeCell ref="AB38:AB39"/>
    <mergeCell ref="R38:R39"/>
    <mergeCell ref="S38:S39"/>
    <mergeCell ref="T38:T39"/>
    <mergeCell ref="U38:U39"/>
    <mergeCell ref="V38:V39"/>
    <mergeCell ref="W38:W39"/>
    <mergeCell ref="X38:X39"/>
    <mergeCell ref="A40:AB41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F33:F34"/>
    <mergeCell ref="G33:G34"/>
    <mergeCell ref="F36:F37"/>
    <mergeCell ref="G36:G37"/>
    <mergeCell ref="H36:H37"/>
    <mergeCell ref="I36:I37"/>
    <mergeCell ref="J36:J37"/>
    <mergeCell ref="B38:B39"/>
    <mergeCell ref="C38:C39"/>
    <mergeCell ref="F38:F39"/>
    <mergeCell ref="G38:G39"/>
    <mergeCell ref="H38:H39"/>
    <mergeCell ref="I38:I39"/>
    <mergeCell ref="J38:J39"/>
    <mergeCell ref="T44:T45"/>
    <mergeCell ref="U44:U45"/>
    <mergeCell ref="M44:M45"/>
    <mergeCell ref="N44:N45"/>
    <mergeCell ref="O44:O45"/>
    <mergeCell ref="P44:P45"/>
    <mergeCell ref="Q44:Q45"/>
    <mergeCell ref="R44:R45"/>
    <mergeCell ref="S44:S45"/>
    <mergeCell ref="M64:M65"/>
    <mergeCell ref="N64:N65"/>
    <mergeCell ref="O64:O65"/>
    <mergeCell ref="P64:P65"/>
    <mergeCell ref="Q64:Q65"/>
    <mergeCell ref="R64:R65"/>
    <mergeCell ref="S64:S65"/>
    <mergeCell ref="AA64:AA65"/>
    <mergeCell ref="AB64:AB65"/>
    <mergeCell ref="T64:T65"/>
    <mergeCell ref="U64:U65"/>
    <mergeCell ref="V64:V65"/>
    <mergeCell ref="W64:W65"/>
    <mergeCell ref="X64:X65"/>
    <mergeCell ref="Y64:Y65"/>
    <mergeCell ref="Z64:Z65"/>
    <mergeCell ref="A3:A4"/>
    <mergeCell ref="C3:C4"/>
    <mergeCell ref="D3:D4"/>
    <mergeCell ref="E3:E4"/>
    <mergeCell ref="F3:F4"/>
    <mergeCell ref="G3:G4"/>
    <mergeCell ref="G6:G7"/>
    <mergeCell ref="A6:A9"/>
    <mergeCell ref="B8:B9"/>
    <mergeCell ref="C8:C9"/>
    <mergeCell ref="D8:D9"/>
    <mergeCell ref="E8:E9"/>
    <mergeCell ref="F8:F9"/>
    <mergeCell ref="G8:G9"/>
    <mergeCell ref="O8:O9"/>
    <mergeCell ref="P8:P9"/>
    <mergeCell ref="Q8:Q9"/>
    <mergeCell ref="R8:R9"/>
    <mergeCell ref="S8:S9"/>
    <mergeCell ref="T8:T9"/>
    <mergeCell ref="U8:U9"/>
    <mergeCell ref="A10:AB10"/>
    <mergeCell ref="E6:E7"/>
    <mergeCell ref="F6:F7"/>
    <mergeCell ref="E11:E12"/>
    <mergeCell ref="F11:F12"/>
    <mergeCell ref="G11:G12"/>
    <mergeCell ref="H11:H12"/>
    <mergeCell ref="I11:I12"/>
    <mergeCell ref="B3:B4"/>
    <mergeCell ref="B6:B7"/>
    <mergeCell ref="A11:A14"/>
    <mergeCell ref="B11:B12"/>
    <mergeCell ref="C11:C12"/>
    <mergeCell ref="D11:D12"/>
    <mergeCell ref="B13:B14"/>
    <mergeCell ref="H8:H9"/>
    <mergeCell ref="I8:I9"/>
    <mergeCell ref="J8:J9"/>
    <mergeCell ref="K8:K9"/>
    <mergeCell ref="L8:L9"/>
    <mergeCell ref="M8:M9"/>
    <mergeCell ref="N8:N9"/>
    <mergeCell ref="AA13:AA14"/>
    <mergeCell ref="AB13:AB14"/>
    <mergeCell ref="A15:AB15"/>
    <mergeCell ref="T18:T19"/>
    <mergeCell ref="U18:U19"/>
    <mergeCell ref="M18:M19"/>
    <mergeCell ref="N18:N19"/>
    <mergeCell ref="O18:O19"/>
    <mergeCell ref="P18:P19"/>
    <mergeCell ref="Q18:Q19"/>
    <mergeCell ref="R18:R19"/>
    <mergeCell ref="S18:S19"/>
    <mergeCell ref="J13:J14"/>
    <mergeCell ref="K13:K14"/>
    <mergeCell ref="C13:C14"/>
    <mergeCell ref="D13:D14"/>
    <mergeCell ref="E13:E14"/>
    <mergeCell ref="F13:F14"/>
    <mergeCell ref="G13:G14"/>
    <mergeCell ref="H13:H14"/>
    <mergeCell ref="I13:I14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B18:B19"/>
    <mergeCell ref="C18:C19"/>
    <mergeCell ref="D18:D19"/>
    <mergeCell ref="E18:E19"/>
    <mergeCell ref="H18:H19"/>
    <mergeCell ref="I18:I19"/>
    <mergeCell ref="J18:J19"/>
    <mergeCell ref="K18:K19"/>
    <mergeCell ref="L18:L19"/>
    <mergeCell ref="V18:V19"/>
    <mergeCell ref="W18:W19"/>
    <mergeCell ref="X18:X19"/>
    <mergeCell ref="Y18:Y19"/>
    <mergeCell ref="Z18:Z19"/>
    <mergeCell ref="AA18:AA19"/>
    <mergeCell ref="AB18:AB19"/>
    <mergeCell ref="V16:V17"/>
    <mergeCell ref="W16:W17"/>
    <mergeCell ref="X16:X17"/>
    <mergeCell ref="Y16:Y17"/>
    <mergeCell ref="Z16:Z17"/>
    <mergeCell ref="AA16:AA17"/>
    <mergeCell ref="AB16:AB17"/>
    <mergeCell ref="F23:F24"/>
    <mergeCell ref="G23:G24"/>
    <mergeCell ref="A21:A24"/>
    <mergeCell ref="B21:B22"/>
    <mergeCell ref="C21:C22"/>
    <mergeCell ref="D21:D22"/>
    <mergeCell ref="E21:E22"/>
    <mergeCell ref="F21:F22"/>
    <mergeCell ref="G21:G22"/>
    <mergeCell ref="F18:F19"/>
    <mergeCell ref="G18:G19"/>
    <mergeCell ref="A20:AB20"/>
    <mergeCell ref="A16:A19"/>
    <mergeCell ref="B16:B17"/>
    <mergeCell ref="C16:C17"/>
    <mergeCell ref="D16:D17"/>
    <mergeCell ref="E16:E17"/>
    <mergeCell ref="F16:F17"/>
    <mergeCell ref="G16:G17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B23:B24"/>
    <mergeCell ref="C23:C24"/>
    <mergeCell ref="D23:D24"/>
    <mergeCell ref="E23:E24"/>
    <mergeCell ref="H23:H24"/>
    <mergeCell ref="I23:I24"/>
    <mergeCell ref="J23:J24"/>
    <mergeCell ref="K23:K24"/>
    <mergeCell ref="L23:L24"/>
    <mergeCell ref="V23:V24"/>
    <mergeCell ref="W23:W24"/>
    <mergeCell ref="X23:X24"/>
    <mergeCell ref="Y23:Y24"/>
    <mergeCell ref="Z23:Z24"/>
    <mergeCell ref="AA23:AA24"/>
    <mergeCell ref="AB23:AB24"/>
    <mergeCell ref="V21:V22"/>
    <mergeCell ref="W21:W22"/>
    <mergeCell ref="X21:X22"/>
    <mergeCell ref="Y21:Y22"/>
    <mergeCell ref="Z21:Z22"/>
    <mergeCell ref="AA21:AA22"/>
    <mergeCell ref="AB21:AB22"/>
    <mergeCell ref="T23:T24"/>
    <mergeCell ref="U23:U24"/>
    <mergeCell ref="N23:N24"/>
    <mergeCell ref="O23:O24"/>
    <mergeCell ref="P23:P24"/>
    <mergeCell ref="Q23:Q24"/>
    <mergeCell ref="R23:R24"/>
    <mergeCell ref="S23:S24"/>
    <mergeCell ref="A25:AB25"/>
    <mergeCell ref="G26:G27"/>
    <mergeCell ref="H26:H27"/>
    <mergeCell ref="I26:I27"/>
    <mergeCell ref="J26:J27"/>
    <mergeCell ref="K26:K27"/>
    <mergeCell ref="L26:L27"/>
    <mergeCell ref="N26:N27"/>
    <mergeCell ref="O26:O27"/>
    <mergeCell ref="P26:P27"/>
    <mergeCell ref="Q26:Q27"/>
    <mergeCell ref="R26:R27"/>
    <mergeCell ref="Z26:Z27"/>
    <mergeCell ref="AA26:AA27"/>
    <mergeCell ref="AB26:AB27"/>
    <mergeCell ref="AB28:AB29"/>
    <mergeCell ref="S26:S27"/>
    <mergeCell ref="T26:T27"/>
    <mergeCell ref="U26:U27"/>
    <mergeCell ref="V26:V27"/>
    <mergeCell ref="W26:W27"/>
    <mergeCell ref="X26:X27"/>
    <mergeCell ref="Y26:Y27"/>
    <mergeCell ref="B26:B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M23:M24"/>
    <mergeCell ref="A26:A29"/>
    <mergeCell ref="C26:C27"/>
    <mergeCell ref="D26:D27"/>
    <mergeCell ref="E26:E27"/>
    <mergeCell ref="F26:F27"/>
    <mergeCell ref="M26:M27"/>
    <mergeCell ref="M28:M29"/>
    <mergeCell ref="K28:K29"/>
    <mergeCell ref="L28:L29"/>
    <mergeCell ref="N28:N29"/>
    <mergeCell ref="O28:O29"/>
    <mergeCell ref="P28:P29"/>
    <mergeCell ref="Q28:Q29"/>
    <mergeCell ref="R28:R29"/>
    <mergeCell ref="T6:T7"/>
    <mergeCell ref="U6:U7"/>
    <mergeCell ref="M6:M7"/>
    <mergeCell ref="N6:N7"/>
    <mergeCell ref="O6:O7"/>
    <mergeCell ref="P6:P7"/>
    <mergeCell ref="Q6:Q7"/>
    <mergeCell ref="R6:R7"/>
    <mergeCell ref="S6:S7"/>
    <mergeCell ref="C1:J1"/>
    <mergeCell ref="P1:W1"/>
    <mergeCell ref="X1:X2"/>
    <mergeCell ref="Y1:Y2"/>
    <mergeCell ref="Z1:Z2"/>
    <mergeCell ref="AA1:AA2"/>
    <mergeCell ref="AB1:AB2"/>
    <mergeCell ref="A1:A2"/>
    <mergeCell ref="B1:B2"/>
    <mergeCell ref="K1:K2"/>
    <mergeCell ref="L1:L2"/>
    <mergeCell ref="M1:M2"/>
    <mergeCell ref="N1:N2"/>
    <mergeCell ref="O1:O2"/>
    <mergeCell ref="H3:H4"/>
    <mergeCell ref="I3:I4"/>
    <mergeCell ref="J3:J4"/>
    <mergeCell ref="K3:K4"/>
    <mergeCell ref="L3:L4"/>
    <mergeCell ref="M3:M4"/>
    <mergeCell ref="N3:N4"/>
    <mergeCell ref="V3:V4"/>
    <mergeCell ref="W3:W4"/>
    <mergeCell ref="X3:X4"/>
    <mergeCell ref="Y3:Y4"/>
    <mergeCell ref="Z3:Z4"/>
    <mergeCell ref="AA3:AA4"/>
    <mergeCell ref="AB3:AB4"/>
    <mergeCell ref="O3:O4"/>
    <mergeCell ref="P3:P4"/>
    <mergeCell ref="Q3:Q4"/>
    <mergeCell ref="R3:R4"/>
    <mergeCell ref="S3:S4"/>
    <mergeCell ref="T3:T4"/>
    <mergeCell ref="U3:U4"/>
    <mergeCell ref="A5:AB5"/>
    <mergeCell ref="V6:V7"/>
    <mergeCell ref="W6:W7"/>
    <mergeCell ref="X6:X7"/>
    <mergeCell ref="Y6:Y7"/>
    <mergeCell ref="Z6:Z7"/>
    <mergeCell ref="AA6:AA7"/>
    <mergeCell ref="AB6:AB7"/>
    <mergeCell ref="C6:C7"/>
    <mergeCell ref="D6:D7"/>
    <mergeCell ref="H6:H7"/>
    <mergeCell ref="I6:I7"/>
    <mergeCell ref="J6:J7"/>
    <mergeCell ref="K6:K7"/>
    <mergeCell ref="L6:L7"/>
    <mergeCell ref="Q11:Q12"/>
    <mergeCell ref="R11:R12"/>
    <mergeCell ref="J11:J12"/>
    <mergeCell ref="K11:K12"/>
    <mergeCell ref="L11:L12"/>
    <mergeCell ref="M11:M12"/>
    <mergeCell ref="N11:N12"/>
    <mergeCell ref="O11:O12"/>
    <mergeCell ref="P11:P12"/>
    <mergeCell ref="Z11:Z12"/>
    <mergeCell ref="AA11:AA12"/>
    <mergeCell ref="S11:S12"/>
    <mergeCell ref="T11:T12"/>
    <mergeCell ref="U11:U12"/>
    <mergeCell ref="V11:V12"/>
    <mergeCell ref="W11:W12"/>
    <mergeCell ref="X11:X12"/>
    <mergeCell ref="Y11:Y12"/>
    <mergeCell ref="S13:S14"/>
    <mergeCell ref="T13:T14"/>
    <mergeCell ref="L13:L14"/>
    <mergeCell ref="M13:M14"/>
    <mergeCell ref="N13:N14"/>
    <mergeCell ref="O13:O14"/>
    <mergeCell ref="P13:P14"/>
    <mergeCell ref="Q13:Q14"/>
    <mergeCell ref="R13:R14"/>
    <mergeCell ref="W8:W9"/>
    <mergeCell ref="X8:X9"/>
    <mergeCell ref="Y8:Y9"/>
    <mergeCell ref="Z8:Z9"/>
    <mergeCell ref="AA8:AA9"/>
    <mergeCell ref="AB8:AB9"/>
    <mergeCell ref="AB11:AB12"/>
    <mergeCell ref="V8:V9"/>
    <mergeCell ref="U13:U14"/>
    <mergeCell ref="V13:V14"/>
    <mergeCell ref="W13:W14"/>
    <mergeCell ref="X13:X14"/>
    <mergeCell ref="Y13:Y14"/>
    <mergeCell ref="Z13:Z14"/>
    <mergeCell ref="Z28:Z29"/>
    <mergeCell ref="AA28:AA29"/>
    <mergeCell ref="S28:S29"/>
    <mergeCell ref="T28:T29"/>
    <mergeCell ref="U28:U29"/>
    <mergeCell ref="V28:V29"/>
    <mergeCell ref="W28:W29"/>
    <mergeCell ref="X28:X29"/>
    <mergeCell ref="Y28:Y29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F54:F55"/>
    <mergeCell ref="G54:G55"/>
    <mergeCell ref="A52:A55"/>
    <mergeCell ref="B52:B53"/>
    <mergeCell ref="C52:C53"/>
    <mergeCell ref="D52:D53"/>
    <mergeCell ref="E52:E53"/>
    <mergeCell ref="F52:F53"/>
    <mergeCell ref="G52:G53"/>
    <mergeCell ref="F49:F50"/>
    <mergeCell ref="G49:G50"/>
    <mergeCell ref="A47:A50"/>
    <mergeCell ref="B47:B48"/>
    <mergeCell ref="C47:C48"/>
    <mergeCell ref="D47:D48"/>
    <mergeCell ref="E47:E48"/>
    <mergeCell ref="F47:F48"/>
    <mergeCell ref="G47:G48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B54:B55"/>
    <mergeCell ref="C54:C55"/>
    <mergeCell ref="D54:D55"/>
    <mergeCell ref="E54:E55"/>
    <mergeCell ref="H54:H55"/>
    <mergeCell ref="I54:I55"/>
    <mergeCell ref="J54:J55"/>
    <mergeCell ref="K54:K55"/>
    <mergeCell ref="L54:L55"/>
    <mergeCell ref="V54:V55"/>
    <mergeCell ref="W54:W55"/>
    <mergeCell ref="X54:X55"/>
    <mergeCell ref="Y54:Y55"/>
    <mergeCell ref="Z54:Z55"/>
    <mergeCell ref="AA54:AA55"/>
    <mergeCell ref="AB54:AB55"/>
    <mergeCell ref="V52:V53"/>
    <mergeCell ref="W52:W53"/>
    <mergeCell ref="X52:X53"/>
    <mergeCell ref="Y52:Y53"/>
    <mergeCell ref="Z52:Z53"/>
    <mergeCell ref="AA52:AA53"/>
    <mergeCell ref="AB52:AB53"/>
    <mergeCell ref="F59:F60"/>
    <mergeCell ref="G59:G60"/>
    <mergeCell ref="A57:A60"/>
    <mergeCell ref="B57:B58"/>
    <mergeCell ref="C57:C58"/>
    <mergeCell ref="D57:D58"/>
    <mergeCell ref="E57:E58"/>
    <mergeCell ref="F57:F58"/>
    <mergeCell ref="G57:G58"/>
    <mergeCell ref="T54:T55"/>
    <mergeCell ref="U54:U55"/>
    <mergeCell ref="M54:M55"/>
    <mergeCell ref="N54:N55"/>
    <mergeCell ref="O54:O55"/>
    <mergeCell ref="P54:P55"/>
    <mergeCell ref="Q54:Q55"/>
    <mergeCell ref="R54:R55"/>
    <mergeCell ref="S54:S55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B59:B60"/>
    <mergeCell ref="C59:C60"/>
    <mergeCell ref="D59:D60"/>
    <mergeCell ref="E59:E60"/>
    <mergeCell ref="H59:H60"/>
    <mergeCell ref="I59:I60"/>
    <mergeCell ref="J59:J60"/>
    <mergeCell ref="K59:K60"/>
    <mergeCell ref="L59:L60"/>
    <mergeCell ref="V59:V60"/>
    <mergeCell ref="W59:W60"/>
    <mergeCell ref="X59:X60"/>
    <mergeCell ref="Y59:Y60"/>
    <mergeCell ref="Z59:Z60"/>
    <mergeCell ref="AA59:AA60"/>
    <mergeCell ref="AB59:AB60"/>
    <mergeCell ref="V57:V58"/>
    <mergeCell ref="W57:W58"/>
    <mergeCell ref="X57:X58"/>
    <mergeCell ref="Y57:Y58"/>
    <mergeCell ref="Z57:Z58"/>
    <mergeCell ref="AA57:AA58"/>
    <mergeCell ref="AB57:AB58"/>
    <mergeCell ref="T59:T60"/>
    <mergeCell ref="U59:U60"/>
    <mergeCell ref="M59:M60"/>
    <mergeCell ref="N59:N60"/>
    <mergeCell ref="O59:O60"/>
    <mergeCell ref="P59:P60"/>
    <mergeCell ref="Q59:Q60"/>
    <mergeCell ref="R59:R60"/>
    <mergeCell ref="S59:S60"/>
    <mergeCell ref="H62:H63"/>
    <mergeCell ref="I62:I63"/>
    <mergeCell ref="J62:J63"/>
    <mergeCell ref="K62:K63"/>
    <mergeCell ref="L62:L63"/>
    <mergeCell ref="M62:M63"/>
    <mergeCell ref="N62:N63"/>
    <mergeCell ref="V62:V63"/>
    <mergeCell ref="W62:W63"/>
    <mergeCell ref="X62:X63"/>
    <mergeCell ref="Y62:Y63"/>
    <mergeCell ref="Z62:Z63"/>
    <mergeCell ref="AA62:AA63"/>
    <mergeCell ref="AB62:AB63"/>
    <mergeCell ref="O62:O63"/>
    <mergeCell ref="P62:P63"/>
    <mergeCell ref="Q62:Q63"/>
    <mergeCell ref="R62:R63"/>
    <mergeCell ref="S62:S63"/>
    <mergeCell ref="T62:T63"/>
    <mergeCell ref="U62:U63"/>
    <mergeCell ref="B64:B65"/>
    <mergeCell ref="C64:C65"/>
    <mergeCell ref="D64:D65"/>
    <mergeCell ref="E64:E65"/>
    <mergeCell ref="H64:H65"/>
    <mergeCell ref="I64:I65"/>
    <mergeCell ref="J64:J65"/>
    <mergeCell ref="K64:K65"/>
    <mergeCell ref="L64:L65"/>
    <mergeCell ref="T69:T70"/>
    <mergeCell ref="U69:U70"/>
    <mergeCell ref="M69:M70"/>
    <mergeCell ref="N69:N70"/>
    <mergeCell ref="O69:O70"/>
    <mergeCell ref="P69:P70"/>
    <mergeCell ref="Q69:Q70"/>
    <mergeCell ref="R69:R70"/>
    <mergeCell ref="S69:S70"/>
    <mergeCell ref="F64:F65"/>
    <mergeCell ref="G64:G65"/>
    <mergeCell ref="A62:A65"/>
    <mergeCell ref="B62:B63"/>
    <mergeCell ref="C62:C63"/>
    <mergeCell ref="D62:D63"/>
    <mergeCell ref="E62:E63"/>
    <mergeCell ref="F62:F63"/>
    <mergeCell ref="G62:G63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S67:S68"/>
    <mergeCell ref="T67:T68"/>
    <mergeCell ref="U67:U68"/>
    <mergeCell ref="B69:B70"/>
    <mergeCell ref="C69:C70"/>
    <mergeCell ref="D69:D70"/>
    <mergeCell ref="E69:E70"/>
    <mergeCell ref="H69:H70"/>
    <mergeCell ref="I69:I70"/>
    <mergeCell ref="J69:J70"/>
    <mergeCell ref="K69:K70"/>
    <mergeCell ref="L69:L70"/>
    <mergeCell ref="V69:V70"/>
    <mergeCell ref="W69:W70"/>
    <mergeCell ref="X69:X70"/>
    <mergeCell ref="Y69:Y70"/>
    <mergeCell ref="Z69:Z70"/>
    <mergeCell ref="AA69:AA70"/>
    <mergeCell ref="AB69:AB70"/>
    <mergeCell ref="V67:V68"/>
    <mergeCell ref="W67:W68"/>
    <mergeCell ref="X67:X68"/>
    <mergeCell ref="Y67:Y68"/>
    <mergeCell ref="Z67:Z68"/>
    <mergeCell ref="AA67:AA68"/>
    <mergeCell ref="AB67:AB68"/>
    <mergeCell ref="F74:F75"/>
    <mergeCell ref="G74:G75"/>
    <mergeCell ref="A72:A75"/>
    <mergeCell ref="B72:B73"/>
    <mergeCell ref="C72:C73"/>
    <mergeCell ref="D72:D73"/>
    <mergeCell ref="E72:E73"/>
    <mergeCell ref="F72:F73"/>
    <mergeCell ref="G72:G73"/>
    <mergeCell ref="T74:T75"/>
    <mergeCell ref="U74:U75"/>
    <mergeCell ref="M74:M75"/>
    <mergeCell ref="N74:N75"/>
    <mergeCell ref="O74:O75"/>
    <mergeCell ref="P74:P75"/>
    <mergeCell ref="Q74:Q75"/>
    <mergeCell ref="R74:R75"/>
    <mergeCell ref="S74:S75"/>
    <mergeCell ref="F69:F70"/>
    <mergeCell ref="G69:G70"/>
    <mergeCell ref="A67:A70"/>
    <mergeCell ref="B67:B68"/>
    <mergeCell ref="C67:C68"/>
    <mergeCell ref="D67:D68"/>
    <mergeCell ref="E67:E68"/>
    <mergeCell ref="F67:F68"/>
    <mergeCell ref="G67:G68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B74:B75"/>
    <mergeCell ref="C74:C75"/>
    <mergeCell ref="D74:D75"/>
    <mergeCell ref="E74:E75"/>
    <mergeCell ref="H74:H75"/>
    <mergeCell ref="I74:I75"/>
    <mergeCell ref="J74:J75"/>
    <mergeCell ref="K74:K75"/>
    <mergeCell ref="L74:L75"/>
    <mergeCell ref="V72:V73"/>
    <mergeCell ref="V74:V75"/>
    <mergeCell ref="W74:W75"/>
    <mergeCell ref="X74:X75"/>
    <mergeCell ref="Y74:Y75"/>
    <mergeCell ref="Z74:Z75"/>
    <mergeCell ref="AA74:AA75"/>
    <mergeCell ref="AB74:AB75"/>
    <mergeCell ref="W72:W73"/>
    <mergeCell ref="X72:X73"/>
    <mergeCell ref="Y72:Y73"/>
    <mergeCell ref="Z72:Z73"/>
    <mergeCell ref="AA72:AA73"/>
    <mergeCell ref="AB72:AB73"/>
    <mergeCell ref="AC72:AC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88"/>
    <col customWidth="1" min="2" max="2" width="18.38"/>
  </cols>
  <sheetData>
    <row r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4"/>
      <c r="K1" s="5" t="s">
        <v>2</v>
      </c>
      <c r="L1" s="1" t="s">
        <v>3</v>
      </c>
      <c r="M1" s="1" t="s">
        <v>4</v>
      </c>
      <c r="N1" s="5" t="s">
        <v>5</v>
      </c>
      <c r="O1" s="1" t="s">
        <v>6</v>
      </c>
      <c r="P1" s="2" t="s">
        <v>7</v>
      </c>
      <c r="Q1" s="3"/>
      <c r="R1" s="3"/>
      <c r="S1" s="3"/>
      <c r="T1" s="3"/>
      <c r="U1" s="3"/>
      <c r="V1" s="3"/>
      <c r="W1" s="4"/>
      <c r="X1" s="5" t="s">
        <v>2</v>
      </c>
      <c r="Y1" s="1" t="s">
        <v>3</v>
      </c>
      <c r="Z1" s="1" t="s">
        <v>4</v>
      </c>
      <c r="AA1" s="5" t="s">
        <v>5</v>
      </c>
      <c r="AB1" s="1" t="s">
        <v>6</v>
      </c>
    </row>
    <row r="2">
      <c r="A2" s="7"/>
      <c r="B2" s="7"/>
      <c r="C2" s="8" t="s">
        <v>8</v>
      </c>
      <c r="D2" s="8" t="s">
        <v>9</v>
      </c>
      <c r="E2" s="9" t="s">
        <v>10</v>
      </c>
      <c r="F2" s="8" t="s">
        <v>11</v>
      </c>
      <c r="G2" s="10" t="s">
        <v>12</v>
      </c>
      <c r="H2" s="11" t="s">
        <v>13</v>
      </c>
      <c r="I2" s="12" t="s">
        <v>14</v>
      </c>
      <c r="J2" s="13" t="s">
        <v>15</v>
      </c>
      <c r="K2" s="14"/>
      <c r="L2" s="15"/>
      <c r="M2" s="15"/>
      <c r="N2" s="14"/>
      <c r="O2" s="15"/>
      <c r="P2" s="8" t="s">
        <v>8</v>
      </c>
      <c r="Q2" s="8" t="s">
        <v>9</v>
      </c>
      <c r="R2" s="9" t="s">
        <v>10</v>
      </c>
      <c r="S2" s="8" t="s">
        <v>11</v>
      </c>
      <c r="T2" s="10" t="s">
        <v>12</v>
      </c>
      <c r="U2" s="11" t="s">
        <v>13</v>
      </c>
      <c r="V2" s="12" t="s">
        <v>14</v>
      </c>
      <c r="W2" s="13" t="s">
        <v>15</v>
      </c>
      <c r="X2" s="14"/>
      <c r="Y2" s="15"/>
      <c r="Z2" s="15"/>
      <c r="AA2" s="14"/>
      <c r="AB2" s="15"/>
    </row>
    <row r="3">
      <c r="A3" s="16" t="s">
        <v>16</v>
      </c>
      <c r="B3" s="17" t="s">
        <v>17</v>
      </c>
      <c r="C3" s="18">
        <v>0.774</v>
      </c>
      <c r="D3" s="18">
        <v>0.745</v>
      </c>
      <c r="E3" s="18">
        <v>0.682</v>
      </c>
      <c r="F3" s="18">
        <v>0.74</v>
      </c>
      <c r="G3" s="19">
        <v>0.738</v>
      </c>
      <c r="H3" s="18">
        <v>0.378</v>
      </c>
      <c r="I3" s="20">
        <v>0.842</v>
      </c>
      <c r="J3" s="21">
        <v>0.803</v>
      </c>
      <c r="K3" s="21">
        <v>42.67</v>
      </c>
      <c r="L3" s="20">
        <v>39.0</v>
      </c>
      <c r="M3" s="20">
        <v>29.67</v>
      </c>
      <c r="N3" s="22">
        <v>158.0</v>
      </c>
      <c r="O3" s="23"/>
      <c r="P3" s="18">
        <v>0.762</v>
      </c>
      <c r="Q3" s="18">
        <v>0.725</v>
      </c>
      <c r="R3" s="18">
        <v>0.671</v>
      </c>
      <c r="S3" s="19">
        <v>0.724</v>
      </c>
      <c r="T3" s="19">
        <v>0.725</v>
      </c>
      <c r="U3" s="19">
        <v>0.347</v>
      </c>
      <c r="V3" s="18">
        <v>0.808</v>
      </c>
      <c r="W3" s="18">
        <v>0.8</v>
      </c>
      <c r="X3" s="24">
        <v>43.0</v>
      </c>
      <c r="Y3" s="18">
        <v>38.0</v>
      </c>
      <c r="Z3" s="25">
        <v>36.0</v>
      </c>
      <c r="AA3" s="22">
        <v>151.0</v>
      </c>
      <c r="AB3" s="23"/>
    </row>
    <row r="4">
      <c r="A4" s="7"/>
      <c r="B4" s="27"/>
      <c r="C4" s="7"/>
      <c r="D4" s="7"/>
      <c r="E4" s="7"/>
      <c r="F4" s="7"/>
      <c r="G4" s="28"/>
      <c r="H4" s="7"/>
      <c r="I4" s="15"/>
      <c r="J4" s="14"/>
      <c r="K4" s="14"/>
      <c r="L4" s="15"/>
      <c r="M4" s="15"/>
      <c r="N4" s="14"/>
      <c r="O4" s="15"/>
      <c r="P4" s="7"/>
      <c r="Q4" s="7"/>
      <c r="R4" s="7"/>
      <c r="S4" s="28"/>
      <c r="T4" s="28"/>
      <c r="U4" s="28"/>
      <c r="V4" s="15"/>
      <c r="W4" s="15"/>
      <c r="X4" s="14"/>
      <c r="Y4" s="15"/>
      <c r="Z4" s="15"/>
      <c r="AA4" s="14"/>
      <c r="AB4" s="15"/>
    </row>
    <row r="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1"/>
    </row>
    <row r="6">
      <c r="A6" s="33" t="s">
        <v>18</v>
      </c>
      <c r="B6" s="34" t="s">
        <v>19</v>
      </c>
      <c r="C6" s="67">
        <f> Results!C6 - C3</f>
        <v>-0.008166666667</v>
      </c>
      <c r="D6" s="67">
        <f> Results!D6 - D3</f>
        <v>-0.01236666667</v>
      </c>
      <c r="E6" s="67">
        <f> Results!E6 - E3</f>
        <v>-0.0413</v>
      </c>
      <c r="F6" s="67">
        <f> Results!F6 - F3</f>
        <v>-0.0345</v>
      </c>
      <c r="G6" s="67">
        <f> Results!G6 - G3</f>
        <v>0.0003666666667</v>
      </c>
      <c r="H6" s="67">
        <f> Results!H6 - H3</f>
        <v>-0.0701</v>
      </c>
      <c r="I6" s="67">
        <f> Results!I6 - I3</f>
        <v>0.03283333333</v>
      </c>
      <c r="J6" s="67">
        <f> Results!J6 - J3</f>
        <v>-0.0256</v>
      </c>
      <c r="K6" s="67">
        <f> Results!K6 - K3</f>
        <v>-9.47</v>
      </c>
      <c r="L6" s="67">
        <f> Results!L6 - L3</f>
        <v>9.466666667</v>
      </c>
      <c r="M6" s="67">
        <f> Results!M6 - M3</f>
        <v>-6.136666667</v>
      </c>
      <c r="N6" s="67">
        <f> Results!N6 - N3</f>
        <v>6.133333333</v>
      </c>
      <c r="O6" s="67"/>
      <c r="P6" s="67">
        <f> Results!P6 - P3</f>
        <v>-0.0006</v>
      </c>
      <c r="Q6" s="67">
        <f> Results!Q6 - Q3</f>
        <v>0.002933333333</v>
      </c>
      <c r="R6" s="67">
        <f> Results!R6 - R3</f>
        <v>0.0018</v>
      </c>
      <c r="S6" s="67">
        <f> Results!S6 - S3</f>
        <v>0.0005666666667</v>
      </c>
      <c r="T6" s="67">
        <f> Results!T6 - T3</f>
        <v>0.002466666667</v>
      </c>
      <c r="U6" s="67">
        <f> Results!U6 - U3</f>
        <v>0.0041</v>
      </c>
      <c r="V6" s="67">
        <f> Results!V6 - V3</f>
        <v>0.004766666667</v>
      </c>
      <c r="W6" s="67">
        <f> Results!W6 - W3</f>
        <v>0.002633333333</v>
      </c>
      <c r="X6" s="67">
        <f> Results!X6 - X3</f>
        <v>0.5333333333</v>
      </c>
      <c r="Y6" s="67">
        <f> Results!Y6 - Y3</f>
        <v>0.4333333333</v>
      </c>
      <c r="Z6" s="67">
        <f> Results!Z6 - Z3</f>
        <v>-0.8333333333</v>
      </c>
      <c r="AA6" s="67">
        <f> Results!AA6 - AA3</f>
        <v>1.533333333</v>
      </c>
      <c r="AB6" s="40"/>
    </row>
    <row r="7">
      <c r="A7" s="15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52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1"/>
    </row>
    <row r="9">
      <c r="A9" s="54" t="s">
        <v>21</v>
      </c>
      <c r="B9" s="34" t="s">
        <v>19</v>
      </c>
      <c r="C9" s="67">
        <f> Results!C11 - C3</f>
        <v>-0.009966666667</v>
      </c>
      <c r="D9" s="67">
        <f> Results!D11 - D3</f>
        <v>-0.012</v>
      </c>
      <c r="E9" s="67">
        <f> Results!E11 - E3</f>
        <v>-0.03283333333</v>
      </c>
      <c r="F9" s="67">
        <f> Results!F11 - F3</f>
        <v>-0.0253</v>
      </c>
      <c r="G9" s="67">
        <f> Results!G11 - G3</f>
        <v>-0.01103333333</v>
      </c>
      <c r="H9" s="67">
        <f> Results!H11 - H3</f>
        <v>-0.05356666667</v>
      </c>
      <c r="I9" s="67">
        <f> Results!I11 - I3</f>
        <v>0.0204</v>
      </c>
      <c r="J9" s="67">
        <f> Results!J11 - J3</f>
        <v>-0.02036666667</v>
      </c>
      <c r="K9" s="67">
        <f> Results!K11 - K3</f>
        <v>-7.07</v>
      </c>
      <c r="L9" s="67">
        <f> Results!L11 - L3</f>
        <v>7.066666667</v>
      </c>
      <c r="M9" s="67">
        <f> Results!M11 - M3</f>
        <v>-3.836666667</v>
      </c>
      <c r="N9" s="67">
        <f> Results!N11 - N3</f>
        <v>3.833333333</v>
      </c>
      <c r="O9" s="67"/>
      <c r="P9" s="67">
        <f> Results!P11 - P3</f>
        <v>-0.0066</v>
      </c>
      <c r="Q9" s="67">
        <f> Results!Q11 - Q3</f>
        <v>-0.002433333333</v>
      </c>
      <c r="R9" s="67">
        <f> Results!R11 - R3</f>
        <v>-0.0128</v>
      </c>
      <c r="S9" s="67">
        <f> Results!S11 - S3</f>
        <v>-0.006633333333</v>
      </c>
      <c r="T9" s="67">
        <f> Results!T11 - T3</f>
        <v>-0.006733333333</v>
      </c>
      <c r="U9" s="67">
        <f> Results!U11 - U3</f>
        <v>-0.0179</v>
      </c>
      <c r="V9" s="67">
        <f> Results!V11 - V3</f>
        <v>0.0136</v>
      </c>
      <c r="W9" s="67">
        <f> Results!W11 - W3</f>
        <v>-0.009933333333</v>
      </c>
      <c r="X9" s="67">
        <f> Results!X11 - X3</f>
        <v>-2.566666667</v>
      </c>
      <c r="Y9" s="67">
        <f> Results!Y11 - Y3</f>
        <v>3.233333333</v>
      </c>
      <c r="Z9" s="67">
        <f> Results!Z11 - Z3</f>
        <v>-2.533333333</v>
      </c>
      <c r="AA9" s="67">
        <f> Results!AA11 - AA3</f>
        <v>3.2</v>
      </c>
      <c r="AB9" s="67"/>
    </row>
    <row r="10">
      <c r="A10" s="15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5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</row>
    <row r="12">
      <c r="A12" s="54" t="s">
        <v>22</v>
      </c>
      <c r="B12" s="34" t="s">
        <v>19</v>
      </c>
      <c r="C12" s="67">
        <f> Results!C16 - C3</f>
        <v>-0.05383333333</v>
      </c>
      <c r="D12" s="67">
        <f> Results!D16 - D3</f>
        <v>-0.0341</v>
      </c>
      <c r="E12" s="67">
        <f> Results!E16 - E3</f>
        <v>-0.07713333333</v>
      </c>
      <c r="F12" s="67">
        <f> Results!F16 - F3</f>
        <v>-0.0675</v>
      </c>
      <c r="G12" s="67">
        <f> Results!G16 - G3</f>
        <v>-0.02663333333</v>
      </c>
      <c r="H12" s="67">
        <f> Results!H16 - H3</f>
        <v>-0.1457</v>
      </c>
      <c r="I12" s="67">
        <f> Results!I16 - I3</f>
        <v>0.03276666667</v>
      </c>
      <c r="J12" s="67">
        <f> Results!J16 - J3</f>
        <v>-0.04516666667</v>
      </c>
      <c r="K12" s="67">
        <f> Results!K16 - K3</f>
        <v>-15.33666667</v>
      </c>
      <c r="L12" s="67">
        <f> Results!L16 - L3</f>
        <v>15.33333333</v>
      </c>
      <c r="M12" s="67">
        <f> Results!M16 - M3</f>
        <v>-6.136666667</v>
      </c>
      <c r="N12" s="67">
        <f> Results!N16 - N3</f>
        <v>6.133333333</v>
      </c>
      <c r="O12" s="67"/>
      <c r="P12" s="67">
        <f> Results!P16 - P3</f>
        <v>-0.0546</v>
      </c>
      <c r="Q12" s="67">
        <f> Results!Q16 - Q3</f>
        <v>-0.0337</v>
      </c>
      <c r="R12" s="67">
        <f> Results!R16 - R3</f>
        <v>-0.05666666667</v>
      </c>
      <c r="S12" s="67">
        <f> Results!S16 - S3</f>
        <v>-0.04823333333</v>
      </c>
      <c r="T12" s="67">
        <f> Results!T16 - T3</f>
        <v>-0.03616666667</v>
      </c>
      <c r="U12" s="67">
        <f> Results!U16 - U3</f>
        <v>-0.1003666667</v>
      </c>
      <c r="V12" s="67">
        <f> Results!V16 - V3</f>
        <v>0.001933333333</v>
      </c>
      <c r="W12" s="67">
        <f> Results!W16 - W3</f>
        <v>-0.03213333333</v>
      </c>
      <c r="X12" s="67">
        <f> Results!X16 - X3</f>
        <v>-8.8</v>
      </c>
      <c r="Y12" s="67">
        <f> Results!Y16 - Y3</f>
        <v>9.466666667</v>
      </c>
      <c r="Z12" s="67">
        <f> Results!Z16 - Z3</f>
        <v>-0.3333333333</v>
      </c>
      <c r="AA12" s="67">
        <f> Results!AA16 - AA3</f>
        <v>1</v>
      </c>
      <c r="AB12" s="67"/>
    </row>
    <row r="13">
      <c r="A13" s="15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5">
      <c r="A15" s="54" t="s">
        <v>23</v>
      </c>
      <c r="B15" s="34" t="s">
        <v>19</v>
      </c>
      <c r="C15" s="67">
        <f> Results!C21 - C3</f>
        <v>-0.02423333333</v>
      </c>
      <c r="D15" s="67">
        <f> Results!D21 - D3</f>
        <v>-0.0055</v>
      </c>
      <c r="E15" s="67">
        <f> Results!E21 - E3</f>
        <v>-0.03206666667</v>
      </c>
      <c r="F15" s="67">
        <f> Results!F21 - F3</f>
        <v>-0.0241</v>
      </c>
      <c r="G15" s="67">
        <f> Results!G21 - G3</f>
        <v>0.001933333333</v>
      </c>
      <c r="H15" s="67">
        <f> Results!H21 - H3</f>
        <v>-0.05276666667</v>
      </c>
      <c r="I15" s="67">
        <f> Results!I21 - I3</f>
        <v>0.036</v>
      </c>
      <c r="J15" s="67">
        <f> Results!J21 - J3</f>
        <v>-0.0213</v>
      </c>
      <c r="K15" s="67">
        <f> Results!K21 - K3</f>
        <v>-8.236666667</v>
      </c>
      <c r="L15" s="67">
        <f> Results!L21 - L3</f>
        <v>8.233333333</v>
      </c>
      <c r="M15" s="67">
        <f> Results!M21 - M3</f>
        <v>-6.803333333</v>
      </c>
      <c r="N15" s="67">
        <f> Results!N21 - N3</f>
        <v>6.766666667</v>
      </c>
      <c r="O15" s="67"/>
      <c r="P15" s="67">
        <f> Results!P21 - P3</f>
        <v>-0.003633333333</v>
      </c>
      <c r="Q15" s="67">
        <f> Results!Q21 - Q3</f>
        <v>0.002566666667</v>
      </c>
      <c r="R15" s="67">
        <f> Results!R21 - R3</f>
        <v>-0.0005666666667</v>
      </c>
      <c r="S15" s="67">
        <f> Results!S21 - S3</f>
        <v>-0.001</v>
      </c>
      <c r="T15" s="67">
        <f> Results!T21 - T3</f>
        <v>0.004233333333</v>
      </c>
      <c r="U15" s="67">
        <f> Results!U21 - U3</f>
        <v>0.004933333333</v>
      </c>
      <c r="V15" s="67">
        <f> Results!V21 - V3</f>
        <v>0.007766666667</v>
      </c>
      <c r="W15" s="67">
        <f> Results!W21 - W3</f>
        <v>0.0009666666667</v>
      </c>
      <c r="X15" s="67">
        <f> Results!X21 - X3</f>
        <v>-0.1</v>
      </c>
      <c r="Y15" s="67">
        <f> Results!Y21 - Y3</f>
        <v>0.7666666667</v>
      </c>
      <c r="Z15" s="67">
        <f> Results!Z21 - Z3</f>
        <v>-1.4</v>
      </c>
      <c r="AA15" s="67">
        <f> Results!AA21 - AA3</f>
        <v>2.066666667</v>
      </c>
      <c r="AB15" s="67">
        <f> Results!AB21 - AB3</f>
        <v>0</v>
      </c>
    </row>
    <row r="16">
      <c r="A16" s="15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21.0" customHeight="1"/>
    <row r="18">
      <c r="A18" s="54" t="s">
        <v>24</v>
      </c>
      <c r="B18" s="34" t="s">
        <v>19</v>
      </c>
      <c r="C18" s="67">
        <f> Results!C26 - C3</f>
        <v>-0.0262</v>
      </c>
      <c r="D18" s="67">
        <f> Results!D26 - D3</f>
        <v>-0.02173333333</v>
      </c>
      <c r="E18" s="67">
        <f> Results!E26 - E3</f>
        <v>-0.03953333333</v>
      </c>
      <c r="F18" s="67">
        <f> Results!F26 - F3</f>
        <v>-0.0382</v>
      </c>
      <c r="G18" s="67">
        <f> Results!G26 - G3</f>
        <v>-0.0125</v>
      </c>
      <c r="H18" s="67">
        <f> Results!H26 - H3</f>
        <v>-0.06433333333</v>
      </c>
      <c r="I18" s="67">
        <f> Results!I26 - I3</f>
        <v>0.0061</v>
      </c>
      <c r="J18" s="67">
        <f> Results!J26 - J3</f>
        <v>-0.02053333333</v>
      </c>
      <c r="K18" s="67">
        <f> Results!K26 - K3</f>
        <v>-7.003333333</v>
      </c>
      <c r="L18" s="67">
        <f> Results!L26 - L3</f>
        <v>7</v>
      </c>
      <c r="M18" s="67">
        <f> Results!M26 - M3</f>
        <v>-1.203333333</v>
      </c>
      <c r="N18" s="67">
        <f> Results!N26 - N3</f>
        <v>1.133333333</v>
      </c>
      <c r="O18" s="67"/>
      <c r="P18" s="67">
        <f> Results!P26 - P3</f>
        <v>-0.01316666667</v>
      </c>
      <c r="Q18" s="67">
        <f> Results!Q26 - Q3</f>
        <v>-0.0049</v>
      </c>
      <c r="R18" s="67">
        <f> Results!R26 - R3</f>
        <v>-0.0123</v>
      </c>
      <c r="S18" s="67">
        <f> Results!S26 - S3</f>
        <v>-0.01056666667</v>
      </c>
      <c r="T18" s="67">
        <f> Results!T26 - T3</f>
        <v>-0.002633333333</v>
      </c>
      <c r="U18" s="67">
        <f> Results!U26 - U3</f>
        <v>-0.0154</v>
      </c>
      <c r="V18" s="67">
        <f> Results!V26 - V3</f>
        <v>0.0065</v>
      </c>
      <c r="W18" s="67">
        <f> Results!W26 - W3</f>
        <v>-0.007</v>
      </c>
      <c r="X18" s="67">
        <f> Results!X26 - X3</f>
        <v>-1.933333333</v>
      </c>
      <c r="Y18" s="67">
        <f> Results!Y26 - Y3</f>
        <v>2.6</v>
      </c>
      <c r="Z18" s="67">
        <f> Results!Z26 - Z3</f>
        <v>-1.2</v>
      </c>
      <c r="AA18" s="67">
        <f> Results!AA26 - AA3</f>
        <v>1.866666667</v>
      </c>
      <c r="AB18" s="67"/>
    </row>
    <row r="19">
      <c r="A19" s="15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1">
      <c r="A21" s="54" t="s">
        <v>25</v>
      </c>
      <c r="B21" s="34" t="s">
        <v>19</v>
      </c>
      <c r="C21" s="67">
        <f> Results!C31 - C3</f>
        <v>-0.01026666667</v>
      </c>
      <c r="D21" s="67">
        <f> Results!D31 - D3</f>
        <v>-0.01376666667</v>
      </c>
      <c r="E21" s="67">
        <f> Results!E31 - E3</f>
        <v>-0.02796666667</v>
      </c>
      <c r="F21" s="67">
        <f> Results!F31 - F3</f>
        <v>-0.02213333333</v>
      </c>
      <c r="G21" s="67">
        <f> Results!G31 - G3</f>
        <v>-0.0143</v>
      </c>
      <c r="H21" s="67">
        <f> Results!H31 - H3</f>
        <v>-0.04453333333</v>
      </c>
      <c r="I21" s="67">
        <f> Results!I31 - I3</f>
        <v>0.008566666667</v>
      </c>
      <c r="J21" s="67">
        <f> Results!J31 - J3</f>
        <v>-0.01666666667</v>
      </c>
      <c r="K21" s="67">
        <f> Results!K31 - K3</f>
        <v>-5.303333333</v>
      </c>
      <c r="L21" s="67">
        <f> Results!L31 - L3</f>
        <v>5.3</v>
      </c>
      <c r="M21" s="67">
        <f> Results!M31 - M3</f>
        <v>-1.603333333</v>
      </c>
      <c r="N21" s="67">
        <f> Results!N31 - N3</f>
        <v>1.6</v>
      </c>
      <c r="O21" s="67"/>
      <c r="P21" s="67">
        <f> Results!P31 - P3</f>
        <v>-0.01636666667</v>
      </c>
      <c r="Q21" s="67">
        <f> Results!Q31 - Q3</f>
        <v>-0.01366666667</v>
      </c>
      <c r="R21" s="67">
        <f> Results!R31 - R3</f>
        <v>-0.0097</v>
      </c>
      <c r="S21" s="67">
        <f> Results!S31 - S3</f>
        <v>-0.01776666667</v>
      </c>
      <c r="T21" s="67">
        <f> Results!T31 - T3</f>
        <v>-0.003033333333</v>
      </c>
      <c r="U21" s="67">
        <f> Results!U31 - U3</f>
        <v>-0.01846666667</v>
      </c>
      <c r="V21" s="67">
        <f> Results!V31 - V3</f>
        <v>-0.01983333333</v>
      </c>
      <c r="W21" s="67">
        <f> Results!W31 - W3</f>
        <v>0.001666666667</v>
      </c>
      <c r="X21" s="67">
        <f> Results!X31 - X3</f>
        <v>0.6666666667</v>
      </c>
      <c r="Y21" s="67">
        <f> Results!Y31 - Y3</f>
        <v>-1.766666667</v>
      </c>
      <c r="Z21" s="67">
        <f> Results!Z31 - Z3</f>
        <v>5.533333333</v>
      </c>
      <c r="AA21" s="67">
        <f> Results!AA31 - AA3</f>
        <v>-3.1</v>
      </c>
      <c r="AB21" s="67">
        <f> Results!AB31 - AB3</f>
        <v>0</v>
      </c>
    </row>
    <row r="22">
      <c r="A22" s="15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4">
      <c r="A24" s="54" t="s">
        <v>25</v>
      </c>
      <c r="B24" s="34" t="s">
        <v>19</v>
      </c>
      <c r="C24" s="67">
        <f> Results!C36 - C3</f>
        <v>-0.01163333333</v>
      </c>
      <c r="D24" s="67">
        <f> Results!D36 - D3</f>
        <v>-0.01013333333</v>
      </c>
      <c r="E24" s="67">
        <f> Results!E36 - E3</f>
        <v>-0.04496666667</v>
      </c>
      <c r="F24" s="67">
        <f> Results!F36 - F3</f>
        <v>-0.03513333333</v>
      </c>
      <c r="G24" s="67">
        <f> Results!G36 - G3</f>
        <v>-0.0035</v>
      </c>
      <c r="H24" s="67">
        <f> Results!H36 - H3</f>
        <v>-0.07323333333</v>
      </c>
      <c r="I24" s="67">
        <f> Results!I36 - I3</f>
        <v>0.04416666667</v>
      </c>
      <c r="J24" s="67">
        <f> Results!J36 - J3</f>
        <v>-0.02813333333</v>
      </c>
      <c r="K24" s="67">
        <f> Results!K36 - K3</f>
        <v>-11.00333333</v>
      </c>
      <c r="L24" s="67">
        <f> Results!L36 - L3</f>
        <v>11</v>
      </c>
      <c r="M24" s="67">
        <f> Results!M36 - M3</f>
        <v>-8.303333333</v>
      </c>
      <c r="N24" s="67">
        <f> Results!N36 - N3</f>
        <v>8.3</v>
      </c>
      <c r="O24" s="67"/>
      <c r="P24" s="67">
        <f> Results!P36 - P3</f>
        <v>-0.01746666667</v>
      </c>
      <c r="Q24" s="67">
        <f> Results!Q36 - Q3</f>
        <v>-0.01736666667</v>
      </c>
      <c r="R24" s="67">
        <f> Results!R36 - R3</f>
        <v>-0.0102</v>
      </c>
      <c r="S24" s="67">
        <f> Results!S36 - S3</f>
        <v>-0.02036666667</v>
      </c>
      <c r="T24" s="67">
        <f> Results!T36 - T3</f>
        <v>-0.002666666667</v>
      </c>
      <c r="U24" s="67">
        <f> Results!U36 - U3</f>
        <v>-0.019</v>
      </c>
      <c r="V24" s="67">
        <f> Results!V36 - V3</f>
        <v>-0.02823333333</v>
      </c>
      <c r="W24" s="67">
        <f> Results!W36 - W3</f>
        <v>0.002333333333</v>
      </c>
      <c r="X24" s="67">
        <f> Results!X36 - X3</f>
        <v>1.266666667</v>
      </c>
      <c r="Y24" s="67">
        <f> Results!Y36 - Y3</f>
        <v>-0.6</v>
      </c>
      <c r="Z24" s="67">
        <f> Results!Z36 - Z3</f>
        <v>5.333333333</v>
      </c>
      <c r="AA24" s="67">
        <f> Results!AA36 - AA3</f>
        <v>-4.666666667</v>
      </c>
      <c r="AB24" s="67">
        <f> Results!AB36 - AB3</f>
        <v>0</v>
      </c>
    </row>
    <row r="25">
      <c r="A25" s="15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>
      <c r="A28" s="62" t="s">
        <v>27</v>
      </c>
    </row>
    <row r="30">
      <c r="A30" s="33" t="s">
        <v>18</v>
      </c>
      <c r="B30" s="34" t="s">
        <v>28</v>
      </c>
      <c r="C30" s="67">
        <f> Results!C42 - C3</f>
        <v>0.009333333333</v>
      </c>
      <c r="D30" s="67">
        <f> Results!D42 - D3</f>
        <v>-0.002333333333</v>
      </c>
      <c r="E30" s="67">
        <f> Results!E42 - E3</f>
        <v>0.001666666667</v>
      </c>
      <c r="F30" s="67">
        <f> Results!F42 - F3</f>
        <v>-0.001</v>
      </c>
      <c r="G30" s="67">
        <f> Results!G42 - G3</f>
        <v>-0.001</v>
      </c>
      <c r="H30" s="67">
        <f> Results!H42 - H3</f>
        <v>-0.001333333333</v>
      </c>
      <c r="I30" s="67">
        <f> Results!I42 - I3</f>
        <v>-0.009</v>
      </c>
      <c r="J30" s="67">
        <f> Results!J42 - J3</f>
        <v>0.002</v>
      </c>
      <c r="K30" s="67">
        <f> Results!K42 - K3</f>
        <v>0.9966666667</v>
      </c>
      <c r="L30" s="67">
        <f> Results!L42 - L3</f>
        <v>-1</v>
      </c>
      <c r="M30" s="67">
        <f> Results!M42 - M3</f>
        <v>1.663333333</v>
      </c>
      <c r="N30" s="67">
        <f> Results!N42 - N3</f>
        <v>-1.666666667</v>
      </c>
      <c r="O30" s="67"/>
      <c r="P30" s="67">
        <f> Results!P42 - P3</f>
        <v>0.008666666667</v>
      </c>
      <c r="Q30" s="67">
        <f> Results!Q42 - Q3</f>
        <v>0.004</v>
      </c>
      <c r="R30" s="67">
        <f> Results!R42 - R3</f>
        <v>0.01</v>
      </c>
      <c r="S30" s="67">
        <f> Results!S42 - S3</f>
        <v>0.003666666667</v>
      </c>
      <c r="T30" s="67">
        <f> Results!T42 - T3</f>
        <v>0.006666666667</v>
      </c>
      <c r="U30" s="67">
        <f> Results!U42 - U3</f>
        <v>0.01533333333</v>
      </c>
      <c r="V30" s="67">
        <f> Results!V42 - V3</f>
        <v>-0.005</v>
      </c>
      <c r="W30" s="67">
        <f> Results!W42 - W3</f>
        <v>0.009333333333</v>
      </c>
      <c r="X30" s="67">
        <f> Results!X42 - X3</f>
        <v>2.666666667</v>
      </c>
      <c r="Y30" s="67">
        <f> Results!Y42 - Y3</f>
        <v>-2</v>
      </c>
      <c r="Z30" s="67">
        <f> Results!Z42 - Z3</f>
        <v>1</v>
      </c>
      <c r="AA30" s="67">
        <f> Results!AA42 - AA3</f>
        <v>-0.3333333333</v>
      </c>
      <c r="AB30" s="67"/>
    </row>
    <row r="31">
      <c r="A31" s="15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</row>
    <row r="33">
      <c r="A33" s="54" t="s">
        <v>21</v>
      </c>
      <c r="B33" s="34" t="s">
        <v>28</v>
      </c>
      <c r="C33" s="67">
        <f> Results!C47 - C3</f>
        <v>-0.01066666667</v>
      </c>
      <c r="D33" s="67">
        <f> Results!D47 - D3</f>
        <v>-0.007333333333</v>
      </c>
      <c r="E33" s="67">
        <f> Results!E47 - E3</f>
        <v>0.001666666667</v>
      </c>
      <c r="F33" s="67">
        <f> Results!F47 - F3</f>
        <v>-0.006</v>
      </c>
      <c r="G33" s="67">
        <f> Results!G47 - G3</f>
        <v>-0.0003333333333</v>
      </c>
      <c r="H33" s="67">
        <f> Results!H47 - H3</f>
        <v>-0.004</v>
      </c>
      <c r="I33" s="67">
        <f> Results!I47 - I3</f>
        <v>-0.021</v>
      </c>
      <c r="J33" s="67">
        <f> Results!J47 - J3</f>
        <v>0.006</v>
      </c>
      <c r="K33" s="67">
        <f> Results!K47 - K3</f>
        <v>1.996666667</v>
      </c>
      <c r="L33" s="67">
        <f> Results!L47 - L3</f>
        <v>-2</v>
      </c>
      <c r="M33" s="67">
        <f> Results!M47 - M3</f>
        <v>3.996666667</v>
      </c>
      <c r="N33" s="67">
        <f> Results!N47 - N3</f>
        <v>-4</v>
      </c>
      <c r="O33" s="67"/>
      <c r="P33" s="67">
        <f> Results!P47 - P3</f>
        <v>-0.02</v>
      </c>
      <c r="Q33" s="67">
        <f> Results!Q47 - Q3</f>
        <v>-0.01466666667</v>
      </c>
      <c r="R33" s="67">
        <f> Results!R47 - R3</f>
        <v>-0.03</v>
      </c>
      <c r="S33" s="67">
        <f> Results!S47 - S3</f>
        <v>-0.019</v>
      </c>
      <c r="T33" s="67">
        <f> Results!T47 - T3</f>
        <v>-0.02366666667</v>
      </c>
      <c r="U33" s="67">
        <f> Results!U47 - U3</f>
        <v>-0.055</v>
      </c>
      <c r="V33" s="67">
        <f> Results!V47 - V3</f>
        <v>0.009</v>
      </c>
      <c r="W33" s="67">
        <f> Results!W47 - W3</f>
        <v>-0.02133333333</v>
      </c>
      <c r="X33" s="67">
        <f> Results!X47 - X3</f>
        <v>-5</v>
      </c>
      <c r="Y33" s="67">
        <f> Results!Y47 - Y3</f>
        <v>5.666666667</v>
      </c>
      <c r="Z33" s="67">
        <f> Results!Z47 - Z3</f>
        <v>-1.666666667</v>
      </c>
      <c r="AA33" s="67">
        <f> Results!AA47 - AA3</f>
        <v>2.333333333</v>
      </c>
      <c r="AB33" s="67"/>
    </row>
    <row r="34">
      <c r="A34" s="15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</row>
    <row r="36">
      <c r="A36" s="54" t="s">
        <v>22</v>
      </c>
      <c r="B36" s="34" t="s">
        <v>30</v>
      </c>
      <c r="C36" s="67">
        <f> Results!C52 - C3</f>
        <v>-0.04733333333</v>
      </c>
      <c r="D36" s="67">
        <f> Results!D52 - D3</f>
        <v>-0.006333333333</v>
      </c>
      <c r="E36" s="67">
        <f> Results!E52 - E3</f>
        <v>-0.03833333333</v>
      </c>
      <c r="F36" s="67">
        <f> Results!F52 - F3</f>
        <v>-0.02766666667</v>
      </c>
      <c r="G36" s="67">
        <f> Results!G52 - G3</f>
        <v>-0.01566666667</v>
      </c>
      <c r="H36" s="67">
        <f> Results!H52 - H3</f>
        <v>-0.05566666667</v>
      </c>
      <c r="I36" s="67">
        <f> Results!I52 - I3</f>
        <v>0.04466666667</v>
      </c>
      <c r="J36" s="67">
        <f> Results!J52 - J3</f>
        <v>-0.025</v>
      </c>
      <c r="K36" s="67">
        <f> Results!K52 - K3</f>
        <v>-10.00333333</v>
      </c>
      <c r="L36" s="67">
        <f> Results!L52 - L3</f>
        <v>10</v>
      </c>
      <c r="M36" s="67">
        <f> Results!M52 - M3</f>
        <v>-8.336666667</v>
      </c>
      <c r="N36" s="67">
        <f> Results!N52 - N3</f>
        <v>8.333333333</v>
      </c>
      <c r="O36" s="67"/>
      <c r="P36" s="67">
        <f> Results!P52 - P3</f>
        <v>-0.035</v>
      </c>
      <c r="Q36" s="67">
        <f> Results!Q52 - Q3</f>
        <v>-0.02333333333</v>
      </c>
      <c r="R36" s="67">
        <f> Results!R52 - R3</f>
        <v>-0.008333333333</v>
      </c>
      <c r="S36" s="67">
        <f> Results!S52 - S3</f>
        <v>-0.01866666667</v>
      </c>
      <c r="T36" s="67">
        <f> Results!T52 - T3</f>
        <v>-0.013</v>
      </c>
      <c r="U36" s="67">
        <f> Results!U52 - U3</f>
        <v>-0.03</v>
      </c>
      <c r="V36" s="67">
        <f> Results!V52 - V3</f>
        <v>-0.046</v>
      </c>
      <c r="W36" s="67">
        <f> Results!W52 - W3</f>
        <v>0.001</v>
      </c>
      <c r="X36" s="67">
        <f> Results!X52 - X3</f>
        <v>3</v>
      </c>
      <c r="Y36" s="67">
        <f> Results!Y52 - Y3</f>
        <v>-2.333333333</v>
      </c>
      <c r="Z36" s="67">
        <f> Results!Z52 - Z3</f>
        <v>8.666666667</v>
      </c>
      <c r="AA36" s="67">
        <f> Results!AA52 - AA3</f>
        <v>-8</v>
      </c>
      <c r="AB36" s="67"/>
    </row>
    <row r="37">
      <c r="A37" s="15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</row>
    <row r="39">
      <c r="A39" s="54" t="s">
        <v>23</v>
      </c>
      <c r="B39" s="34" t="s">
        <v>30</v>
      </c>
      <c r="C39" s="67">
        <f> Results!C57 - C3</f>
        <v>-0.003</v>
      </c>
      <c r="D39" s="67">
        <f> Results!D57 - D3</f>
        <v>0.009666666667</v>
      </c>
      <c r="E39" s="67">
        <f> Results!E57 - E3</f>
        <v>-0.005</v>
      </c>
      <c r="F39" s="67">
        <f> Results!F57 - F3</f>
        <v>0.003666666667</v>
      </c>
      <c r="G39" s="67">
        <f> Results!G57 - G3</f>
        <v>0.01033333333</v>
      </c>
      <c r="H39" s="67">
        <f> Results!H57 - H3</f>
        <v>0.01366666667</v>
      </c>
      <c r="I39" s="67">
        <f> Results!I57 - I3</f>
        <v>0.03333333333</v>
      </c>
      <c r="J39" s="67">
        <f> Results!J57 - J3</f>
        <v>-0.008333333333</v>
      </c>
      <c r="K39" s="67">
        <f> Results!K57 - K3</f>
        <v>-3.67</v>
      </c>
      <c r="L39" s="67">
        <f> Results!L57 - L3</f>
        <v>3.666666667</v>
      </c>
      <c r="M39" s="67">
        <f> Results!M57 - M3</f>
        <v>-6.336666667</v>
      </c>
      <c r="N39" s="67">
        <f> Results!N57 - N3</f>
        <v>6.333333333</v>
      </c>
      <c r="O39" s="67"/>
      <c r="P39" s="67">
        <f> Results!P57 - P3</f>
        <v>-0.007666666667</v>
      </c>
      <c r="Q39" s="67">
        <f> Results!Q57 - Q3</f>
        <v>0.01766666667</v>
      </c>
      <c r="R39" s="67">
        <f> Results!R57 - R3</f>
        <v>0.01366666667</v>
      </c>
      <c r="S39" s="67">
        <f> Results!S57 - S3</f>
        <v>0.01366666667</v>
      </c>
      <c r="T39" s="67">
        <f> Results!T57 - T3</f>
        <v>0.01466666667</v>
      </c>
      <c r="U39" s="67">
        <f> Results!U57 - U3</f>
        <v>0.03166666667</v>
      </c>
      <c r="V39" s="67">
        <f> Results!V57 - V3</f>
        <v>0.02333333333</v>
      </c>
      <c r="W39" s="67">
        <f> Results!W57 - W3</f>
        <v>0.009333333333</v>
      </c>
      <c r="X39" s="67">
        <f> Results!X57 - X3</f>
        <v>1</v>
      </c>
      <c r="Y39" s="67">
        <f> Results!Y57 - Y3</f>
        <v>-0.3333333333</v>
      </c>
      <c r="Z39" s="67">
        <f> Results!Z57 - Z3</f>
        <v>-4.333333333</v>
      </c>
      <c r="AA39" s="67">
        <f> Results!AA57 - AA3</f>
        <v>5</v>
      </c>
      <c r="AB39" s="67">
        <f> Results!AB57 - AB3</f>
        <v>0</v>
      </c>
    </row>
    <row r="40">
      <c r="A40" s="15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6.5" customHeight="1"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</row>
    <row r="42">
      <c r="A42" s="54" t="s">
        <v>24</v>
      </c>
      <c r="B42" s="34" t="s">
        <v>31</v>
      </c>
      <c r="C42" s="67">
        <f> Results!C62 - C3</f>
        <v>-0.01166666667</v>
      </c>
      <c r="D42" s="67">
        <f> Results!D62 - D3</f>
        <v>-0.01833333333</v>
      </c>
      <c r="E42" s="67">
        <f> Results!E62 - E3</f>
        <v>0.01333333333</v>
      </c>
      <c r="F42" s="67">
        <f> Results!F62 - F3</f>
        <v>-0.009333333333</v>
      </c>
      <c r="G42" s="67">
        <f> Results!G62 - G3</f>
        <v>0</v>
      </c>
      <c r="H42" s="67">
        <f> Results!H62 - H3</f>
        <v>0</v>
      </c>
      <c r="I42" s="67">
        <f> Results!I62 - I3</f>
        <v>-0.06733333333</v>
      </c>
      <c r="J42" s="67">
        <f> Results!J62 - J3</f>
        <v>0.01966666667</v>
      </c>
      <c r="K42" s="67">
        <f> Results!K62 - K3</f>
        <v>7.663333333</v>
      </c>
      <c r="L42" s="67">
        <f> Results!L62 - L3</f>
        <v>-7.666666667</v>
      </c>
      <c r="M42" s="67">
        <f> Results!M62 - M3</f>
        <v>12.66333333</v>
      </c>
      <c r="N42" s="67">
        <f> Results!N62 - N3</f>
        <v>-12.66666667</v>
      </c>
      <c r="O42" s="67"/>
      <c r="P42" s="67">
        <f> Results!P62 - P3</f>
        <v>-0.03166666667</v>
      </c>
      <c r="Q42" s="67">
        <f> Results!Q62 - Q3</f>
        <v>-0.003333333333</v>
      </c>
      <c r="R42" s="67">
        <f> Results!R62 - R3</f>
        <v>-0.03666666667</v>
      </c>
      <c r="S42" s="67">
        <f> Results!S62 - S3</f>
        <v>-0.01733333333</v>
      </c>
      <c r="T42" s="67">
        <f> Results!T62 - T3</f>
        <v>-0.017</v>
      </c>
      <c r="U42" s="67">
        <f> Results!U62 - U3</f>
        <v>-0.04833333333</v>
      </c>
      <c r="V42" s="67">
        <f> Results!V62 - V3</f>
        <v>0.04833333333</v>
      </c>
      <c r="W42" s="67">
        <f> Results!W62 - W3</f>
        <v>-0.02933333333</v>
      </c>
      <c r="X42" s="67">
        <f> Results!X62 - X3</f>
        <v>-9.333333333</v>
      </c>
      <c r="Y42" s="67">
        <f> Results!Y62 - Y3</f>
        <v>10</v>
      </c>
      <c r="Z42" s="67">
        <f> Results!Z62 - Z3</f>
        <v>-9</v>
      </c>
      <c r="AA42" s="67">
        <f> Results!AA62 - AA3</f>
        <v>9.666666667</v>
      </c>
      <c r="AB42" s="67">
        <f> Results!AB62 - AB3</f>
        <v>0</v>
      </c>
    </row>
    <row r="43">
      <c r="A43" s="15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</row>
    <row r="45">
      <c r="A45" s="54" t="s">
        <v>25</v>
      </c>
      <c r="B45" s="34" t="s">
        <v>30</v>
      </c>
      <c r="C45" s="67">
        <f> Results!C67 - C3</f>
        <v>0.01133333333</v>
      </c>
      <c r="D45" s="67">
        <f> Results!D67 - D3</f>
        <v>0.007333333333</v>
      </c>
      <c r="E45" s="67">
        <f> Results!E67 - E3</f>
        <v>-0.003666666667</v>
      </c>
      <c r="F45" s="67">
        <f> Results!F67 - F3</f>
        <v>0.0006666666667</v>
      </c>
      <c r="G45" s="67">
        <f> Results!G67 - G3</f>
        <v>0.003333333333</v>
      </c>
      <c r="H45" s="67">
        <f> Results!H67 - H3</f>
        <v>0.001666666667</v>
      </c>
      <c r="I45" s="67">
        <f> Results!I67 - I3</f>
        <v>0.025</v>
      </c>
      <c r="J45" s="67">
        <f> Results!J67 - J3</f>
        <v>-0.004</v>
      </c>
      <c r="K45" s="67">
        <f> Results!K67 - K3</f>
        <v>-2.67</v>
      </c>
      <c r="L45" s="67">
        <f> Results!L67 - L3</f>
        <v>2.666666667</v>
      </c>
      <c r="M45" s="67">
        <f> Results!M67 - M3</f>
        <v>-4.67</v>
      </c>
      <c r="N45" s="67">
        <f> Results!N67 - N3</f>
        <v>4.666666667</v>
      </c>
      <c r="O45" s="67"/>
      <c r="P45" s="67">
        <f> Results!P67 - P3</f>
        <v>-0.005666666667</v>
      </c>
      <c r="Q45" s="67">
        <f> Results!Q67 - Q3</f>
        <v>0.01766666667</v>
      </c>
      <c r="R45" s="67">
        <f> Results!R67 - R3</f>
        <v>-0.01233333333</v>
      </c>
      <c r="S45" s="67">
        <f> Results!S67 - S3</f>
        <v>0.002666666667</v>
      </c>
      <c r="T45" s="67">
        <f> Results!T67 - T3</f>
        <v>0.007</v>
      </c>
      <c r="U45" s="67">
        <f> Results!U67 - U3</f>
        <v>0.003666666667</v>
      </c>
      <c r="V45" s="67">
        <f> Results!V67 - V3</f>
        <v>0.064</v>
      </c>
      <c r="W45" s="67">
        <f> Results!W67 - W3</f>
        <v>-0.014</v>
      </c>
      <c r="X45" s="67">
        <f> Results!X67 - X3</f>
        <v>-6.666666667</v>
      </c>
      <c r="Y45" s="67">
        <f> Results!Y67 - Y3</f>
        <v>7.333333333</v>
      </c>
      <c r="Z45" s="67">
        <f> Results!Z67 - Z3</f>
        <v>-12</v>
      </c>
      <c r="AA45" s="67">
        <f> Results!AA67 - AA3</f>
        <v>12.66666667</v>
      </c>
      <c r="AB45" s="67">
        <f> Results!AB67 - AB3</f>
        <v>0</v>
      </c>
    </row>
    <row r="46">
      <c r="A46" s="15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</row>
    <row r="48">
      <c r="A48" s="54" t="s">
        <v>26</v>
      </c>
      <c r="B48" s="34" t="s">
        <v>31</v>
      </c>
      <c r="C48" s="67">
        <f> Results!C72 - C3</f>
        <v>0.001333333333</v>
      </c>
      <c r="D48" s="67">
        <f> Results!D72 - D3</f>
        <v>0.007333333333</v>
      </c>
      <c r="E48" s="67">
        <f> Results!E72 - E3</f>
        <v>-0.01866666667</v>
      </c>
      <c r="F48" s="67">
        <f> Results!F72 - F3</f>
        <v>-0.002666666667</v>
      </c>
      <c r="G48" s="67">
        <f> Results!G72 - G3</f>
        <v>0</v>
      </c>
      <c r="H48" s="67">
        <f> Results!H72 - H3</f>
        <v>-0.009333333333</v>
      </c>
      <c r="I48" s="67">
        <f> Results!I72 - I3</f>
        <v>0.04766666667</v>
      </c>
      <c r="J48" s="67">
        <f> Results!J72 - J3</f>
        <v>-0.019</v>
      </c>
      <c r="K48" s="67">
        <f> Results!K72 - K3</f>
        <v>-7.003333333</v>
      </c>
      <c r="L48" s="67">
        <f> Results!L72 - L3</f>
        <v>7</v>
      </c>
      <c r="M48" s="67">
        <f> Results!M72 - M3</f>
        <v>-9.003333333</v>
      </c>
      <c r="N48" s="67">
        <f> Results!N72 - N3</f>
        <v>9</v>
      </c>
      <c r="O48" s="67"/>
      <c r="P48" s="67">
        <f> Results!P72 - P3</f>
        <v>-0.004666666667</v>
      </c>
      <c r="Q48" s="67">
        <f> Results!Q72 - Q3</f>
        <v>0.001333333333</v>
      </c>
      <c r="R48" s="67">
        <f> Results!R72 - R3</f>
        <v>-0.01133333333</v>
      </c>
      <c r="S48" s="67">
        <f> Results!S72 - S3</f>
        <v>-0.009333333333</v>
      </c>
      <c r="T48" s="67">
        <f> Results!T72 - T3</f>
        <v>0.005333333333</v>
      </c>
      <c r="U48" s="67">
        <f> Results!U72 - U3</f>
        <v>-0.005</v>
      </c>
      <c r="V48" s="67">
        <f> Results!V72 - V3</f>
        <v>0.02133333333</v>
      </c>
      <c r="W48" s="67">
        <f> Results!W72 - W3</f>
        <v>-0.005666666667</v>
      </c>
      <c r="X48" s="67">
        <f> Results!X72 - X3</f>
        <v>-3</v>
      </c>
      <c r="Y48" s="67">
        <f> Results!Y72 - Y3</f>
        <v>3.666666667</v>
      </c>
      <c r="Z48" s="67">
        <f> Results!Z72 - Z3</f>
        <v>-4</v>
      </c>
      <c r="AA48" s="67">
        <f> Results!AA72 - AA3</f>
        <v>4.666666667</v>
      </c>
      <c r="AB48" s="67">
        <f> Results!AB72 - AB3</f>
        <v>0</v>
      </c>
    </row>
    <row r="49">
      <c r="A49" s="15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</row>
    <row r="51">
      <c r="B51" s="6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</row>
    <row r="53">
      <c r="B53" s="64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</row>
    <row r="54"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</row>
    <row r="55">
      <c r="B55" s="64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</row>
    <row r="56">
      <c r="B56" s="6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</row>
    <row r="57">
      <c r="B57" s="64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</row>
    <row r="58"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</row>
    <row r="59">
      <c r="B59" s="6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</row>
    <row r="60">
      <c r="B60" s="6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</row>
    <row r="61">
      <c r="B61" s="6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</row>
    <row r="62">
      <c r="B62" s="6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</row>
    <row r="63">
      <c r="B63" s="64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</row>
    <row r="64">
      <c r="B64" s="6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</row>
    <row r="65">
      <c r="B65" s="64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</row>
    <row r="66"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>
      <c r="B67" s="6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</row>
    <row r="68">
      <c r="B68" s="6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</row>
    <row r="69">
      <c r="B69" s="64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</row>
    <row r="70">
      <c r="B70" s="6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</row>
    <row r="71">
      <c r="B71" s="6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</row>
    <row r="72">
      <c r="B72" s="6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</row>
    <row r="73">
      <c r="B73" s="64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</row>
    <row r="74">
      <c r="B74" s="6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</row>
    <row r="75">
      <c r="B75" s="64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</row>
    <row r="76"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>
      <c r="B77" s="6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>
      <c r="B78" s="6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>
      <c r="B79" s="6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</row>
    <row r="80"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</row>
    <row r="81">
      <c r="B81" s="6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</row>
    <row r="82">
      <c r="B82" s="6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</row>
    <row r="83">
      <c r="B83" s="6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</row>
    <row r="84"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</row>
    <row r="85">
      <c r="B85" s="6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</row>
    <row r="86">
      <c r="B86" s="6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</row>
    <row r="87">
      <c r="B87" s="6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</row>
    <row r="88">
      <c r="B88" s="6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</row>
    <row r="89">
      <c r="B89" s="6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</row>
    <row r="90">
      <c r="B90" s="6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>
      <c r="B91" s="6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</row>
    <row r="92"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</row>
    <row r="93">
      <c r="B93" s="6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</row>
    <row r="94"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</row>
    <row r="95">
      <c r="B95" s="6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</row>
    <row r="96"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</row>
    <row r="97">
      <c r="B97" s="6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</row>
    <row r="98"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</row>
    <row r="99">
      <c r="B99" s="6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</row>
    <row r="100"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</row>
    <row r="101"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</row>
    <row r="102"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</row>
    <row r="103"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</row>
    <row r="104"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</row>
    <row r="105">
      <c r="B105" s="6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</row>
    <row r="106"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</row>
    <row r="107">
      <c r="B107" s="6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</row>
    <row r="108"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</row>
    <row r="109">
      <c r="B109" s="6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</row>
    <row r="110"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</row>
    <row r="111"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</row>
    <row r="112"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</row>
    <row r="113">
      <c r="B113" s="6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</row>
    <row r="114"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</row>
    <row r="115">
      <c r="B115" s="6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</row>
    <row r="116">
      <c r="B116" s="6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</row>
    <row r="117">
      <c r="B117" s="6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</row>
    <row r="118"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</row>
    <row r="119">
      <c r="B119" s="6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</row>
    <row r="120"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</row>
    <row r="121">
      <c r="B121" s="6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</row>
    <row r="122"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</row>
    <row r="123">
      <c r="B123" s="6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</row>
    <row r="124"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</row>
    <row r="125">
      <c r="B125" s="6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</row>
    <row r="126"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</row>
    <row r="127">
      <c r="B127" s="6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</row>
    <row r="128"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</row>
    <row r="129">
      <c r="B129" s="6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</row>
    <row r="130"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</row>
    <row r="131">
      <c r="B131" s="6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</row>
    <row r="132"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</row>
    <row r="133"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</row>
    <row r="134"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</row>
    <row r="135">
      <c r="B135" s="6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</row>
    <row r="136"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</row>
    <row r="137">
      <c r="B137" s="6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</row>
    <row r="138"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</row>
    <row r="139">
      <c r="B139" s="6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</row>
    <row r="140"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</row>
    <row r="141">
      <c r="B141" s="6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</row>
    <row r="142"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</row>
    <row r="143">
      <c r="B143" s="6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</row>
    <row r="144"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</row>
    <row r="145">
      <c r="B145" s="6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</row>
    <row r="146"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</row>
    <row r="147">
      <c r="B147" s="6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</row>
    <row r="148"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</row>
    <row r="149">
      <c r="B149" s="6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</row>
    <row r="150"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</row>
    <row r="151">
      <c r="B151" s="6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</row>
    <row r="152"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</row>
    <row r="153">
      <c r="B153" s="6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</row>
    <row r="154"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</row>
    <row r="155">
      <c r="B155" s="6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</row>
    <row r="156"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</row>
    <row r="157">
      <c r="B157" s="6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</row>
    <row r="158"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</row>
    <row r="159">
      <c r="B159" s="6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</row>
    <row r="160"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</row>
    <row r="161">
      <c r="B161" s="6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</row>
    <row r="162"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</row>
    <row r="163">
      <c r="B163" s="6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</row>
    <row r="164"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</row>
    <row r="165">
      <c r="B165" s="6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</row>
    <row r="166"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</row>
    <row r="167">
      <c r="B167" s="6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</row>
    <row r="168"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</row>
    <row r="169">
      <c r="B169" s="6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</row>
    <row r="170"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</row>
    <row r="171">
      <c r="B171" s="6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</row>
    <row r="172">
      <c r="B172" s="6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</row>
    <row r="173">
      <c r="B173" s="6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</row>
    <row r="174">
      <c r="B174" s="6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</row>
    <row r="175">
      <c r="B175" s="6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</row>
    <row r="176"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</row>
    <row r="177">
      <c r="B177" s="6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</row>
    <row r="178">
      <c r="B178" s="6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</row>
    <row r="179">
      <c r="B179" s="6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</row>
    <row r="180">
      <c r="B180" s="6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</row>
    <row r="181">
      <c r="B181" s="6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</row>
    <row r="182"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</row>
    <row r="183">
      <c r="B183" s="6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</row>
    <row r="184">
      <c r="B184" s="6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</row>
    <row r="185">
      <c r="B185" s="6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</row>
    <row r="186">
      <c r="B186" s="6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</row>
    <row r="187">
      <c r="B187" s="6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</row>
    <row r="188">
      <c r="B188" s="6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</row>
    <row r="189">
      <c r="B189" s="6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</row>
    <row r="190">
      <c r="B190" s="6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</row>
    <row r="191">
      <c r="B191" s="6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</row>
    <row r="192">
      <c r="B192" s="6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</row>
    <row r="193">
      <c r="B193" s="6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</row>
    <row r="194">
      <c r="B194" s="6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</row>
    <row r="195">
      <c r="B195" s="6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</row>
    <row r="196">
      <c r="B196" s="6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</row>
    <row r="197">
      <c r="B197" s="6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</row>
    <row r="198"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</row>
    <row r="199">
      <c r="B199" s="6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</row>
    <row r="200">
      <c r="B200" s="6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</row>
    <row r="201">
      <c r="B201" s="6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</row>
    <row r="202">
      <c r="B202" s="6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</row>
    <row r="203">
      <c r="B203" s="6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</row>
    <row r="204">
      <c r="B204" s="6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</row>
    <row r="205">
      <c r="B205" s="6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</row>
    <row r="206">
      <c r="B206" s="6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</row>
    <row r="207">
      <c r="B207" s="6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</row>
    <row r="208">
      <c r="B208" s="6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</row>
    <row r="209">
      <c r="B209" s="6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</row>
    <row r="210"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</row>
    <row r="211">
      <c r="B211" s="6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</row>
    <row r="212">
      <c r="B212" s="6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</row>
    <row r="213">
      <c r="B213" s="6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</row>
    <row r="214"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</row>
    <row r="215">
      <c r="B215" s="6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</row>
    <row r="216">
      <c r="B216" s="6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</row>
    <row r="217">
      <c r="B217" s="6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</row>
    <row r="218">
      <c r="B218" s="6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</row>
    <row r="219">
      <c r="B219" s="6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</row>
    <row r="220">
      <c r="B220" s="6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</row>
    <row r="221">
      <c r="B221" s="6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</row>
    <row r="222">
      <c r="B222" s="6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</row>
    <row r="223">
      <c r="B223" s="6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</row>
    <row r="224">
      <c r="B224" s="6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</row>
    <row r="225">
      <c r="B225" s="6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</row>
    <row r="226">
      <c r="B226" s="6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</row>
    <row r="227">
      <c r="B227" s="6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</row>
    <row r="228"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</row>
    <row r="229">
      <c r="B229" s="6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</row>
    <row r="230"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</row>
    <row r="231">
      <c r="B231" s="6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</row>
    <row r="232">
      <c r="B232" s="6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</row>
    <row r="233">
      <c r="B233" s="6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</row>
    <row r="234">
      <c r="B234" s="6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</row>
    <row r="235">
      <c r="B235" s="6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</row>
    <row r="236">
      <c r="B236" s="6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</row>
    <row r="237">
      <c r="B237" s="6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</row>
    <row r="238"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</row>
    <row r="239">
      <c r="B239" s="6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</row>
    <row r="240"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</row>
    <row r="241">
      <c r="B241" s="6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</row>
    <row r="242"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</row>
    <row r="243">
      <c r="B243" s="6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</row>
    <row r="244"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</row>
    <row r="245">
      <c r="B245" s="6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</row>
    <row r="246"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</row>
    <row r="247">
      <c r="B247" s="6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</row>
    <row r="248"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</row>
    <row r="249">
      <c r="B249" s="6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</row>
    <row r="250"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</row>
    <row r="251">
      <c r="B251" s="6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</row>
    <row r="252"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</row>
    <row r="253">
      <c r="B253" s="6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</row>
    <row r="254"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</row>
    <row r="255">
      <c r="B255" s="6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</row>
    <row r="256"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</row>
    <row r="257">
      <c r="B257" s="6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</row>
    <row r="258"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</row>
    <row r="259">
      <c r="B259" s="6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</row>
    <row r="260"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</row>
    <row r="261">
      <c r="B261" s="6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</row>
    <row r="262"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</row>
    <row r="263">
      <c r="B263" s="6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</row>
    <row r="264"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</row>
    <row r="265">
      <c r="B265" s="6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</row>
    <row r="266"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</row>
    <row r="267">
      <c r="B267" s="6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</row>
    <row r="268"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</row>
    <row r="269">
      <c r="B269" s="6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</row>
    <row r="270"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</row>
    <row r="271">
      <c r="B271" s="6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</row>
    <row r="272"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</row>
    <row r="273">
      <c r="B273" s="6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</row>
    <row r="274"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</row>
    <row r="275">
      <c r="B275" s="6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</row>
    <row r="276"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</row>
    <row r="277">
      <c r="B277" s="6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</row>
    <row r="278"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</row>
    <row r="279">
      <c r="B279" s="6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</row>
    <row r="280"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</row>
    <row r="281">
      <c r="B281" s="6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</row>
    <row r="282"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</row>
    <row r="283">
      <c r="B283" s="6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</row>
    <row r="284"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</row>
    <row r="285">
      <c r="B285" s="6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</row>
    <row r="286"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</row>
    <row r="287">
      <c r="B287" s="6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</row>
    <row r="288"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</row>
    <row r="289">
      <c r="B289" s="6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</row>
    <row r="290"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</row>
    <row r="291">
      <c r="B291" s="6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</row>
    <row r="292"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</row>
    <row r="293">
      <c r="B293" s="6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</row>
    <row r="294"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</row>
    <row r="295">
      <c r="B295" s="6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</row>
    <row r="296"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</row>
    <row r="297">
      <c r="B297" s="6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</row>
    <row r="298"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</row>
    <row r="299"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</row>
    <row r="300"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</row>
    <row r="301">
      <c r="B301" s="6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</row>
    <row r="302"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</row>
    <row r="303">
      <c r="B303" s="6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</row>
    <row r="304"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</row>
    <row r="305">
      <c r="B305" s="6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</row>
    <row r="306"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</row>
    <row r="307">
      <c r="B307" s="6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</row>
    <row r="308"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</row>
    <row r="309">
      <c r="B309" s="6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</row>
    <row r="310"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</row>
    <row r="311">
      <c r="B311" s="6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</row>
    <row r="312"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</row>
    <row r="313">
      <c r="B313" s="6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</row>
    <row r="314"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</row>
    <row r="315">
      <c r="B315" s="6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</row>
    <row r="316"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</row>
    <row r="317">
      <c r="B317" s="6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</row>
    <row r="318"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</row>
    <row r="319">
      <c r="B319" s="6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</row>
    <row r="320"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</row>
    <row r="321">
      <c r="B321" s="6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</row>
    <row r="322"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</row>
    <row r="323">
      <c r="B323" s="6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</row>
    <row r="324"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</row>
    <row r="325">
      <c r="B325" s="6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</row>
    <row r="326"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</row>
    <row r="327">
      <c r="B327" s="6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</row>
    <row r="328"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</row>
    <row r="329">
      <c r="B329" s="6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</row>
    <row r="330"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</row>
    <row r="331">
      <c r="B331" s="6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</row>
    <row r="332"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</row>
    <row r="333">
      <c r="B333" s="6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</row>
    <row r="334"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</row>
    <row r="335">
      <c r="B335" s="6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</row>
    <row r="336"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</row>
    <row r="337">
      <c r="B337" s="6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</row>
    <row r="338"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</row>
    <row r="339">
      <c r="B339" s="6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</row>
    <row r="340"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</row>
    <row r="341">
      <c r="B341" s="6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</row>
    <row r="342"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</row>
    <row r="343">
      <c r="B343" s="6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</row>
    <row r="344"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</row>
    <row r="345">
      <c r="B345" s="6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</row>
    <row r="346"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</row>
    <row r="347">
      <c r="B347" s="6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</row>
    <row r="348"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</row>
    <row r="349">
      <c r="B349" s="6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</row>
    <row r="350"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</row>
    <row r="351">
      <c r="B351" s="6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</row>
    <row r="352"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</row>
    <row r="353">
      <c r="B353" s="6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</row>
    <row r="354"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</row>
    <row r="355">
      <c r="B355" s="6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</row>
    <row r="356"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</row>
    <row r="357">
      <c r="B357" s="6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</row>
    <row r="358"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</row>
    <row r="359">
      <c r="B359" s="6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</row>
    <row r="360"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</row>
    <row r="361">
      <c r="B361" s="6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</row>
    <row r="362"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</row>
    <row r="363">
      <c r="B363" s="6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</row>
    <row r="364"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</row>
    <row r="365">
      <c r="B365" s="6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</row>
    <row r="366"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</row>
    <row r="367">
      <c r="B367" s="6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</row>
    <row r="368"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</row>
    <row r="369"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</row>
    <row r="370"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</row>
    <row r="371">
      <c r="B371" s="6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</row>
    <row r="372"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</row>
    <row r="373">
      <c r="B373" s="6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</row>
    <row r="374"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</row>
    <row r="375">
      <c r="B375" s="6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</row>
    <row r="376"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</row>
    <row r="377">
      <c r="B377" s="6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</row>
    <row r="378"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</row>
    <row r="379">
      <c r="B379" s="6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</row>
    <row r="380"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</row>
    <row r="381">
      <c r="B381" s="6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</row>
    <row r="382"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</row>
    <row r="383">
      <c r="B383" s="6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</row>
    <row r="384"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</row>
    <row r="385">
      <c r="B385" s="6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</row>
    <row r="386"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</row>
    <row r="387">
      <c r="B387" s="6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</row>
    <row r="388"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</row>
    <row r="389">
      <c r="B389" s="6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</row>
    <row r="390"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</row>
    <row r="391">
      <c r="B391" s="6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</row>
    <row r="392"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</row>
    <row r="393">
      <c r="B393" s="6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</row>
    <row r="394"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>
      <c r="B395" s="6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</row>
    <row r="396"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>
      <c r="B397" s="6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</row>
    <row r="398"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</row>
    <row r="400"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</row>
    <row r="401">
      <c r="B401" s="6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</row>
    <row r="402"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</row>
    <row r="403">
      <c r="B403" s="6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</row>
    <row r="404"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</row>
    <row r="405">
      <c r="B405" s="6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</row>
    <row r="406">
      <c r="B406" s="6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</row>
    <row r="407">
      <c r="B407" s="6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</row>
    <row r="408">
      <c r="B408" s="6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</row>
    <row r="409">
      <c r="B409" s="6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</row>
    <row r="410">
      <c r="B410" s="6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</row>
    <row r="411">
      <c r="B411" s="6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</row>
    <row r="412">
      <c r="B412" s="6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</row>
    <row r="413">
      <c r="B413" s="6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</row>
    <row r="414">
      <c r="B414" s="6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</row>
    <row r="415">
      <c r="B415" s="6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</row>
    <row r="416">
      <c r="B416" s="6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</row>
    <row r="417">
      <c r="B417" s="6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</row>
    <row r="418">
      <c r="B418" s="6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</row>
    <row r="419">
      <c r="B419" s="6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</row>
    <row r="420">
      <c r="B420" s="6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</row>
    <row r="421">
      <c r="B421" s="6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</row>
    <row r="422">
      <c r="B422" s="6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</row>
    <row r="423">
      <c r="B423" s="6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</row>
    <row r="424">
      <c r="B424" s="6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</row>
    <row r="425">
      <c r="B425" s="6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</row>
    <row r="426">
      <c r="B426" s="6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</row>
    <row r="427">
      <c r="B427" s="6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</row>
    <row r="428">
      <c r="B428" s="6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</row>
    <row r="429">
      <c r="B429" s="6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</row>
    <row r="430">
      <c r="B430" s="6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</row>
    <row r="431">
      <c r="B431" s="6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</row>
    <row r="432">
      <c r="B432" s="6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</row>
    <row r="433">
      <c r="B433" s="6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</row>
    <row r="434">
      <c r="B434" s="6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</row>
    <row r="435">
      <c r="B435" s="6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</row>
    <row r="436">
      <c r="B436" s="6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</row>
    <row r="437">
      <c r="B437" s="6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</row>
    <row r="438">
      <c r="B438" s="6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</row>
    <row r="439">
      <c r="B439" s="6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</row>
    <row r="440">
      <c r="B440" s="6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</row>
    <row r="441">
      <c r="B441" s="6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</row>
    <row r="442">
      <c r="B442" s="6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</row>
    <row r="443">
      <c r="B443" s="6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</row>
    <row r="444">
      <c r="B444" s="6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</row>
    <row r="445">
      <c r="B445" s="6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</row>
    <row r="446">
      <c r="B446" s="6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</row>
    <row r="447">
      <c r="B447" s="6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</row>
    <row r="448">
      <c r="B448" s="6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</row>
    <row r="449">
      <c r="B449" s="6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</row>
    <row r="450">
      <c r="B450" s="6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</row>
    <row r="451">
      <c r="B451" s="6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</row>
    <row r="452">
      <c r="B452" s="6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</row>
    <row r="453">
      <c r="B453" s="6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</row>
    <row r="454">
      <c r="B454" s="6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</row>
    <row r="455">
      <c r="B455" s="6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</row>
    <row r="456">
      <c r="B456" s="6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</row>
    <row r="457">
      <c r="B457" s="6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</row>
    <row r="458">
      <c r="B458" s="6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</row>
    <row r="459">
      <c r="B459" s="6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</row>
    <row r="460">
      <c r="B460" s="6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</row>
    <row r="461">
      <c r="B461" s="6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</row>
    <row r="462">
      <c r="B462" s="6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</row>
    <row r="463">
      <c r="B463" s="6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</row>
    <row r="464">
      <c r="B464" s="6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</row>
    <row r="465">
      <c r="B465" s="6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</row>
    <row r="466">
      <c r="B466" s="6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</row>
    <row r="467">
      <c r="B467" s="6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</row>
    <row r="468">
      <c r="B468" s="6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</row>
    <row r="469">
      <c r="B469" s="6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</row>
    <row r="470">
      <c r="B470" s="6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</row>
    <row r="471">
      <c r="B471" s="6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</row>
    <row r="472">
      <c r="B472" s="6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</row>
    <row r="473">
      <c r="B473" s="6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</row>
    <row r="474"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</row>
    <row r="475">
      <c r="B475" s="6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</row>
    <row r="476">
      <c r="B476" s="6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</row>
    <row r="477">
      <c r="B477" s="6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</row>
    <row r="478">
      <c r="B478" s="6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</row>
    <row r="479">
      <c r="B479" s="6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</row>
    <row r="480">
      <c r="B480" s="6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</row>
    <row r="481">
      <c r="B481" s="6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</row>
    <row r="482">
      <c r="B482" s="6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</row>
    <row r="483">
      <c r="B483" s="6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</row>
    <row r="484">
      <c r="B484" s="6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</row>
    <row r="485">
      <c r="B485" s="6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</row>
    <row r="486">
      <c r="B486" s="6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</row>
    <row r="487">
      <c r="B487" s="6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</row>
    <row r="488">
      <c r="B488" s="6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</row>
    <row r="489">
      <c r="B489" s="6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</row>
    <row r="490">
      <c r="B490" s="6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</row>
    <row r="491">
      <c r="B491" s="6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</row>
    <row r="492">
      <c r="B492" s="6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</row>
    <row r="493">
      <c r="B493" s="6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</row>
    <row r="494">
      <c r="B494" s="6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</row>
    <row r="495">
      <c r="B495" s="6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</row>
    <row r="496">
      <c r="B496" s="6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</row>
    <row r="497">
      <c r="B497" s="6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</row>
    <row r="498">
      <c r="B498" s="6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</row>
    <row r="499">
      <c r="B499" s="6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</row>
    <row r="500">
      <c r="B500" s="6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</row>
    <row r="501">
      <c r="B501" s="6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</row>
    <row r="502">
      <c r="B502" s="6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</row>
    <row r="503">
      <c r="B503" s="6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</row>
    <row r="504">
      <c r="B504" s="6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</row>
    <row r="505">
      <c r="B505" s="6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</row>
    <row r="506">
      <c r="B506" s="6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</row>
    <row r="507">
      <c r="B507" s="6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</row>
    <row r="508">
      <c r="B508" s="6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</row>
    <row r="509"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</row>
    <row r="510">
      <c r="B510" s="6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</row>
    <row r="511">
      <c r="B511" s="6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</row>
    <row r="512">
      <c r="B512" s="6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</row>
    <row r="513">
      <c r="B513" s="6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</row>
    <row r="514">
      <c r="B514" s="6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</row>
    <row r="515">
      <c r="B515" s="6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</row>
    <row r="516">
      <c r="B516" s="6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</row>
    <row r="517">
      <c r="B517" s="6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</row>
    <row r="518">
      <c r="B518" s="6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</row>
    <row r="519">
      <c r="B519" s="6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</row>
    <row r="520">
      <c r="B520" s="6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</row>
    <row r="521">
      <c r="B521" s="6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</row>
    <row r="522">
      <c r="B522" s="6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</row>
    <row r="523">
      <c r="B523" s="6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</row>
    <row r="524">
      <c r="B524" s="6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</row>
    <row r="525">
      <c r="B525" s="6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</row>
    <row r="526">
      <c r="B526" s="6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</row>
    <row r="527">
      <c r="B527" s="6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</row>
    <row r="528">
      <c r="B528" s="6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</row>
    <row r="529">
      <c r="B529" s="6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</row>
    <row r="530">
      <c r="B530" s="6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</row>
    <row r="531">
      <c r="B531" s="6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</row>
    <row r="532">
      <c r="B532" s="6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</row>
    <row r="533">
      <c r="B533" s="6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</row>
    <row r="534">
      <c r="B534" s="6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</row>
    <row r="535">
      <c r="B535" s="6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</row>
    <row r="536">
      <c r="B536" s="6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</row>
    <row r="537">
      <c r="B537" s="6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</row>
    <row r="538">
      <c r="B538" s="6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</row>
    <row r="539">
      <c r="B539" s="6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</row>
    <row r="540">
      <c r="B540" s="6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</row>
    <row r="541">
      <c r="B541" s="6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</row>
    <row r="542">
      <c r="B542" s="6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</row>
    <row r="543">
      <c r="B543" s="6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</row>
    <row r="544">
      <c r="B544" s="6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</row>
    <row r="545">
      <c r="B545" s="6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</row>
    <row r="546">
      <c r="B546" s="6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</row>
    <row r="547">
      <c r="B547" s="6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</row>
    <row r="548">
      <c r="B548" s="6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</row>
    <row r="549">
      <c r="B549" s="6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</row>
    <row r="550">
      <c r="B550" s="6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</row>
    <row r="551">
      <c r="B551" s="6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</row>
    <row r="552">
      <c r="B552" s="6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</row>
    <row r="553">
      <c r="B553" s="6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</row>
    <row r="554">
      <c r="B554" s="6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</row>
    <row r="555">
      <c r="B555" s="6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</row>
    <row r="556">
      <c r="B556" s="6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</row>
    <row r="557">
      <c r="B557" s="6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</row>
    <row r="558">
      <c r="B558" s="6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</row>
    <row r="559">
      <c r="B559" s="6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</row>
    <row r="560">
      <c r="B560" s="6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</row>
    <row r="561">
      <c r="B561" s="6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</row>
    <row r="562">
      <c r="B562" s="6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</row>
    <row r="563">
      <c r="B563" s="6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</row>
    <row r="564">
      <c r="B564" s="6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</row>
    <row r="565">
      <c r="B565" s="6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</row>
    <row r="566">
      <c r="B566" s="6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</row>
    <row r="567">
      <c r="B567" s="6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</row>
    <row r="568">
      <c r="B568" s="6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</row>
    <row r="569">
      <c r="B569" s="6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</row>
    <row r="570">
      <c r="B570" s="6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</row>
    <row r="571">
      <c r="B571" s="6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</row>
    <row r="572">
      <c r="B572" s="6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</row>
    <row r="573">
      <c r="B573" s="6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</row>
    <row r="574">
      <c r="B574" s="6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</row>
    <row r="575">
      <c r="B575" s="6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</row>
    <row r="576">
      <c r="B576" s="6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</row>
    <row r="577">
      <c r="B577" s="6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</row>
    <row r="578">
      <c r="B578" s="6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</row>
    <row r="579">
      <c r="B579" s="6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</row>
    <row r="580">
      <c r="B580" s="6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</row>
    <row r="581">
      <c r="B581" s="6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</row>
    <row r="582">
      <c r="B582" s="6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</row>
    <row r="583">
      <c r="B583" s="6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</row>
    <row r="584"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</row>
    <row r="585">
      <c r="B585" s="6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</row>
    <row r="586">
      <c r="B586" s="6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</row>
    <row r="587">
      <c r="B587" s="6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</row>
    <row r="588">
      <c r="B588" s="6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</row>
    <row r="589">
      <c r="B589" s="6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</row>
    <row r="590">
      <c r="B590" s="6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</row>
    <row r="591">
      <c r="B591" s="6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</row>
    <row r="592">
      <c r="B592" s="6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</row>
    <row r="593">
      <c r="B593" s="6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</row>
    <row r="594">
      <c r="B594" s="6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</row>
    <row r="595">
      <c r="B595" s="6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</row>
    <row r="596">
      <c r="B596" s="6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</row>
    <row r="597">
      <c r="B597" s="6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</row>
    <row r="598">
      <c r="B598" s="6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</row>
    <row r="599">
      <c r="B599" s="6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</row>
    <row r="600">
      <c r="B600" s="6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</row>
    <row r="601">
      <c r="B601" s="6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</row>
    <row r="602">
      <c r="B602" s="6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</row>
    <row r="603">
      <c r="B603" s="6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</row>
    <row r="604">
      <c r="B604" s="6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</row>
    <row r="605">
      <c r="B605" s="6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</row>
    <row r="606">
      <c r="B606" s="6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</row>
    <row r="607">
      <c r="B607" s="6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</row>
    <row r="608">
      <c r="B608" s="6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</row>
    <row r="609">
      <c r="B609" s="6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</row>
    <row r="610">
      <c r="B610" s="6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</row>
    <row r="611">
      <c r="B611" s="6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</row>
    <row r="612">
      <c r="B612" s="6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</row>
    <row r="613">
      <c r="B613" s="6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</row>
    <row r="614">
      <c r="B614" s="6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</row>
    <row r="615">
      <c r="B615" s="6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</row>
    <row r="616">
      <c r="B616" s="6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</row>
    <row r="617">
      <c r="B617" s="6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</row>
    <row r="618">
      <c r="B618" s="6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</row>
    <row r="619"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</row>
    <row r="620">
      <c r="B620" s="6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</row>
    <row r="621">
      <c r="B621" s="6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</row>
    <row r="622">
      <c r="B622" s="6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</row>
    <row r="623">
      <c r="B623" s="6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</row>
    <row r="624">
      <c r="B624" s="6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</row>
    <row r="625">
      <c r="B625" s="6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</row>
    <row r="626">
      <c r="B626" s="6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</row>
    <row r="627">
      <c r="B627" s="6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</row>
    <row r="628">
      <c r="B628" s="6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</row>
    <row r="629">
      <c r="B629" s="6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</row>
    <row r="630">
      <c r="B630" s="6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</row>
    <row r="631">
      <c r="B631" s="6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</row>
    <row r="632">
      <c r="B632" s="6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</row>
    <row r="633">
      <c r="B633" s="6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</row>
    <row r="634">
      <c r="B634" s="6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</row>
    <row r="635">
      <c r="B635" s="6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</row>
    <row r="636">
      <c r="B636" s="6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</row>
    <row r="637">
      <c r="B637" s="6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</row>
    <row r="638">
      <c r="B638" s="6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</row>
    <row r="639">
      <c r="B639" s="6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</row>
    <row r="640">
      <c r="B640" s="6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</row>
    <row r="641">
      <c r="B641" s="6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</row>
    <row r="642">
      <c r="B642" s="6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</row>
    <row r="643">
      <c r="B643" s="6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</row>
    <row r="644">
      <c r="B644" s="6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</row>
    <row r="645">
      <c r="B645" s="6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</row>
    <row r="646">
      <c r="B646" s="6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</row>
    <row r="647">
      <c r="B647" s="6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</row>
    <row r="648">
      <c r="B648" s="6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</row>
    <row r="649">
      <c r="B649" s="6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</row>
    <row r="650">
      <c r="B650" s="6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</row>
    <row r="651">
      <c r="B651" s="6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</row>
    <row r="652">
      <c r="B652" s="6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</row>
    <row r="653">
      <c r="B653" s="6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</row>
    <row r="654">
      <c r="B654" s="6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</row>
    <row r="655">
      <c r="B655" s="6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</row>
    <row r="656">
      <c r="B656" s="6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</row>
    <row r="657">
      <c r="B657" s="6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</row>
    <row r="658">
      <c r="B658" s="6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</row>
    <row r="659">
      <c r="B659" s="6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</row>
    <row r="660">
      <c r="B660" s="6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</row>
    <row r="661">
      <c r="B661" s="6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</row>
    <row r="662">
      <c r="B662" s="6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</row>
    <row r="663">
      <c r="B663" s="6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</row>
    <row r="664">
      <c r="B664" s="6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</row>
    <row r="665">
      <c r="B665" s="6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</row>
    <row r="666">
      <c r="B666" s="6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</row>
    <row r="667">
      <c r="B667" s="6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</row>
    <row r="668">
      <c r="B668" s="6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</row>
    <row r="669">
      <c r="B669" s="6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</row>
    <row r="670">
      <c r="B670" s="6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</row>
    <row r="671">
      <c r="B671" s="6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</row>
    <row r="672">
      <c r="B672" s="6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</row>
    <row r="673">
      <c r="B673" s="6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</row>
    <row r="674">
      <c r="B674" s="6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</row>
    <row r="675">
      <c r="B675" s="6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</row>
    <row r="676">
      <c r="B676" s="6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</row>
    <row r="677">
      <c r="B677" s="6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</row>
    <row r="678">
      <c r="B678" s="6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</row>
    <row r="679">
      <c r="B679" s="6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</row>
    <row r="680">
      <c r="B680" s="6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</row>
    <row r="681">
      <c r="B681" s="6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</row>
    <row r="682">
      <c r="B682" s="6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</row>
    <row r="683">
      <c r="B683" s="6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</row>
    <row r="684">
      <c r="B684" s="6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</row>
    <row r="685">
      <c r="B685" s="6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</row>
    <row r="686">
      <c r="B686" s="6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</row>
    <row r="687">
      <c r="B687" s="6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</row>
    <row r="688">
      <c r="B688" s="6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</row>
    <row r="689">
      <c r="B689" s="6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</row>
    <row r="690">
      <c r="B690" s="6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</row>
    <row r="691">
      <c r="B691" s="6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</row>
    <row r="692">
      <c r="B692" s="6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</row>
    <row r="693">
      <c r="B693" s="6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</row>
    <row r="694"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</row>
    <row r="695">
      <c r="B695" s="6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</row>
    <row r="696">
      <c r="B696" s="6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</row>
    <row r="697">
      <c r="B697" s="6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</row>
    <row r="698">
      <c r="B698" s="6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</row>
    <row r="699">
      <c r="B699" s="6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</row>
    <row r="700">
      <c r="B700" s="6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</row>
    <row r="701">
      <c r="B701" s="6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</row>
    <row r="702">
      <c r="B702" s="6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</row>
    <row r="703">
      <c r="B703" s="6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</row>
    <row r="704">
      <c r="B704" s="6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</row>
    <row r="705">
      <c r="B705" s="6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</row>
    <row r="706">
      <c r="B706" s="6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</row>
    <row r="707">
      <c r="B707" s="6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</row>
    <row r="708">
      <c r="B708" s="6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</row>
    <row r="709">
      <c r="B709" s="6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</row>
    <row r="710">
      <c r="B710" s="6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</row>
    <row r="711">
      <c r="B711" s="6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</row>
    <row r="712">
      <c r="B712" s="6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</row>
    <row r="713">
      <c r="B713" s="6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</row>
    <row r="714">
      <c r="B714" s="6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</row>
    <row r="715">
      <c r="B715" s="6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</row>
    <row r="716">
      <c r="B716" s="6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</row>
    <row r="717">
      <c r="B717" s="6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</row>
    <row r="718">
      <c r="B718" s="6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</row>
    <row r="719">
      <c r="B719" s="6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</row>
    <row r="720">
      <c r="B720" s="6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</row>
    <row r="721">
      <c r="B721" s="6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</row>
    <row r="722">
      <c r="B722" s="6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</row>
    <row r="723">
      <c r="B723" s="6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</row>
    <row r="724">
      <c r="B724" s="6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</row>
    <row r="725">
      <c r="B725" s="6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</row>
    <row r="726">
      <c r="B726" s="6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</row>
    <row r="727">
      <c r="B727" s="6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</row>
    <row r="728">
      <c r="B728" s="6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</row>
    <row r="729"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</row>
    <row r="730">
      <c r="B730" s="6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</row>
    <row r="731">
      <c r="B731" s="6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</row>
    <row r="732">
      <c r="B732" s="6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</row>
    <row r="733">
      <c r="B733" s="6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</row>
    <row r="734">
      <c r="B734" s="6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</row>
    <row r="735">
      <c r="B735" s="6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</row>
    <row r="736">
      <c r="B736" s="6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</row>
    <row r="737">
      <c r="B737" s="6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</row>
    <row r="738">
      <c r="B738" s="6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</row>
    <row r="739">
      <c r="B739" s="6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</row>
    <row r="740">
      <c r="B740" s="6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</row>
    <row r="741">
      <c r="B741" s="6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</row>
    <row r="742">
      <c r="B742" s="6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</row>
    <row r="743">
      <c r="B743" s="6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</row>
    <row r="744">
      <c r="B744" s="6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</row>
    <row r="745">
      <c r="B745" s="6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</row>
    <row r="746">
      <c r="B746" s="6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</row>
    <row r="747">
      <c r="B747" s="6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</row>
    <row r="748">
      <c r="B748" s="6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</row>
    <row r="749">
      <c r="B749" s="6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</row>
    <row r="750">
      <c r="B750" s="6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</row>
    <row r="751">
      <c r="B751" s="6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</row>
    <row r="752">
      <c r="B752" s="6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</row>
    <row r="753">
      <c r="B753" s="6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</row>
    <row r="754">
      <c r="B754" s="6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</row>
    <row r="755">
      <c r="B755" s="6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</row>
    <row r="756">
      <c r="B756" s="6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</row>
    <row r="757">
      <c r="B757" s="6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</row>
    <row r="758">
      <c r="B758" s="6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</row>
    <row r="759">
      <c r="B759" s="6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</row>
    <row r="760">
      <c r="B760" s="6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</row>
    <row r="761">
      <c r="B761" s="6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</row>
    <row r="762">
      <c r="B762" s="6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</row>
    <row r="763">
      <c r="B763" s="6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</row>
    <row r="764">
      <c r="B764" s="6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</row>
    <row r="765">
      <c r="B765" s="6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</row>
    <row r="766">
      <c r="B766" s="6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</row>
    <row r="767">
      <c r="B767" s="6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</row>
    <row r="768">
      <c r="B768" s="6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</row>
    <row r="769">
      <c r="B769" s="6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</row>
    <row r="770">
      <c r="B770" s="6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</row>
    <row r="771">
      <c r="B771" s="6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</row>
    <row r="772">
      <c r="B772" s="6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</row>
    <row r="773">
      <c r="B773" s="6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</row>
    <row r="774">
      <c r="B774" s="6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</row>
    <row r="775">
      <c r="B775" s="6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</row>
    <row r="776">
      <c r="B776" s="6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</row>
    <row r="777">
      <c r="B777" s="6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</row>
    <row r="778">
      <c r="B778" s="6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</row>
    <row r="779">
      <c r="B779" s="6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</row>
    <row r="780">
      <c r="B780" s="6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</row>
    <row r="781">
      <c r="B781" s="6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</row>
    <row r="782">
      <c r="B782" s="6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</row>
    <row r="783">
      <c r="B783" s="6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</row>
    <row r="784">
      <c r="B784" s="6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</row>
    <row r="785">
      <c r="B785" s="6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</row>
    <row r="786">
      <c r="B786" s="6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</row>
    <row r="787">
      <c r="B787" s="6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</row>
    <row r="788">
      <c r="B788" s="6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</row>
    <row r="789">
      <c r="B789" s="6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</row>
    <row r="790">
      <c r="B790" s="6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</row>
    <row r="791">
      <c r="B791" s="6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</row>
    <row r="792">
      <c r="B792" s="6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</row>
    <row r="793">
      <c r="B793" s="6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</row>
    <row r="794">
      <c r="B794" s="6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</row>
    <row r="795">
      <c r="B795" s="6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</row>
    <row r="796">
      <c r="B796" s="6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</row>
    <row r="797">
      <c r="B797" s="6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</row>
    <row r="798">
      <c r="B798" s="6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</row>
    <row r="799"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</row>
    <row r="800">
      <c r="B800" s="6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</row>
    <row r="801">
      <c r="B801" s="6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</row>
    <row r="802">
      <c r="B802" s="6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</row>
    <row r="803">
      <c r="B803" s="6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</row>
    <row r="804">
      <c r="B804" s="6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</row>
    <row r="805">
      <c r="B805" s="6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</row>
    <row r="806">
      <c r="B806" s="6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</row>
    <row r="807">
      <c r="B807" s="6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</row>
    <row r="808">
      <c r="B808" s="6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</row>
    <row r="809">
      <c r="B809" s="6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</row>
    <row r="810">
      <c r="B810" s="6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</row>
    <row r="811">
      <c r="B811" s="6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</row>
    <row r="812">
      <c r="B812" s="6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</row>
    <row r="813">
      <c r="B813" s="6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</row>
    <row r="814">
      <c r="B814" s="6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</row>
    <row r="815">
      <c r="B815" s="6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</row>
    <row r="816">
      <c r="B816" s="6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</row>
    <row r="817">
      <c r="B817" s="6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</row>
    <row r="818">
      <c r="B818" s="6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</row>
    <row r="819">
      <c r="B819" s="6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</row>
    <row r="820">
      <c r="B820" s="6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</row>
    <row r="821">
      <c r="B821" s="6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</row>
    <row r="822">
      <c r="B822" s="6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</row>
    <row r="823">
      <c r="B823" s="6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</row>
    <row r="824">
      <c r="B824" s="6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</row>
    <row r="825">
      <c r="B825" s="6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</row>
    <row r="826">
      <c r="B826" s="6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</row>
    <row r="827">
      <c r="B827" s="6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</row>
    <row r="828">
      <c r="B828" s="6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</row>
    <row r="829">
      <c r="B829" s="6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</row>
    <row r="830">
      <c r="B830" s="6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</row>
    <row r="831">
      <c r="B831" s="6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</row>
    <row r="832">
      <c r="B832" s="6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</row>
    <row r="833">
      <c r="B833" s="6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</row>
    <row r="834">
      <c r="B834" s="6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</row>
    <row r="835">
      <c r="B835" s="6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</row>
    <row r="836">
      <c r="B836" s="6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</row>
    <row r="837">
      <c r="B837" s="6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</row>
    <row r="838">
      <c r="B838" s="6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</row>
    <row r="839">
      <c r="B839" s="6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</row>
    <row r="840">
      <c r="B840" s="6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</row>
    <row r="841">
      <c r="B841" s="6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</row>
    <row r="842">
      <c r="B842" s="6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</row>
    <row r="843">
      <c r="B843" s="6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</row>
    <row r="844">
      <c r="B844" s="6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</row>
    <row r="845">
      <c r="B845" s="6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</row>
    <row r="846">
      <c r="B846" s="6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</row>
    <row r="847">
      <c r="B847" s="6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</row>
    <row r="848">
      <c r="B848" s="6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</row>
    <row r="849">
      <c r="B849" s="6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</row>
    <row r="850">
      <c r="B850" s="6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</row>
    <row r="851">
      <c r="B851" s="6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</row>
    <row r="852">
      <c r="B852" s="6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</row>
    <row r="853">
      <c r="B853" s="6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</row>
    <row r="854">
      <c r="B854" s="6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</row>
    <row r="855">
      <c r="B855" s="6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</row>
    <row r="856">
      <c r="B856" s="6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</row>
    <row r="857">
      <c r="B857" s="6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</row>
    <row r="858">
      <c r="B858" s="6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</row>
    <row r="859">
      <c r="B859" s="6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</row>
    <row r="860">
      <c r="B860" s="6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</row>
    <row r="861">
      <c r="B861" s="6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</row>
    <row r="862">
      <c r="B862" s="6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</row>
    <row r="863">
      <c r="B863" s="6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</row>
    <row r="864">
      <c r="B864" s="6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</row>
    <row r="865">
      <c r="B865" s="6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</row>
    <row r="866">
      <c r="B866" s="6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</row>
    <row r="867">
      <c r="B867" s="6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</row>
    <row r="868">
      <c r="B868" s="6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</row>
    <row r="869">
      <c r="B869" s="6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</row>
    <row r="870">
      <c r="B870" s="6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</row>
    <row r="871">
      <c r="B871" s="6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</row>
    <row r="872">
      <c r="B872" s="6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</row>
    <row r="873">
      <c r="B873" s="6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</row>
    <row r="874"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</row>
    <row r="875">
      <c r="B875" s="6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</row>
    <row r="876">
      <c r="B876" s="6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</row>
    <row r="877">
      <c r="B877" s="6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</row>
    <row r="878">
      <c r="B878" s="6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</row>
    <row r="879">
      <c r="B879" s="6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</row>
    <row r="880">
      <c r="B880" s="6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</row>
    <row r="881">
      <c r="B881" s="6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</row>
    <row r="882">
      <c r="B882" s="6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</row>
    <row r="883">
      <c r="B883" s="6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</row>
    <row r="884">
      <c r="B884" s="6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</row>
    <row r="885">
      <c r="B885" s="6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</row>
    <row r="886">
      <c r="B886" s="6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</row>
    <row r="887">
      <c r="B887" s="6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</row>
    <row r="888">
      <c r="B888" s="6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</row>
    <row r="889">
      <c r="B889" s="6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</row>
    <row r="890">
      <c r="B890" s="6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</row>
    <row r="891">
      <c r="B891" s="6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</row>
    <row r="892">
      <c r="B892" s="6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</row>
    <row r="893">
      <c r="B893" s="6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</row>
    <row r="894">
      <c r="B894" s="6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</row>
    <row r="895">
      <c r="B895" s="6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</row>
    <row r="896">
      <c r="B896" s="6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</row>
    <row r="897">
      <c r="B897" s="6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</row>
    <row r="898">
      <c r="B898" s="6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</row>
    <row r="899">
      <c r="B899" s="6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</row>
    <row r="900">
      <c r="B900" s="6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</row>
    <row r="901">
      <c r="B901" s="6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</row>
    <row r="902">
      <c r="B902" s="6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</row>
    <row r="903">
      <c r="B903" s="6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</row>
    <row r="904">
      <c r="B904" s="6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</row>
    <row r="905">
      <c r="B905" s="6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</row>
    <row r="906">
      <c r="B906" s="6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</row>
    <row r="907">
      <c r="B907" s="6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</row>
    <row r="908">
      <c r="B908" s="6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</row>
    <row r="909"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</row>
    <row r="910">
      <c r="B910" s="6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</row>
    <row r="911">
      <c r="B911" s="6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</row>
    <row r="912">
      <c r="B912" s="6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</row>
    <row r="913">
      <c r="B913" s="6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</row>
    <row r="914">
      <c r="B914" s="6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</row>
    <row r="915">
      <c r="B915" s="6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</row>
    <row r="916">
      <c r="B916" s="6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</row>
    <row r="917">
      <c r="B917" s="6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</row>
    <row r="918">
      <c r="B918" s="6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</row>
    <row r="919">
      <c r="B919" s="6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</row>
    <row r="920">
      <c r="B920" s="6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</row>
    <row r="921">
      <c r="B921" s="6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</row>
    <row r="922">
      <c r="B922" s="6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</row>
    <row r="923">
      <c r="B923" s="6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</row>
    <row r="924">
      <c r="B924" s="6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</row>
    <row r="925">
      <c r="B925" s="6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</row>
    <row r="926">
      <c r="B926" s="6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</row>
    <row r="927">
      <c r="B927" s="6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</row>
    <row r="928">
      <c r="B928" s="6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</row>
    <row r="929">
      <c r="B929" s="6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</row>
    <row r="930">
      <c r="B930" s="6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</row>
    <row r="931">
      <c r="B931" s="6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</row>
    <row r="932">
      <c r="B932" s="6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</row>
    <row r="933">
      <c r="B933" s="6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</row>
    <row r="934">
      <c r="B934" s="6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</row>
    <row r="935">
      <c r="B935" s="6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</row>
    <row r="936">
      <c r="B936" s="6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</row>
    <row r="937">
      <c r="B937" s="6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</row>
    <row r="938">
      <c r="B938" s="6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</row>
    <row r="939">
      <c r="B939" s="6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</row>
    <row r="940">
      <c r="B940" s="6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</row>
  </sheetData>
  <mergeCells count="442">
    <mergeCell ref="Z12:Z13"/>
    <mergeCell ref="AA12:AA13"/>
    <mergeCell ref="AB12:AB13"/>
    <mergeCell ref="B12:B13"/>
    <mergeCell ref="C12:C13"/>
    <mergeCell ref="D12:D13"/>
    <mergeCell ref="E12:E13"/>
    <mergeCell ref="F12:F13"/>
    <mergeCell ref="G12:G13"/>
    <mergeCell ref="A14:AB14"/>
    <mergeCell ref="H6:H7"/>
    <mergeCell ref="I6:I7"/>
    <mergeCell ref="J6:J7"/>
    <mergeCell ref="K6:K7"/>
    <mergeCell ref="L6:L7"/>
    <mergeCell ref="M6:M7"/>
    <mergeCell ref="N6:N7"/>
    <mergeCell ref="V6:V7"/>
    <mergeCell ref="W6:W7"/>
    <mergeCell ref="X6:X7"/>
    <mergeCell ref="Y6:Y7"/>
    <mergeCell ref="Z6:Z7"/>
    <mergeCell ref="AA6:AA7"/>
    <mergeCell ref="AB6:AB7"/>
    <mergeCell ref="O6:O7"/>
    <mergeCell ref="P6:P7"/>
    <mergeCell ref="Q6:Q7"/>
    <mergeCell ref="R6:R7"/>
    <mergeCell ref="S6:S7"/>
    <mergeCell ref="T6:T7"/>
    <mergeCell ref="U6:U7"/>
    <mergeCell ref="A8:AB8"/>
    <mergeCell ref="A6:A7"/>
    <mergeCell ref="B6:B7"/>
    <mergeCell ref="C6:C7"/>
    <mergeCell ref="D6:D7"/>
    <mergeCell ref="E6:E7"/>
    <mergeCell ref="F6:F7"/>
    <mergeCell ref="G6:G7"/>
    <mergeCell ref="H9:H10"/>
    <mergeCell ref="I9:I10"/>
    <mergeCell ref="J9:J10"/>
    <mergeCell ref="K9:K10"/>
    <mergeCell ref="L9:L10"/>
    <mergeCell ref="M9:M10"/>
    <mergeCell ref="N9:N10"/>
    <mergeCell ref="Y15:Y16"/>
    <mergeCell ref="Z15:Z16"/>
    <mergeCell ref="AA15:AA16"/>
    <mergeCell ref="AB15:AB16"/>
    <mergeCell ref="A17:AB17"/>
    <mergeCell ref="V9:V10"/>
    <mergeCell ref="W9:W10"/>
    <mergeCell ref="X9:X10"/>
    <mergeCell ref="Y9:Y10"/>
    <mergeCell ref="Z9:Z10"/>
    <mergeCell ref="AA9:AA10"/>
    <mergeCell ref="AB9:AB10"/>
    <mergeCell ref="C1:J1"/>
    <mergeCell ref="P1:W1"/>
    <mergeCell ref="X1:X2"/>
    <mergeCell ref="Y1:Y2"/>
    <mergeCell ref="Z1:Z2"/>
    <mergeCell ref="AA1:AA2"/>
    <mergeCell ref="AB1:AB2"/>
    <mergeCell ref="A1:A2"/>
    <mergeCell ref="B1:B2"/>
    <mergeCell ref="K1:K2"/>
    <mergeCell ref="L1:L2"/>
    <mergeCell ref="M1:M2"/>
    <mergeCell ref="N1:N2"/>
    <mergeCell ref="O1:O2"/>
    <mergeCell ref="H3:H4"/>
    <mergeCell ref="I3:I4"/>
    <mergeCell ref="J3:J4"/>
    <mergeCell ref="K3:K4"/>
    <mergeCell ref="L3:L4"/>
    <mergeCell ref="M3:M4"/>
    <mergeCell ref="N3:N4"/>
    <mergeCell ref="V3:V4"/>
    <mergeCell ref="W3:W4"/>
    <mergeCell ref="X3:X4"/>
    <mergeCell ref="Y3:Y4"/>
    <mergeCell ref="Z3:Z4"/>
    <mergeCell ref="AA3:AA4"/>
    <mergeCell ref="AB3:AB4"/>
    <mergeCell ref="O3:O4"/>
    <mergeCell ref="P3:P4"/>
    <mergeCell ref="Q3:Q4"/>
    <mergeCell ref="R3:R4"/>
    <mergeCell ref="S3:S4"/>
    <mergeCell ref="T3:T4"/>
    <mergeCell ref="U3:U4"/>
    <mergeCell ref="A5:AB5"/>
    <mergeCell ref="A3:A4"/>
    <mergeCell ref="B3:B4"/>
    <mergeCell ref="C3:C4"/>
    <mergeCell ref="D3:D4"/>
    <mergeCell ref="E3:E4"/>
    <mergeCell ref="F3:F4"/>
    <mergeCell ref="G3:G4"/>
    <mergeCell ref="O9:O10"/>
    <mergeCell ref="P9:P10"/>
    <mergeCell ref="Q9:Q10"/>
    <mergeCell ref="R9:R10"/>
    <mergeCell ref="S9:S10"/>
    <mergeCell ref="T9:T10"/>
    <mergeCell ref="U9:U10"/>
    <mergeCell ref="A11:AB11"/>
    <mergeCell ref="A9:A10"/>
    <mergeCell ref="B9:B10"/>
    <mergeCell ref="C9:C10"/>
    <mergeCell ref="D9:D10"/>
    <mergeCell ref="E9:E10"/>
    <mergeCell ref="F9:F10"/>
    <mergeCell ref="G9:G10"/>
    <mergeCell ref="O12:O13"/>
    <mergeCell ref="P12:P13"/>
    <mergeCell ref="H12:H13"/>
    <mergeCell ref="I12:I13"/>
    <mergeCell ref="J12:J13"/>
    <mergeCell ref="K12:K13"/>
    <mergeCell ref="L12:L13"/>
    <mergeCell ref="M12:M13"/>
    <mergeCell ref="N12:N13"/>
    <mergeCell ref="X12:X13"/>
    <mergeCell ref="Y12:Y13"/>
    <mergeCell ref="Q12:Q13"/>
    <mergeCell ref="R12:R13"/>
    <mergeCell ref="S12:S13"/>
    <mergeCell ref="T12:T13"/>
    <mergeCell ref="U12:U13"/>
    <mergeCell ref="V12:V13"/>
    <mergeCell ref="W12:W13"/>
    <mergeCell ref="N15:N16"/>
    <mergeCell ref="O15:O16"/>
    <mergeCell ref="G15:G16"/>
    <mergeCell ref="H15:H16"/>
    <mergeCell ref="I15:I16"/>
    <mergeCell ref="J15:J16"/>
    <mergeCell ref="K15:K16"/>
    <mergeCell ref="L15:L16"/>
    <mergeCell ref="M15:M16"/>
    <mergeCell ref="W15:W16"/>
    <mergeCell ref="X15:X16"/>
    <mergeCell ref="P15:P16"/>
    <mergeCell ref="Q15:Q16"/>
    <mergeCell ref="R15:R16"/>
    <mergeCell ref="S15:S16"/>
    <mergeCell ref="T15:T16"/>
    <mergeCell ref="U15:U16"/>
    <mergeCell ref="V15:V16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12:A13"/>
    <mergeCell ref="A15:A16"/>
    <mergeCell ref="B15:B16"/>
    <mergeCell ref="C15:C16"/>
    <mergeCell ref="D15:D16"/>
    <mergeCell ref="E15:E16"/>
    <mergeCell ref="F15:F16"/>
    <mergeCell ref="H18:H19"/>
    <mergeCell ref="I18:I19"/>
    <mergeCell ref="J18:J19"/>
    <mergeCell ref="K18:K19"/>
    <mergeCell ref="L18:L19"/>
    <mergeCell ref="M18:M19"/>
    <mergeCell ref="N18:N19"/>
    <mergeCell ref="V18:V19"/>
    <mergeCell ref="W18:W19"/>
    <mergeCell ref="X18:X19"/>
    <mergeCell ref="Y18:Y19"/>
    <mergeCell ref="Z18:Z19"/>
    <mergeCell ref="AA18:AA19"/>
    <mergeCell ref="AB18:AB19"/>
    <mergeCell ref="O18:O19"/>
    <mergeCell ref="P18:P19"/>
    <mergeCell ref="Q18:Q19"/>
    <mergeCell ref="R18:R19"/>
    <mergeCell ref="S18:S19"/>
    <mergeCell ref="T18:T19"/>
    <mergeCell ref="U18:U19"/>
    <mergeCell ref="A20:AB20"/>
    <mergeCell ref="A18:A19"/>
    <mergeCell ref="B18:B19"/>
    <mergeCell ref="C18:C19"/>
    <mergeCell ref="D18:D19"/>
    <mergeCell ref="E18:E19"/>
    <mergeCell ref="F18:F19"/>
    <mergeCell ref="G18:G19"/>
    <mergeCell ref="G30:G31"/>
    <mergeCell ref="H30:H31"/>
    <mergeCell ref="A33:A34"/>
    <mergeCell ref="B33:B34"/>
    <mergeCell ref="C33:C34"/>
    <mergeCell ref="D33:D34"/>
    <mergeCell ref="E33:E34"/>
    <mergeCell ref="X21:X22"/>
    <mergeCell ref="X33:X34"/>
    <mergeCell ref="Y33:Y34"/>
    <mergeCell ref="Z33:Z34"/>
    <mergeCell ref="AA33:AA34"/>
    <mergeCell ref="AB33:AB34"/>
    <mergeCell ref="Y21:Y22"/>
    <mergeCell ref="Z21:Z22"/>
    <mergeCell ref="AA21:AA22"/>
    <mergeCell ref="AB21:AB22"/>
    <mergeCell ref="Z24:Z25"/>
    <mergeCell ref="AA24:AA25"/>
    <mergeCell ref="AB24:AB25"/>
    <mergeCell ref="N33:N34"/>
    <mergeCell ref="O33:O34"/>
    <mergeCell ref="F33:F34"/>
    <mergeCell ref="G33:G34"/>
    <mergeCell ref="I33:I34"/>
    <mergeCell ref="J33:J34"/>
    <mergeCell ref="K33:K34"/>
    <mergeCell ref="L33:L34"/>
    <mergeCell ref="M33:M34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A36:A37"/>
    <mergeCell ref="B36:B37"/>
    <mergeCell ref="C36:C37"/>
    <mergeCell ref="D36:D37"/>
    <mergeCell ref="E36:E37"/>
    <mergeCell ref="F36:F37"/>
    <mergeCell ref="G36:G37"/>
    <mergeCell ref="A39:A40"/>
    <mergeCell ref="B39:B40"/>
    <mergeCell ref="C39:C40"/>
    <mergeCell ref="D39:D40"/>
    <mergeCell ref="E39:E40"/>
    <mergeCell ref="F39:F40"/>
    <mergeCell ref="G39:G40"/>
    <mergeCell ref="Z39:Z40"/>
    <mergeCell ref="AA39:AA40"/>
    <mergeCell ref="AB39:AB40"/>
    <mergeCell ref="V36:V37"/>
    <mergeCell ref="W36:W37"/>
    <mergeCell ref="X36:X37"/>
    <mergeCell ref="Y36:Y37"/>
    <mergeCell ref="Z36:Z37"/>
    <mergeCell ref="AA36:AA37"/>
    <mergeCell ref="AB36:AB37"/>
    <mergeCell ref="X45:X46"/>
    <mergeCell ref="Y45:Y46"/>
    <mergeCell ref="Q45:Q46"/>
    <mergeCell ref="R45:R46"/>
    <mergeCell ref="S45:S46"/>
    <mergeCell ref="T45:T46"/>
    <mergeCell ref="U45:U46"/>
    <mergeCell ref="V45:V46"/>
    <mergeCell ref="W45:W46"/>
    <mergeCell ref="O39:O40"/>
    <mergeCell ref="P39:P40"/>
    <mergeCell ref="H39:H40"/>
    <mergeCell ref="I39:I40"/>
    <mergeCell ref="J39:J40"/>
    <mergeCell ref="K39:K40"/>
    <mergeCell ref="L39:L40"/>
    <mergeCell ref="M39:M40"/>
    <mergeCell ref="N39:N40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A42:A43"/>
    <mergeCell ref="B42:B43"/>
    <mergeCell ref="C42:C43"/>
    <mergeCell ref="D42:D43"/>
    <mergeCell ref="E42:E43"/>
    <mergeCell ref="F42:F43"/>
    <mergeCell ref="G42:G43"/>
    <mergeCell ref="A45:A46"/>
    <mergeCell ref="B45:B46"/>
    <mergeCell ref="C45:C46"/>
    <mergeCell ref="D45:D46"/>
    <mergeCell ref="E45:E46"/>
    <mergeCell ref="F45:F46"/>
    <mergeCell ref="G45:G46"/>
    <mergeCell ref="Z45:Z46"/>
    <mergeCell ref="AA45:AA46"/>
    <mergeCell ref="AB45:AB46"/>
    <mergeCell ref="V42:V43"/>
    <mergeCell ref="W42:W43"/>
    <mergeCell ref="X42:X43"/>
    <mergeCell ref="Y42:Y43"/>
    <mergeCell ref="Z42:Z43"/>
    <mergeCell ref="AA42:AA43"/>
    <mergeCell ref="AB42:AB43"/>
    <mergeCell ref="H21:H22"/>
    <mergeCell ref="I21:I22"/>
    <mergeCell ref="J21:J22"/>
    <mergeCell ref="K21:K22"/>
    <mergeCell ref="L21:L22"/>
    <mergeCell ref="M21:M22"/>
    <mergeCell ref="N21:N22"/>
    <mergeCell ref="A23:AB23"/>
    <mergeCell ref="A21:A22"/>
    <mergeCell ref="B21:B22"/>
    <mergeCell ref="C21:C22"/>
    <mergeCell ref="D21:D22"/>
    <mergeCell ref="E21:E22"/>
    <mergeCell ref="F21:F22"/>
    <mergeCell ref="G21:G22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X24:X25"/>
    <mergeCell ref="Y24:Y25"/>
    <mergeCell ref="Q24:Q25"/>
    <mergeCell ref="R24:R25"/>
    <mergeCell ref="S24:S25"/>
    <mergeCell ref="T24:T25"/>
    <mergeCell ref="U24:U25"/>
    <mergeCell ref="V24:V25"/>
    <mergeCell ref="W24:W25"/>
    <mergeCell ref="B24:B25"/>
    <mergeCell ref="C24:C25"/>
    <mergeCell ref="D24:D25"/>
    <mergeCell ref="E24:E25"/>
    <mergeCell ref="F24:F25"/>
    <mergeCell ref="G24:G25"/>
    <mergeCell ref="A28:AB29"/>
    <mergeCell ref="A24:A25"/>
    <mergeCell ref="A30:A31"/>
    <mergeCell ref="B30:B31"/>
    <mergeCell ref="C30:C31"/>
    <mergeCell ref="D30:D31"/>
    <mergeCell ref="E30:E31"/>
    <mergeCell ref="F30:F31"/>
    <mergeCell ref="I30:I31"/>
    <mergeCell ref="J30:J31"/>
    <mergeCell ref="K30:K31"/>
    <mergeCell ref="L30:L31"/>
    <mergeCell ref="M30:M31"/>
    <mergeCell ref="N30:N31"/>
    <mergeCell ref="O30:O31"/>
    <mergeCell ref="W30:W31"/>
    <mergeCell ref="X30:X31"/>
    <mergeCell ref="Y30:Y31"/>
    <mergeCell ref="Z30:Z31"/>
    <mergeCell ref="AA30:AA31"/>
    <mergeCell ref="AB30:AB31"/>
    <mergeCell ref="P30:P31"/>
    <mergeCell ref="Q30:Q31"/>
    <mergeCell ref="R30:R31"/>
    <mergeCell ref="S30:S31"/>
    <mergeCell ref="T30:T31"/>
    <mergeCell ref="U30:U31"/>
    <mergeCell ref="V30:V31"/>
    <mergeCell ref="V33:V34"/>
    <mergeCell ref="W33:W34"/>
    <mergeCell ref="H33:H34"/>
    <mergeCell ref="P33:P34"/>
    <mergeCell ref="Q33:Q34"/>
    <mergeCell ref="R33:R34"/>
    <mergeCell ref="S33:S34"/>
    <mergeCell ref="T33:T34"/>
    <mergeCell ref="U33:U34"/>
    <mergeCell ref="X39:X40"/>
    <mergeCell ref="Y39:Y40"/>
    <mergeCell ref="Q39:Q40"/>
    <mergeCell ref="R39:R40"/>
    <mergeCell ref="S39:S40"/>
    <mergeCell ref="T39:T40"/>
    <mergeCell ref="U39:U40"/>
    <mergeCell ref="V39:V40"/>
    <mergeCell ref="W39:W40"/>
    <mergeCell ref="O45:O46"/>
    <mergeCell ref="P45:P46"/>
    <mergeCell ref="H45:H46"/>
    <mergeCell ref="I45:I46"/>
    <mergeCell ref="J45:J46"/>
    <mergeCell ref="K45:K46"/>
    <mergeCell ref="L45:L46"/>
    <mergeCell ref="M45:M46"/>
    <mergeCell ref="N45:N46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V48:V49"/>
    <mergeCell ref="W48:W49"/>
    <mergeCell ref="X48:X49"/>
    <mergeCell ref="Y48:Y49"/>
    <mergeCell ref="Z48:Z49"/>
    <mergeCell ref="AA48:AA49"/>
    <mergeCell ref="AB48:AB49"/>
    <mergeCell ref="O48:O49"/>
    <mergeCell ref="P48:P49"/>
    <mergeCell ref="Q48:Q49"/>
    <mergeCell ref="R48:R49"/>
    <mergeCell ref="S48:S49"/>
    <mergeCell ref="T48:T49"/>
    <mergeCell ref="U48:U49"/>
  </mergeCells>
  <conditionalFormatting sqref="A6:AB46 A48:AB49">
    <cfRule type="cellIs" dxfId="0" priority="1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37</v>
      </c>
      <c r="O2" s="77" t="s">
        <v>3</v>
      </c>
      <c r="P2" s="77" t="s">
        <v>4</v>
      </c>
      <c r="Q2" s="77" t="s">
        <v>38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39</v>
      </c>
      <c r="AB2" s="77" t="s">
        <v>3</v>
      </c>
      <c r="AC2" s="77" t="s">
        <v>4</v>
      </c>
      <c r="AD2" s="78" t="s">
        <v>40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87" t="s">
        <v>42</v>
      </c>
      <c r="B5" s="88">
        <v>1.0</v>
      </c>
      <c r="C5" s="89" t="b">
        <v>1</v>
      </c>
      <c r="D5" s="89" t="s">
        <v>43</v>
      </c>
      <c r="E5" s="89" t="s">
        <v>44</v>
      </c>
      <c r="F5" s="90">
        <v>0.77</v>
      </c>
      <c r="G5" s="91">
        <v>0.748</v>
      </c>
      <c r="H5" s="91">
        <v>0.685</v>
      </c>
      <c r="I5" s="91">
        <v>0.743</v>
      </c>
      <c r="J5" s="91">
        <v>0.741</v>
      </c>
      <c r="K5" s="91">
        <v>0.385</v>
      </c>
      <c r="L5" s="91">
        <v>0.846</v>
      </c>
      <c r="M5" s="91">
        <v>0.803</v>
      </c>
      <c r="N5" s="92">
        <v>43.0</v>
      </c>
      <c r="O5" s="92">
        <v>39.0</v>
      </c>
      <c r="P5" s="92">
        <v>29.0</v>
      </c>
      <c r="Q5" s="92">
        <v>159.0</v>
      </c>
      <c r="R5" s="93"/>
      <c r="S5" s="94">
        <v>0.768</v>
      </c>
      <c r="T5" s="95">
        <v>0.752</v>
      </c>
      <c r="U5" s="95">
        <v>0.712</v>
      </c>
      <c r="V5" s="95">
        <v>0.753</v>
      </c>
      <c r="W5" s="95">
        <v>0.755</v>
      </c>
      <c r="X5" s="94">
        <v>0.419</v>
      </c>
      <c r="Y5" s="94">
        <v>0.814</v>
      </c>
      <c r="Z5" s="94">
        <v>0.827</v>
      </c>
      <c r="AA5" s="96">
        <v>50.0</v>
      </c>
      <c r="AB5" s="97">
        <v>32.0</v>
      </c>
      <c r="AC5" s="97">
        <v>35.0</v>
      </c>
      <c r="AD5" s="98">
        <v>153.0</v>
      </c>
    </row>
    <row r="6">
      <c r="A6" s="7"/>
      <c r="C6" s="99" t="b">
        <v>1</v>
      </c>
      <c r="D6" s="99" t="s">
        <v>43</v>
      </c>
      <c r="E6" s="99" t="s">
        <v>45</v>
      </c>
      <c r="F6" s="100">
        <v>0.751</v>
      </c>
      <c r="G6" s="101">
        <v>0.721</v>
      </c>
      <c r="H6" s="101">
        <v>0.586</v>
      </c>
      <c r="I6" s="101">
        <v>0.68</v>
      </c>
      <c r="J6" s="101">
        <v>0.695</v>
      </c>
      <c r="K6" s="101">
        <v>0.238</v>
      </c>
      <c r="L6" s="101">
        <v>0.926</v>
      </c>
      <c r="M6" s="101">
        <v>0.74</v>
      </c>
      <c r="N6" s="102">
        <v>20.0</v>
      </c>
      <c r="O6" s="102">
        <v>61.0</v>
      </c>
      <c r="P6" s="102">
        <v>14.0</v>
      </c>
      <c r="Q6" s="102">
        <v>174.0</v>
      </c>
      <c r="R6" s="103"/>
      <c r="S6" s="104">
        <v>0.722</v>
      </c>
      <c r="T6" s="105">
        <v>0.729</v>
      </c>
      <c r="U6" s="105">
        <v>0.658</v>
      </c>
      <c r="V6" s="105">
        <v>0.723</v>
      </c>
      <c r="W6" s="105">
        <v>0.719</v>
      </c>
      <c r="X6" s="104">
        <v>0.331</v>
      </c>
      <c r="Y6" s="104">
        <v>0.835</v>
      </c>
      <c r="Z6" s="104">
        <v>0.789</v>
      </c>
      <c r="AA6" s="106">
        <v>39.0</v>
      </c>
      <c r="AB6" s="107">
        <v>42.0</v>
      </c>
      <c r="AC6" s="107">
        <v>31.0</v>
      </c>
      <c r="AD6" s="108">
        <v>157.0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00">
        <v>0.793</v>
      </c>
      <c r="G7" s="101">
        <v>0.71</v>
      </c>
      <c r="H7" s="101">
        <v>0.586</v>
      </c>
      <c r="I7" s="101">
        <v>0.675</v>
      </c>
      <c r="J7" s="101">
        <v>0.681</v>
      </c>
      <c r="K7" s="101">
        <v>0.223</v>
      </c>
      <c r="L7" s="101">
        <v>0.904</v>
      </c>
      <c r="M7" s="101">
        <v>0.738</v>
      </c>
      <c r="N7" s="110">
        <v>22.0</v>
      </c>
      <c r="O7" s="110">
        <v>60.0</v>
      </c>
      <c r="P7" s="110">
        <v>18.0</v>
      </c>
      <c r="Q7" s="110">
        <v>169.0</v>
      </c>
      <c r="R7" s="103"/>
      <c r="S7" s="104">
        <v>0.783</v>
      </c>
      <c r="T7" s="105">
        <v>0.721</v>
      </c>
      <c r="U7" s="105">
        <v>0.666</v>
      </c>
      <c r="V7" s="105">
        <v>0.72</v>
      </c>
      <c r="W7" s="105">
        <v>0.718</v>
      </c>
      <c r="X7" s="104">
        <v>0.335</v>
      </c>
      <c r="Y7" s="104">
        <v>0.807</v>
      </c>
      <c r="Z7" s="104">
        <v>0.795</v>
      </c>
      <c r="AA7" s="111">
        <v>43.0</v>
      </c>
      <c r="AB7" s="112">
        <v>39.0</v>
      </c>
      <c r="AC7" s="112">
        <v>36.0</v>
      </c>
      <c r="AD7" s="113">
        <v>151.0</v>
      </c>
    </row>
    <row r="8">
      <c r="A8" s="7"/>
      <c r="B8" s="114" t="s">
        <v>47</v>
      </c>
      <c r="C8" s="30"/>
      <c r="D8" s="30"/>
      <c r="E8" s="72"/>
      <c r="F8" s="115">
        <f t="shared" ref="F8:Q8" si="1">AVERAGE(F5:F7)</f>
        <v>0.7713333333</v>
      </c>
      <c r="G8" s="115">
        <f t="shared" si="1"/>
        <v>0.7263333333</v>
      </c>
      <c r="H8" s="115">
        <f t="shared" si="1"/>
        <v>0.619</v>
      </c>
      <c r="I8" s="115">
        <f t="shared" si="1"/>
        <v>0.6993333333</v>
      </c>
      <c r="J8" s="115">
        <f t="shared" si="1"/>
        <v>0.7056666667</v>
      </c>
      <c r="K8" s="115">
        <f t="shared" si="1"/>
        <v>0.282</v>
      </c>
      <c r="L8" s="115">
        <f t="shared" si="1"/>
        <v>0.892</v>
      </c>
      <c r="M8" s="115">
        <f t="shared" si="1"/>
        <v>0.7603333333</v>
      </c>
      <c r="N8" s="115">
        <f t="shared" si="1"/>
        <v>28.33333333</v>
      </c>
      <c r="O8" s="115">
        <f t="shared" si="1"/>
        <v>53.33333333</v>
      </c>
      <c r="P8" s="115">
        <f t="shared" si="1"/>
        <v>20.33333333</v>
      </c>
      <c r="Q8" s="115">
        <f t="shared" si="1"/>
        <v>167.3333333</v>
      </c>
      <c r="R8" s="116"/>
      <c r="S8" s="115">
        <f t="shared" ref="S8:AD8" si="2">AVERAGE(S5:S7)</f>
        <v>0.7576666667</v>
      </c>
      <c r="T8" s="117">
        <f t="shared" si="2"/>
        <v>0.734</v>
      </c>
      <c r="U8" s="115">
        <f t="shared" si="2"/>
        <v>0.6786666667</v>
      </c>
      <c r="V8" s="115">
        <f t="shared" si="2"/>
        <v>0.732</v>
      </c>
      <c r="W8" s="115">
        <f t="shared" si="2"/>
        <v>0.7306666667</v>
      </c>
      <c r="X8" s="115">
        <f t="shared" si="2"/>
        <v>0.3616666667</v>
      </c>
      <c r="Y8" s="115">
        <f t="shared" si="2"/>
        <v>0.8186666667</v>
      </c>
      <c r="Z8" s="115">
        <f t="shared" si="2"/>
        <v>0.8036666667</v>
      </c>
      <c r="AA8" s="115">
        <f t="shared" si="2"/>
        <v>44</v>
      </c>
      <c r="AB8" s="115">
        <f t="shared" si="2"/>
        <v>37.66666667</v>
      </c>
      <c r="AC8" s="115">
        <f t="shared" si="2"/>
        <v>34</v>
      </c>
      <c r="AD8" s="118">
        <f t="shared" si="2"/>
        <v>153.6666667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0.02103172207</v>
      </c>
      <c r="G9" s="123">
        <f t="shared" si="3"/>
        <v>0.01955334583</v>
      </c>
      <c r="H9" s="123">
        <f t="shared" si="3"/>
        <v>0.05715767665</v>
      </c>
      <c r="I9" s="123">
        <f t="shared" si="3"/>
        <v>0.03789898855</v>
      </c>
      <c r="J9" s="123">
        <f t="shared" si="3"/>
        <v>0.03139001965</v>
      </c>
      <c r="K9" s="123">
        <f t="shared" si="3"/>
        <v>0.08951536181</v>
      </c>
      <c r="L9" s="123">
        <f t="shared" si="3"/>
        <v>0.04132795664</v>
      </c>
      <c r="M9" s="123">
        <f t="shared" si="3"/>
        <v>0.0369639464</v>
      </c>
      <c r="N9" s="123">
        <f t="shared" si="3"/>
        <v>12.7410099</v>
      </c>
      <c r="O9" s="123">
        <f t="shared" si="3"/>
        <v>12.42309677</v>
      </c>
      <c r="P9" s="123">
        <f t="shared" si="3"/>
        <v>7.767453465</v>
      </c>
      <c r="Q9" s="123">
        <f t="shared" si="3"/>
        <v>7.637626158</v>
      </c>
      <c r="R9" s="123"/>
      <c r="S9" s="123">
        <f t="shared" ref="S9:AD9" si="4">STDEV(S5:S7)</f>
        <v>0.03178574104</v>
      </c>
      <c r="T9" s="123">
        <f t="shared" si="4"/>
        <v>0.01609347694</v>
      </c>
      <c r="U9" s="123">
        <f t="shared" si="4"/>
        <v>0.02914332399</v>
      </c>
      <c r="V9" s="123">
        <f t="shared" si="4"/>
        <v>0.01824828759</v>
      </c>
      <c r="W9" s="123">
        <f t="shared" si="4"/>
        <v>0.02107921567</v>
      </c>
      <c r="X9" s="123">
        <f t="shared" si="4"/>
        <v>0.04969238708</v>
      </c>
      <c r="Y9" s="123">
        <f t="shared" si="4"/>
        <v>0.014571662</v>
      </c>
      <c r="Z9" s="123">
        <f t="shared" si="4"/>
        <v>0.02042873793</v>
      </c>
      <c r="AA9" s="123">
        <f t="shared" si="4"/>
        <v>5.567764363</v>
      </c>
      <c r="AB9" s="123">
        <f t="shared" si="4"/>
        <v>5.131601439</v>
      </c>
      <c r="AC9" s="123">
        <f t="shared" si="4"/>
        <v>2.645751311</v>
      </c>
      <c r="AD9" s="123">
        <f t="shared" si="4"/>
        <v>3.055050463</v>
      </c>
    </row>
    <row r="10">
      <c r="A10" s="87" t="s">
        <v>42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0.766</v>
      </c>
      <c r="G10" s="91">
        <v>0.767</v>
      </c>
      <c r="H10" s="91">
        <v>0.698</v>
      </c>
      <c r="I10" s="91">
        <v>0.759</v>
      </c>
      <c r="J10" s="91">
        <v>0.757</v>
      </c>
      <c r="K10" s="91">
        <v>0.422</v>
      </c>
      <c r="L10" s="91">
        <v>0.872</v>
      </c>
      <c r="M10" s="91">
        <v>0.808</v>
      </c>
      <c r="N10" s="92">
        <v>43.0</v>
      </c>
      <c r="O10" s="92">
        <v>39.0</v>
      </c>
      <c r="P10" s="92">
        <v>24.0</v>
      </c>
      <c r="Q10" s="92">
        <v>164.0</v>
      </c>
      <c r="R10" s="93"/>
      <c r="S10" s="94">
        <v>0.749</v>
      </c>
      <c r="T10" s="95">
        <v>0.737</v>
      </c>
      <c r="U10" s="95">
        <v>0.691</v>
      </c>
      <c r="V10" s="95">
        <v>0.737</v>
      </c>
      <c r="W10" s="95">
        <v>0.738</v>
      </c>
      <c r="X10" s="94">
        <v>0.38</v>
      </c>
      <c r="Y10" s="94">
        <v>0.809</v>
      </c>
      <c r="Z10" s="94">
        <v>0.813</v>
      </c>
      <c r="AA10" s="96">
        <v>47.0</v>
      </c>
      <c r="AB10" s="97">
        <v>35.0</v>
      </c>
      <c r="AC10" s="97">
        <v>37.0</v>
      </c>
      <c r="AD10" s="98">
        <v>152.0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0.751</v>
      </c>
      <c r="G11" s="101">
        <v>0.74</v>
      </c>
      <c r="H11" s="101">
        <v>0.677</v>
      </c>
      <c r="I11" s="101">
        <v>0.736</v>
      </c>
      <c r="J11" s="101">
        <v>0.733</v>
      </c>
      <c r="K11" s="101">
        <v>0.365</v>
      </c>
      <c r="L11" s="101">
        <v>0.835</v>
      </c>
      <c r="M11" s="101">
        <v>0.801</v>
      </c>
      <c r="N11" s="102">
        <v>42.0</v>
      </c>
      <c r="O11" s="102">
        <v>39.0</v>
      </c>
      <c r="P11" s="102">
        <v>31.0</v>
      </c>
      <c r="Q11" s="102">
        <v>157.0</v>
      </c>
      <c r="R11" s="103"/>
      <c r="S11" s="104">
        <v>0.735</v>
      </c>
      <c r="T11" s="105">
        <v>0.699</v>
      </c>
      <c r="U11" s="105">
        <v>0.662</v>
      </c>
      <c r="V11" s="105">
        <v>0.704</v>
      </c>
      <c r="W11" s="105">
        <v>0.711</v>
      </c>
      <c r="X11" s="104">
        <v>0.313</v>
      </c>
      <c r="Y11" s="104">
        <v>0.755</v>
      </c>
      <c r="Z11" s="104">
        <v>0.802</v>
      </c>
      <c r="AA11" s="106">
        <v>46.0</v>
      </c>
      <c r="AB11" s="107">
        <v>35.0</v>
      </c>
      <c r="AC11" s="107">
        <v>46.0</v>
      </c>
      <c r="AD11" s="108">
        <v>142.0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0.673</v>
      </c>
      <c r="G12" s="101">
        <v>0.695</v>
      </c>
      <c r="H12" s="101">
        <v>0.5</v>
      </c>
      <c r="I12" s="101">
        <v>0.57</v>
      </c>
      <c r="J12" s="101">
        <v>0.788</v>
      </c>
      <c r="K12" s="101">
        <v>0.0</v>
      </c>
      <c r="L12" s="101">
        <v>1.0</v>
      </c>
      <c r="M12" s="101">
        <v>0.695</v>
      </c>
      <c r="N12" s="110">
        <v>0.0</v>
      </c>
      <c r="O12" s="110">
        <v>82.0</v>
      </c>
      <c r="P12" s="110">
        <v>0.0</v>
      </c>
      <c r="Q12" s="110">
        <v>187.0</v>
      </c>
      <c r="R12" s="103"/>
      <c r="S12" s="104">
        <v>0.782</v>
      </c>
      <c r="T12" s="105">
        <v>0.721</v>
      </c>
      <c r="U12" s="105">
        <v>0.728</v>
      </c>
      <c r="V12" s="105">
        <v>0.731</v>
      </c>
      <c r="W12" s="105">
        <v>0.762</v>
      </c>
      <c r="X12" s="104">
        <v>0.424</v>
      </c>
      <c r="Y12" s="104">
        <v>0.711</v>
      </c>
      <c r="Z12" s="104">
        <v>0.864</v>
      </c>
      <c r="AA12" s="111">
        <v>61.0</v>
      </c>
      <c r="AB12" s="112">
        <v>21.0</v>
      </c>
      <c r="AC12" s="112">
        <v>54.0</v>
      </c>
      <c r="AD12" s="113">
        <v>133.0</v>
      </c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0.73</v>
      </c>
      <c r="G13" s="115">
        <f t="shared" si="5"/>
        <v>0.734</v>
      </c>
      <c r="H13" s="115">
        <f t="shared" si="5"/>
        <v>0.625</v>
      </c>
      <c r="I13" s="115">
        <f t="shared" si="5"/>
        <v>0.6883333333</v>
      </c>
      <c r="J13" s="115">
        <f t="shared" si="5"/>
        <v>0.7593333333</v>
      </c>
      <c r="K13" s="115">
        <f t="shared" si="5"/>
        <v>0.2623333333</v>
      </c>
      <c r="L13" s="115">
        <f t="shared" si="5"/>
        <v>0.9023333333</v>
      </c>
      <c r="M13" s="115">
        <f t="shared" si="5"/>
        <v>0.768</v>
      </c>
      <c r="N13" s="115">
        <f t="shared" si="5"/>
        <v>28.33333333</v>
      </c>
      <c r="O13" s="115">
        <f t="shared" si="5"/>
        <v>53.33333333</v>
      </c>
      <c r="P13" s="115">
        <f t="shared" si="5"/>
        <v>18.33333333</v>
      </c>
      <c r="Q13" s="115">
        <f t="shared" si="5"/>
        <v>169.3333333</v>
      </c>
      <c r="R13" s="116"/>
      <c r="S13" s="117">
        <f t="shared" ref="S13:AD13" si="6">AVERAGE(S10:S12)</f>
        <v>0.7553333333</v>
      </c>
      <c r="T13" s="115">
        <f t="shared" si="6"/>
        <v>0.719</v>
      </c>
      <c r="U13" s="115">
        <f t="shared" si="6"/>
        <v>0.6936666667</v>
      </c>
      <c r="V13" s="117">
        <f t="shared" si="6"/>
        <v>0.724</v>
      </c>
      <c r="W13" s="115">
        <f t="shared" si="6"/>
        <v>0.737</v>
      </c>
      <c r="X13" s="115">
        <f t="shared" si="6"/>
        <v>0.3723333333</v>
      </c>
      <c r="Y13" s="115">
        <f t="shared" si="6"/>
        <v>0.7583333333</v>
      </c>
      <c r="Z13" s="115">
        <f t="shared" si="6"/>
        <v>0.8263333333</v>
      </c>
      <c r="AA13" s="115">
        <f t="shared" si="6"/>
        <v>51.33333333</v>
      </c>
      <c r="AB13" s="115">
        <f t="shared" si="6"/>
        <v>30.33333333</v>
      </c>
      <c r="AC13" s="115">
        <f t="shared" si="6"/>
        <v>45.66666667</v>
      </c>
      <c r="AD13" s="118">
        <f t="shared" si="6"/>
        <v>142.3333333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0.04992995093</v>
      </c>
      <c r="G14" s="123">
        <f t="shared" si="7"/>
        <v>0.03637306696</v>
      </c>
      <c r="H14" s="123">
        <f t="shared" si="7"/>
        <v>0.1087612063</v>
      </c>
      <c r="I14" s="123">
        <f t="shared" si="7"/>
        <v>0.103122904</v>
      </c>
      <c r="J14" s="123">
        <f t="shared" si="7"/>
        <v>0.02757414248</v>
      </c>
      <c r="K14" s="123">
        <f t="shared" si="7"/>
        <v>0.2289679745</v>
      </c>
      <c r="L14" s="123">
        <f t="shared" si="7"/>
        <v>0.08658136828</v>
      </c>
      <c r="M14" s="123">
        <f t="shared" si="7"/>
        <v>0.06331666447</v>
      </c>
      <c r="N14" s="123">
        <f t="shared" si="7"/>
        <v>24.54248018</v>
      </c>
      <c r="O14" s="123">
        <f t="shared" si="7"/>
        <v>24.82606158</v>
      </c>
      <c r="P14" s="123">
        <f t="shared" si="7"/>
        <v>16.2583312</v>
      </c>
      <c r="Q14" s="123">
        <f t="shared" si="7"/>
        <v>15.69500982</v>
      </c>
      <c r="R14" s="123"/>
      <c r="S14" s="123">
        <f t="shared" ref="S14:AD14" si="8">STDEV(S10:S12)</f>
        <v>0.02413158373</v>
      </c>
      <c r="T14" s="123">
        <f t="shared" si="8"/>
        <v>0.01907878403</v>
      </c>
      <c r="U14" s="123">
        <f t="shared" si="8"/>
        <v>0.03308070938</v>
      </c>
      <c r="V14" s="123">
        <f t="shared" si="8"/>
        <v>0.01757839583</v>
      </c>
      <c r="W14" s="123">
        <f t="shared" si="8"/>
        <v>0.02551470164</v>
      </c>
      <c r="X14" s="123">
        <f t="shared" si="8"/>
        <v>0.05589573627</v>
      </c>
      <c r="Y14" s="123">
        <f t="shared" si="8"/>
        <v>0.04908496036</v>
      </c>
      <c r="Z14" s="123">
        <f t="shared" si="8"/>
        <v>0.03308070938</v>
      </c>
      <c r="AA14" s="123">
        <f t="shared" si="8"/>
        <v>8.386497084</v>
      </c>
      <c r="AB14" s="123">
        <f t="shared" si="8"/>
        <v>8.082903769</v>
      </c>
      <c r="AC14" s="123">
        <f t="shared" si="8"/>
        <v>8.504900548</v>
      </c>
      <c r="AD14" s="123">
        <f t="shared" si="8"/>
        <v>9.504384953</v>
      </c>
    </row>
    <row r="15">
      <c r="A15" s="87" t="s">
        <v>42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0.753</v>
      </c>
      <c r="G15" s="91">
        <v>0.73</v>
      </c>
      <c r="H15" s="91">
        <v>0.661</v>
      </c>
      <c r="I15" s="91">
        <v>0.724</v>
      </c>
      <c r="J15" s="91">
        <v>0.72</v>
      </c>
      <c r="K15" s="91">
        <v>0.337</v>
      </c>
      <c r="L15" s="91">
        <v>0.835</v>
      </c>
      <c r="M15" s="91">
        <v>0.789</v>
      </c>
      <c r="N15" s="92">
        <v>40.0</v>
      </c>
      <c r="O15" s="92">
        <v>42.0</v>
      </c>
      <c r="P15" s="92">
        <v>31.0</v>
      </c>
      <c r="Q15" s="92">
        <v>157.0</v>
      </c>
      <c r="R15" s="93"/>
      <c r="S15" s="94">
        <v>0.782</v>
      </c>
      <c r="T15" s="95">
        <v>0.715</v>
      </c>
      <c r="U15" s="95">
        <v>0.733</v>
      </c>
      <c r="V15" s="95">
        <v>0.726</v>
      </c>
      <c r="W15" s="95">
        <v>0.769</v>
      </c>
      <c r="X15" s="94">
        <v>0.431</v>
      </c>
      <c r="Y15" s="94">
        <v>0.686</v>
      </c>
      <c r="Z15" s="94">
        <v>0.878</v>
      </c>
      <c r="AA15" s="96">
        <v>64.0</v>
      </c>
      <c r="AB15" s="97">
        <v>18.0</v>
      </c>
      <c r="AC15" s="97">
        <v>59.0</v>
      </c>
      <c r="AD15" s="98">
        <v>129.0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0.761</v>
      </c>
      <c r="G16" s="101">
        <v>0.732</v>
      </c>
      <c r="H16" s="101">
        <v>0.679</v>
      </c>
      <c r="I16" s="101">
        <v>0.731</v>
      </c>
      <c r="J16" s="101">
        <v>0.73</v>
      </c>
      <c r="K16" s="101">
        <v>0.36</v>
      </c>
      <c r="L16" s="101">
        <v>0.814</v>
      </c>
      <c r="M16" s="101">
        <v>0.805</v>
      </c>
      <c r="N16" s="102">
        <v>44.0</v>
      </c>
      <c r="O16" s="102">
        <v>37.0</v>
      </c>
      <c r="P16" s="102">
        <v>35.0</v>
      </c>
      <c r="Q16" s="102">
        <v>153.0</v>
      </c>
      <c r="R16" s="103"/>
      <c r="S16" s="104">
        <v>0.755</v>
      </c>
      <c r="T16" s="105">
        <v>0.74</v>
      </c>
      <c r="U16" s="105">
        <v>0.659</v>
      </c>
      <c r="V16" s="105">
        <v>0.729</v>
      </c>
      <c r="W16" s="105">
        <v>0.726</v>
      </c>
      <c r="X16" s="104">
        <v>0.345</v>
      </c>
      <c r="Y16" s="104">
        <v>0.862</v>
      </c>
      <c r="Z16" s="104">
        <v>0.786</v>
      </c>
      <c r="AA16" s="106">
        <v>37.0</v>
      </c>
      <c r="AB16" s="107">
        <v>44.0</v>
      </c>
      <c r="AC16" s="107">
        <v>26.0</v>
      </c>
      <c r="AD16" s="108">
        <v>162.0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0.759</v>
      </c>
      <c r="G17" s="101">
        <v>0.714</v>
      </c>
      <c r="H17" s="101">
        <v>0.578</v>
      </c>
      <c r="I17" s="101">
        <v>0.669</v>
      </c>
      <c r="J17" s="101">
        <v>0.685</v>
      </c>
      <c r="K17" s="101">
        <v>0.22</v>
      </c>
      <c r="L17" s="101">
        <v>0.925</v>
      </c>
      <c r="M17" s="101">
        <v>0.733</v>
      </c>
      <c r="N17" s="110">
        <v>19.0</v>
      </c>
      <c r="O17" s="110">
        <v>63.0</v>
      </c>
      <c r="P17" s="110">
        <v>14.0</v>
      </c>
      <c r="Q17" s="110">
        <v>173.0</v>
      </c>
      <c r="R17" s="103"/>
      <c r="S17" s="104">
        <v>0.777</v>
      </c>
      <c r="T17" s="105">
        <v>0.717</v>
      </c>
      <c r="U17" s="105">
        <v>0.656</v>
      </c>
      <c r="V17" s="105">
        <v>0.714</v>
      </c>
      <c r="W17" s="105">
        <v>0.712</v>
      </c>
      <c r="X17" s="104">
        <v>0.32</v>
      </c>
      <c r="Y17" s="104">
        <v>0.813</v>
      </c>
      <c r="Z17" s="104">
        <v>0.788</v>
      </c>
      <c r="AA17" s="111">
        <v>41.0</v>
      </c>
      <c r="AB17" s="112">
        <v>41.0</v>
      </c>
      <c r="AC17" s="112">
        <v>35.0</v>
      </c>
      <c r="AD17" s="113">
        <v>152.0</v>
      </c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0.7576666667</v>
      </c>
      <c r="G18" s="115">
        <f t="shared" si="9"/>
        <v>0.7253333333</v>
      </c>
      <c r="H18" s="117">
        <f t="shared" si="9"/>
        <v>0.6393333333</v>
      </c>
      <c r="I18" s="115">
        <f t="shared" si="9"/>
        <v>0.708</v>
      </c>
      <c r="J18" s="115">
        <f t="shared" si="9"/>
        <v>0.7116666667</v>
      </c>
      <c r="K18" s="115">
        <f t="shared" si="9"/>
        <v>0.3056666667</v>
      </c>
      <c r="L18" s="115">
        <f t="shared" si="9"/>
        <v>0.858</v>
      </c>
      <c r="M18" s="115">
        <f t="shared" si="9"/>
        <v>0.7756666667</v>
      </c>
      <c r="N18" s="117">
        <f t="shared" si="9"/>
        <v>34.33333333</v>
      </c>
      <c r="O18" s="117">
        <f t="shared" si="9"/>
        <v>47.33333333</v>
      </c>
      <c r="P18" s="115">
        <f t="shared" si="9"/>
        <v>26.66666667</v>
      </c>
      <c r="Q18" s="115">
        <f t="shared" si="9"/>
        <v>161</v>
      </c>
      <c r="R18" s="116"/>
      <c r="S18" s="115">
        <f t="shared" ref="S18:AD18" si="10">AVERAGE(S15:S17)</f>
        <v>0.7713333333</v>
      </c>
      <c r="T18" s="115">
        <f t="shared" si="10"/>
        <v>0.724</v>
      </c>
      <c r="U18" s="115">
        <f t="shared" si="10"/>
        <v>0.6826666667</v>
      </c>
      <c r="V18" s="115">
        <f t="shared" si="10"/>
        <v>0.723</v>
      </c>
      <c r="W18" s="115">
        <f t="shared" si="10"/>
        <v>0.7356666667</v>
      </c>
      <c r="X18" s="115">
        <f t="shared" si="10"/>
        <v>0.3653333333</v>
      </c>
      <c r="Y18" s="115">
        <f t="shared" si="10"/>
        <v>0.787</v>
      </c>
      <c r="Z18" s="115">
        <f t="shared" si="10"/>
        <v>0.8173333333</v>
      </c>
      <c r="AA18" s="115">
        <f t="shared" si="10"/>
        <v>47.33333333</v>
      </c>
      <c r="AB18" s="115">
        <f t="shared" si="10"/>
        <v>34.33333333</v>
      </c>
      <c r="AC18" s="115">
        <f t="shared" si="10"/>
        <v>40</v>
      </c>
      <c r="AD18" s="118">
        <f t="shared" si="10"/>
        <v>147.6666667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0.004163331999</v>
      </c>
      <c r="G19" s="123">
        <f t="shared" si="11"/>
        <v>0.009865765725</v>
      </c>
      <c r="H19" s="123">
        <f t="shared" si="11"/>
        <v>0.05387330817</v>
      </c>
      <c r="I19" s="123">
        <f t="shared" si="11"/>
        <v>0.03395585369</v>
      </c>
      <c r="J19" s="123">
        <f t="shared" si="11"/>
        <v>0.02362907813</v>
      </c>
      <c r="K19" s="123">
        <f t="shared" si="11"/>
        <v>0.07507551754</v>
      </c>
      <c r="L19" s="123">
        <f t="shared" si="11"/>
        <v>0.05896609195</v>
      </c>
      <c r="M19" s="123">
        <f t="shared" si="11"/>
        <v>0.03780652501</v>
      </c>
      <c r="N19" s="123">
        <f t="shared" si="11"/>
        <v>13.42882472</v>
      </c>
      <c r="O19" s="123">
        <f t="shared" si="11"/>
        <v>13.79613472</v>
      </c>
      <c r="P19" s="123">
        <f t="shared" si="11"/>
        <v>11.15048579</v>
      </c>
      <c r="Q19" s="123">
        <f t="shared" si="11"/>
        <v>10.58300524</v>
      </c>
      <c r="R19" s="123"/>
      <c r="S19" s="123">
        <f t="shared" ref="S19:AD19" si="12">STDEV(S15:S17)</f>
        <v>0.01436430762</v>
      </c>
      <c r="T19" s="123">
        <f t="shared" si="12"/>
        <v>0.01389244399</v>
      </c>
      <c r="U19" s="123">
        <f t="shared" si="12"/>
        <v>0.04361574639</v>
      </c>
      <c r="V19" s="123">
        <f t="shared" si="12"/>
        <v>0.007937253933</v>
      </c>
      <c r="W19" s="123">
        <f t="shared" si="12"/>
        <v>0.02970409624</v>
      </c>
      <c r="X19" s="123">
        <f t="shared" si="12"/>
        <v>0.05822656896</v>
      </c>
      <c r="Y19" s="123">
        <f t="shared" si="12"/>
        <v>0.09083501527</v>
      </c>
      <c r="Z19" s="123">
        <f t="shared" si="12"/>
        <v>0.0525483904</v>
      </c>
      <c r="AA19" s="123">
        <f t="shared" si="12"/>
        <v>14.571662</v>
      </c>
      <c r="AB19" s="123">
        <f t="shared" si="12"/>
        <v>14.2243922</v>
      </c>
      <c r="AC19" s="123">
        <f t="shared" si="12"/>
        <v>17.05872211</v>
      </c>
      <c r="AD19" s="123">
        <f t="shared" si="12"/>
        <v>16.92138686</v>
      </c>
    </row>
    <row r="20">
      <c r="A20" s="87" t="s">
        <v>42</v>
      </c>
      <c r="B20" s="88">
        <v>2025.0</v>
      </c>
      <c r="C20" s="89" t="b">
        <v>1</v>
      </c>
      <c r="D20" s="89" t="s">
        <v>43</v>
      </c>
      <c r="E20" s="89" t="s">
        <v>44</v>
      </c>
      <c r="F20" s="124">
        <v>0.751</v>
      </c>
      <c r="G20" s="125">
        <v>0.73</v>
      </c>
      <c r="H20" s="125">
        <v>0.696</v>
      </c>
      <c r="I20" s="125">
        <v>0.733</v>
      </c>
      <c r="J20" s="125">
        <v>0.739</v>
      </c>
      <c r="K20" s="125">
        <v>0.381</v>
      </c>
      <c r="L20" s="125">
        <v>0.782</v>
      </c>
      <c r="M20" s="125">
        <v>0.821</v>
      </c>
      <c r="N20" s="126">
        <v>50.0</v>
      </c>
      <c r="O20" s="126">
        <v>32.0</v>
      </c>
      <c r="P20" s="126">
        <v>41.0</v>
      </c>
      <c r="Q20" s="126">
        <v>147.0</v>
      </c>
      <c r="R20" s="127"/>
      <c r="S20" s="128">
        <v>0.768</v>
      </c>
      <c r="T20" s="129">
        <v>0.744</v>
      </c>
      <c r="U20" s="129">
        <v>0.696</v>
      </c>
      <c r="V20" s="129">
        <v>0.744</v>
      </c>
      <c r="W20" s="129">
        <v>0.744</v>
      </c>
      <c r="X20" s="128">
        <v>0.394</v>
      </c>
      <c r="Y20" s="128">
        <v>0.819</v>
      </c>
      <c r="Z20" s="128">
        <v>0.815</v>
      </c>
      <c r="AA20" s="130">
        <v>47.0</v>
      </c>
      <c r="AB20" s="131">
        <v>35.0</v>
      </c>
      <c r="AC20" s="131">
        <v>34.0</v>
      </c>
      <c r="AD20" s="132">
        <v>154.0</v>
      </c>
    </row>
    <row r="21">
      <c r="A21" s="7"/>
      <c r="C21" s="99" t="b">
        <v>1</v>
      </c>
      <c r="D21" s="99" t="s">
        <v>43</v>
      </c>
      <c r="E21" s="99" t="s">
        <v>45</v>
      </c>
      <c r="F21" s="133">
        <v>0.744</v>
      </c>
      <c r="G21" s="134">
        <v>0.714</v>
      </c>
      <c r="H21" s="134">
        <v>0.672</v>
      </c>
      <c r="I21" s="134">
        <v>0.717</v>
      </c>
      <c r="J21" s="134">
        <v>0.721</v>
      </c>
      <c r="K21" s="134">
        <v>0.337</v>
      </c>
      <c r="L21" s="134">
        <v>0.777</v>
      </c>
      <c r="M21" s="134">
        <v>0.807</v>
      </c>
      <c r="N21" s="135">
        <v>46.0</v>
      </c>
      <c r="O21" s="135">
        <v>35.0</v>
      </c>
      <c r="P21" s="135">
        <v>42.0</v>
      </c>
      <c r="Q21" s="135">
        <v>146.0</v>
      </c>
      <c r="R21" s="136"/>
      <c r="S21" s="137">
        <v>0.724</v>
      </c>
      <c r="T21" s="138">
        <v>0.703</v>
      </c>
      <c r="U21" s="138">
        <v>0.608</v>
      </c>
      <c r="V21" s="138">
        <v>0.687</v>
      </c>
      <c r="W21" s="138">
        <v>0.682</v>
      </c>
      <c r="X21" s="137">
        <v>0.24</v>
      </c>
      <c r="Y21" s="137">
        <v>0.846</v>
      </c>
      <c r="Z21" s="137">
        <v>0.757</v>
      </c>
      <c r="AA21" s="139">
        <v>30.0</v>
      </c>
      <c r="AB21" s="140">
        <v>51.0</v>
      </c>
      <c r="AC21" s="140">
        <v>29.0</v>
      </c>
      <c r="AD21" s="141">
        <v>159.0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42">
        <v>0.797</v>
      </c>
      <c r="G22" s="143">
        <v>0.729</v>
      </c>
      <c r="H22" s="143">
        <v>0.569</v>
      </c>
      <c r="I22" s="143">
        <v>0.66</v>
      </c>
      <c r="J22" s="143">
        <v>0.738</v>
      </c>
      <c r="K22" s="143">
        <v>0.259</v>
      </c>
      <c r="L22" s="143">
        <v>0.979</v>
      </c>
      <c r="M22" s="143">
        <v>0.726</v>
      </c>
      <c r="N22" s="144">
        <v>13.0</v>
      </c>
      <c r="O22" s="144">
        <v>69.0</v>
      </c>
      <c r="P22" s="144">
        <v>4.0</v>
      </c>
      <c r="Q22" s="144">
        <v>183.0</v>
      </c>
      <c r="R22" s="145"/>
      <c r="S22" s="146">
        <v>0.766</v>
      </c>
      <c r="T22" s="147">
        <v>0.721</v>
      </c>
      <c r="U22" s="147">
        <v>0.666</v>
      </c>
      <c r="V22" s="147">
        <v>0.72</v>
      </c>
      <c r="W22" s="147">
        <v>0.718</v>
      </c>
      <c r="X22" s="146">
        <v>0.335</v>
      </c>
      <c r="Y22" s="146">
        <v>0.807</v>
      </c>
      <c r="Z22" s="146">
        <v>0.795</v>
      </c>
      <c r="AA22" s="148">
        <v>43.0</v>
      </c>
      <c r="AB22" s="149">
        <v>39.0</v>
      </c>
      <c r="AC22" s="149">
        <v>36.0</v>
      </c>
      <c r="AD22" s="150">
        <v>151.0</v>
      </c>
    </row>
    <row r="23">
      <c r="A23" s="7"/>
      <c r="B23" s="114" t="s">
        <v>47</v>
      </c>
      <c r="C23" s="30"/>
      <c r="D23" s="30"/>
      <c r="E23" s="72"/>
      <c r="F23" s="151">
        <f t="shared" ref="F23:Q23" si="13">AVERAGE(F20:F22)</f>
        <v>0.764</v>
      </c>
      <c r="G23" s="151">
        <f t="shared" si="13"/>
        <v>0.7243333333</v>
      </c>
      <c r="H23" s="151">
        <f t="shared" si="13"/>
        <v>0.6456666667</v>
      </c>
      <c r="I23" s="151">
        <f t="shared" si="13"/>
        <v>0.7033333333</v>
      </c>
      <c r="J23" s="151">
        <f t="shared" si="13"/>
        <v>0.7326666667</v>
      </c>
      <c r="K23" s="151">
        <f t="shared" si="13"/>
        <v>0.3256666667</v>
      </c>
      <c r="L23" s="151">
        <f t="shared" si="13"/>
        <v>0.846</v>
      </c>
      <c r="M23" s="151">
        <f t="shared" si="13"/>
        <v>0.7846666667</v>
      </c>
      <c r="N23" s="151">
        <f t="shared" si="13"/>
        <v>36.33333333</v>
      </c>
      <c r="O23" s="151">
        <f t="shared" si="13"/>
        <v>45.33333333</v>
      </c>
      <c r="P23" s="151">
        <f t="shared" si="13"/>
        <v>29</v>
      </c>
      <c r="Q23" s="151">
        <f t="shared" si="13"/>
        <v>158.6666667</v>
      </c>
      <c r="R23" s="152"/>
      <c r="S23" s="151">
        <f t="shared" ref="S23:AD23" si="14">AVERAGE(S20:S22)</f>
        <v>0.7526666667</v>
      </c>
      <c r="T23" s="151">
        <f t="shared" si="14"/>
        <v>0.7226666667</v>
      </c>
      <c r="U23" s="151">
        <f t="shared" si="14"/>
        <v>0.6566666667</v>
      </c>
      <c r="V23" s="151">
        <f t="shared" si="14"/>
        <v>0.717</v>
      </c>
      <c r="W23" s="151">
        <f t="shared" si="14"/>
        <v>0.7146666667</v>
      </c>
      <c r="X23" s="151">
        <f t="shared" si="14"/>
        <v>0.323</v>
      </c>
      <c r="Y23" s="151">
        <f t="shared" si="14"/>
        <v>0.824</v>
      </c>
      <c r="Z23" s="151">
        <f t="shared" si="14"/>
        <v>0.789</v>
      </c>
      <c r="AA23" s="151">
        <f t="shared" si="14"/>
        <v>40</v>
      </c>
      <c r="AB23" s="151">
        <f t="shared" si="14"/>
        <v>41.66666667</v>
      </c>
      <c r="AC23" s="151">
        <f t="shared" si="14"/>
        <v>33</v>
      </c>
      <c r="AD23" s="153">
        <f t="shared" si="14"/>
        <v>154.6666667</v>
      </c>
    </row>
    <row r="24">
      <c r="A24" s="119"/>
      <c r="B24" s="120" t="s">
        <v>48</v>
      </c>
      <c r="C24" s="121"/>
      <c r="D24" s="121"/>
      <c r="E24" s="122"/>
      <c r="F24" s="154">
        <f>STDEV(F20:F22)</f>
        <v>0.0287923601</v>
      </c>
      <c r="G24" s="154">
        <f t="shared" ref="G24:Q24" si="15">STDEV(G20:G23)</f>
        <v>0.007318166133</v>
      </c>
      <c r="H24" s="154">
        <f t="shared" si="15"/>
        <v>0.05508982564</v>
      </c>
      <c r="I24" s="154">
        <f t="shared" si="15"/>
        <v>0.03132978703</v>
      </c>
      <c r="J24" s="154">
        <f t="shared" si="15"/>
        <v>0.008259674462</v>
      </c>
      <c r="K24" s="154">
        <f t="shared" si="15"/>
        <v>0.05044689177</v>
      </c>
      <c r="L24" s="154">
        <f t="shared" si="15"/>
        <v>0.09406735176</v>
      </c>
      <c r="M24" s="154">
        <f t="shared" si="15"/>
        <v>0.04187547678</v>
      </c>
      <c r="N24" s="154">
        <f t="shared" si="15"/>
        <v>16.57977349</v>
      </c>
      <c r="O24" s="154">
        <f t="shared" si="15"/>
        <v>16.77961726</v>
      </c>
      <c r="P24" s="154">
        <f t="shared" si="15"/>
        <v>17.68238295</v>
      </c>
      <c r="Q24" s="154">
        <f t="shared" si="15"/>
        <v>17.21110752</v>
      </c>
      <c r="R24" s="155"/>
      <c r="S24" s="154">
        <f t="shared" ref="S24:AD24" si="16">STDEV(S20:S23)</f>
        <v>0.02028683207</v>
      </c>
      <c r="T24" s="154">
        <f t="shared" si="16"/>
        <v>0.01677961726</v>
      </c>
      <c r="U24" s="154">
        <f t="shared" si="16"/>
        <v>0.03652700675</v>
      </c>
      <c r="V24" s="154">
        <f t="shared" si="16"/>
        <v>0.02336664289</v>
      </c>
      <c r="W24" s="154">
        <f t="shared" si="16"/>
        <v>0.02542090129</v>
      </c>
      <c r="X24" s="154">
        <f t="shared" si="16"/>
        <v>0.06344026061</v>
      </c>
      <c r="Y24" s="154">
        <f t="shared" si="16"/>
        <v>0.01630950643</v>
      </c>
      <c r="Z24" s="154">
        <f t="shared" si="16"/>
        <v>0.0240554914</v>
      </c>
      <c r="AA24" s="154">
        <f t="shared" si="16"/>
        <v>7.257180352</v>
      </c>
      <c r="AB24" s="154">
        <f t="shared" si="16"/>
        <v>6.798692685</v>
      </c>
      <c r="AC24" s="154">
        <f t="shared" si="16"/>
        <v>2.943920289</v>
      </c>
      <c r="AD24" s="156">
        <f t="shared" si="16"/>
        <v>3.299831646</v>
      </c>
    </row>
    <row r="25">
      <c r="A25" s="87" t="s">
        <v>42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0.791</v>
      </c>
      <c r="G25" s="91">
        <v>0.752</v>
      </c>
      <c r="H25" s="91">
        <v>0.708</v>
      </c>
      <c r="I25" s="91">
        <v>0.752</v>
      </c>
      <c r="J25" s="91">
        <v>0.753</v>
      </c>
      <c r="K25" s="91">
        <v>0.415</v>
      </c>
      <c r="L25" s="91">
        <v>0.819</v>
      </c>
      <c r="M25" s="91">
        <v>0.824</v>
      </c>
      <c r="N25" s="92">
        <v>49.0</v>
      </c>
      <c r="O25" s="92">
        <v>33.0</v>
      </c>
      <c r="P25" s="92">
        <v>34.0</v>
      </c>
      <c r="Q25" s="92">
        <v>154.0</v>
      </c>
      <c r="R25" s="93"/>
      <c r="S25" s="94">
        <v>0.78</v>
      </c>
      <c r="T25" s="95">
        <v>0.73</v>
      </c>
      <c r="U25" s="95">
        <v>0.713</v>
      </c>
      <c r="V25" s="95">
        <v>0.736</v>
      </c>
      <c r="W25" s="95">
        <v>0.75</v>
      </c>
      <c r="X25" s="94">
        <v>0.405</v>
      </c>
      <c r="Y25" s="94">
        <v>0.755</v>
      </c>
      <c r="Z25" s="94">
        <v>0.84</v>
      </c>
      <c r="AA25" s="96">
        <v>55.0</v>
      </c>
      <c r="AB25" s="97">
        <v>27.0</v>
      </c>
      <c r="AC25" s="97">
        <v>46.0</v>
      </c>
      <c r="AD25" s="98">
        <v>142.0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0.762</v>
      </c>
      <c r="G26" s="101">
        <v>0.747</v>
      </c>
      <c r="H26" s="101">
        <v>0.682</v>
      </c>
      <c r="I26" s="101">
        <v>0.742</v>
      </c>
      <c r="J26" s="101">
        <v>0.739</v>
      </c>
      <c r="K26" s="101">
        <v>0.379</v>
      </c>
      <c r="L26" s="101">
        <v>0.846</v>
      </c>
      <c r="M26" s="101">
        <v>0.803</v>
      </c>
      <c r="N26" s="102">
        <v>42.0</v>
      </c>
      <c r="O26" s="102">
        <v>39.0</v>
      </c>
      <c r="P26" s="102">
        <v>29.0</v>
      </c>
      <c r="Q26" s="102">
        <v>159.0</v>
      </c>
      <c r="R26" s="103"/>
      <c r="S26" s="104">
        <v>0.75</v>
      </c>
      <c r="T26" s="105">
        <v>0.732</v>
      </c>
      <c r="U26" s="105">
        <v>0.689</v>
      </c>
      <c r="V26" s="105">
        <v>0.734</v>
      </c>
      <c r="W26" s="105">
        <v>0.736</v>
      </c>
      <c r="X26" s="104">
        <v>0.373</v>
      </c>
      <c r="Y26" s="104">
        <v>0.798</v>
      </c>
      <c r="Z26" s="104">
        <v>0.815</v>
      </c>
      <c r="AA26" s="106">
        <v>47.0</v>
      </c>
      <c r="AB26" s="107">
        <v>34.0</v>
      </c>
      <c r="AC26" s="107">
        <v>38.0</v>
      </c>
      <c r="AD26" s="108">
        <v>150.0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0.797</v>
      </c>
      <c r="G27" s="100">
        <v>0.729</v>
      </c>
      <c r="H27" s="157">
        <v>0.661</v>
      </c>
      <c r="I27" s="157">
        <v>0.723</v>
      </c>
      <c r="J27" s="100">
        <v>0.719</v>
      </c>
      <c r="K27" s="157">
        <v>0.336</v>
      </c>
      <c r="L27" s="100">
        <v>0.834</v>
      </c>
      <c r="M27" s="157">
        <v>0.788</v>
      </c>
      <c r="N27" s="102">
        <v>40.0</v>
      </c>
      <c r="O27" s="102">
        <v>42.0</v>
      </c>
      <c r="P27" s="102">
        <v>31.0</v>
      </c>
      <c r="Q27" s="102">
        <v>156.0</v>
      </c>
      <c r="R27" s="116"/>
      <c r="S27" s="100">
        <v>0.782</v>
      </c>
      <c r="T27" s="100">
        <v>0.725</v>
      </c>
      <c r="U27" s="100">
        <v>0.641</v>
      </c>
      <c r="V27" s="100">
        <v>0.713</v>
      </c>
      <c r="W27" s="100">
        <v>0.709</v>
      </c>
      <c r="X27" s="100">
        <v>0.309</v>
      </c>
      <c r="Y27" s="100">
        <v>0.856</v>
      </c>
      <c r="Z27" s="100">
        <v>0.773</v>
      </c>
      <c r="AA27" s="106">
        <v>35.0</v>
      </c>
      <c r="AB27" s="107">
        <v>47.0</v>
      </c>
      <c r="AC27" s="107">
        <v>27.0</v>
      </c>
      <c r="AD27" s="108">
        <v>160.0</v>
      </c>
    </row>
    <row r="28">
      <c r="A28" s="7"/>
      <c r="B28" s="114" t="s">
        <v>47</v>
      </c>
      <c r="C28" s="30"/>
      <c r="D28" s="30"/>
      <c r="E28" s="72"/>
      <c r="F28" s="158">
        <f t="shared" ref="F28:Q28" si="17">AVERAGE(F25:F27)</f>
        <v>0.7833333333</v>
      </c>
      <c r="G28" s="159">
        <f t="shared" si="17"/>
        <v>0.7426666667</v>
      </c>
      <c r="H28" s="61">
        <f t="shared" si="17"/>
        <v>0.6836666667</v>
      </c>
      <c r="I28" s="159">
        <f t="shared" si="17"/>
        <v>0.739</v>
      </c>
      <c r="J28" s="159">
        <f t="shared" si="17"/>
        <v>0.737</v>
      </c>
      <c r="K28" s="61">
        <f t="shared" si="17"/>
        <v>0.3766666667</v>
      </c>
      <c r="L28" s="159">
        <f t="shared" si="17"/>
        <v>0.833</v>
      </c>
      <c r="M28" s="158">
        <f t="shared" si="17"/>
        <v>0.805</v>
      </c>
      <c r="N28" s="158">
        <f t="shared" si="17"/>
        <v>43.66666667</v>
      </c>
      <c r="O28" s="158">
        <f t="shared" si="17"/>
        <v>38</v>
      </c>
      <c r="P28" s="159">
        <f t="shared" si="17"/>
        <v>31.33333333</v>
      </c>
      <c r="Q28" s="159">
        <f t="shared" si="17"/>
        <v>156.3333333</v>
      </c>
      <c r="R28" s="160"/>
      <c r="S28" s="159">
        <f t="shared" ref="S28:AD28" si="18">AVERAGE(S25:S27)</f>
        <v>0.7706666667</v>
      </c>
      <c r="T28" s="159">
        <f t="shared" si="18"/>
        <v>0.729</v>
      </c>
      <c r="U28" s="159">
        <f t="shared" si="18"/>
        <v>0.681</v>
      </c>
      <c r="V28" s="159">
        <f t="shared" si="18"/>
        <v>0.7276666667</v>
      </c>
      <c r="W28" s="159">
        <f t="shared" si="18"/>
        <v>0.7316666667</v>
      </c>
      <c r="X28" s="159">
        <f t="shared" si="18"/>
        <v>0.3623333333</v>
      </c>
      <c r="Y28" s="159">
        <f t="shared" si="18"/>
        <v>0.803</v>
      </c>
      <c r="Z28" s="159">
        <f t="shared" si="18"/>
        <v>0.8093333333</v>
      </c>
      <c r="AA28" s="159">
        <f t="shared" si="18"/>
        <v>45.66666667</v>
      </c>
      <c r="AB28" s="159">
        <f t="shared" si="18"/>
        <v>36</v>
      </c>
      <c r="AC28" s="159">
        <f t="shared" si="18"/>
        <v>37</v>
      </c>
      <c r="AD28" s="159">
        <f t="shared" si="18"/>
        <v>150.6666667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0.01871719352</v>
      </c>
      <c r="G29" s="123">
        <f t="shared" si="19"/>
        <v>0.01209683154</v>
      </c>
      <c r="H29" s="123">
        <f t="shared" si="19"/>
        <v>0.02354428452</v>
      </c>
      <c r="I29" s="123">
        <f t="shared" si="19"/>
        <v>0.01473091986</v>
      </c>
      <c r="J29" s="123">
        <f t="shared" si="19"/>
        <v>0.01708800749</v>
      </c>
      <c r="K29" s="123">
        <f t="shared" si="19"/>
        <v>0.03955165399</v>
      </c>
      <c r="L29" s="123">
        <f t="shared" si="19"/>
        <v>0.01352774926</v>
      </c>
      <c r="M29" s="123">
        <f t="shared" si="19"/>
        <v>0.01808314132</v>
      </c>
      <c r="N29" s="123">
        <f t="shared" si="19"/>
        <v>4.725815626</v>
      </c>
      <c r="O29" s="123">
        <f t="shared" si="19"/>
        <v>4.582575695</v>
      </c>
      <c r="P29" s="123">
        <f t="shared" si="19"/>
        <v>2.516611478</v>
      </c>
      <c r="Q29" s="123">
        <f t="shared" si="19"/>
        <v>2.516611478</v>
      </c>
      <c r="R29" s="123"/>
      <c r="S29" s="123">
        <f t="shared" ref="S29:AD29" si="20">STDEV(S25:S27)</f>
        <v>0.01792577288</v>
      </c>
      <c r="T29" s="123">
        <f t="shared" si="20"/>
        <v>0.003605551275</v>
      </c>
      <c r="U29" s="123">
        <f t="shared" si="20"/>
        <v>0.03666060556</v>
      </c>
      <c r="V29" s="123">
        <f t="shared" si="20"/>
        <v>0.0127410099</v>
      </c>
      <c r="W29" s="123">
        <f t="shared" si="20"/>
        <v>0.02084066538</v>
      </c>
      <c r="X29" s="123">
        <f t="shared" si="20"/>
        <v>0.04888080741</v>
      </c>
      <c r="Y29" s="123">
        <f t="shared" si="20"/>
        <v>0.05068530359</v>
      </c>
      <c r="Z29" s="123">
        <f t="shared" si="20"/>
        <v>0.0338575447</v>
      </c>
      <c r="AA29" s="123">
        <f t="shared" si="20"/>
        <v>10.06644591</v>
      </c>
      <c r="AB29" s="123">
        <f t="shared" si="20"/>
        <v>10.14889157</v>
      </c>
      <c r="AC29" s="123">
        <f t="shared" si="20"/>
        <v>9.539392014</v>
      </c>
      <c r="AD29" s="123">
        <f t="shared" si="20"/>
        <v>9.018499506</v>
      </c>
    </row>
    <row r="30">
      <c r="A30" s="87" t="s">
        <v>42</v>
      </c>
      <c r="B30" s="88">
        <v>336.0</v>
      </c>
      <c r="C30" s="89" t="b">
        <v>1</v>
      </c>
      <c r="D30" s="89" t="s">
        <v>43</v>
      </c>
      <c r="E30" s="89" t="s">
        <v>44</v>
      </c>
      <c r="F30" s="124">
        <v>0.777</v>
      </c>
      <c r="G30" s="125">
        <v>0.748</v>
      </c>
      <c r="H30" s="125">
        <v>0.695</v>
      </c>
      <c r="I30" s="125">
        <v>0.746</v>
      </c>
      <c r="J30" s="125">
        <v>0.745</v>
      </c>
      <c r="K30" s="125">
        <v>0.396</v>
      </c>
      <c r="L30" s="125">
        <v>0.83</v>
      </c>
      <c r="M30" s="125">
        <v>0.812</v>
      </c>
      <c r="N30" s="126">
        <v>46.0</v>
      </c>
      <c r="O30" s="126">
        <v>36.0</v>
      </c>
      <c r="P30" s="126">
        <v>32.0</v>
      </c>
      <c r="Q30" s="126">
        <v>156.0</v>
      </c>
      <c r="R30" s="127"/>
      <c r="S30" s="128">
        <v>0.777</v>
      </c>
      <c r="T30" s="129">
        <v>0.726</v>
      </c>
      <c r="U30" s="129">
        <v>0.731</v>
      </c>
      <c r="V30" s="129">
        <v>0.736</v>
      </c>
      <c r="W30" s="129">
        <v>0.765</v>
      </c>
      <c r="X30" s="128">
        <v>0.43</v>
      </c>
      <c r="Y30" s="128">
        <v>0.718</v>
      </c>
      <c r="Z30" s="128">
        <v>0.865</v>
      </c>
      <c r="AA30" s="130">
        <v>61.0</v>
      </c>
      <c r="AB30" s="131">
        <v>21.0</v>
      </c>
      <c r="AC30" s="131">
        <v>53.0</v>
      </c>
      <c r="AD30" s="132">
        <v>135.0</v>
      </c>
    </row>
    <row r="31">
      <c r="A31" s="7"/>
      <c r="C31" s="99" t="b">
        <v>1</v>
      </c>
      <c r="D31" s="99" t="s">
        <v>43</v>
      </c>
      <c r="E31" s="99" t="s">
        <v>45</v>
      </c>
      <c r="F31" s="133">
        <v>0.744</v>
      </c>
      <c r="G31" s="134">
        <v>0.758</v>
      </c>
      <c r="H31" s="134">
        <v>0.68</v>
      </c>
      <c r="I31" s="134">
        <v>0.748</v>
      </c>
      <c r="J31" s="134">
        <v>0.746</v>
      </c>
      <c r="K31" s="134">
        <v>0.391</v>
      </c>
      <c r="L31" s="134">
        <v>0.878</v>
      </c>
      <c r="M31" s="134">
        <v>0.797</v>
      </c>
      <c r="N31" s="135">
        <v>39.0</v>
      </c>
      <c r="O31" s="135">
        <v>42.0</v>
      </c>
      <c r="P31" s="135">
        <v>23.0</v>
      </c>
      <c r="Q31" s="135">
        <v>165.0</v>
      </c>
      <c r="R31" s="136"/>
      <c r="S31" s="137">
        <v>0.754</v>
      </c>
      <c r="T31" s="138">
        <v>0.766</v>
      </c>
      <c r="U31" s="138">
        <v>0.692</v>
      </c>
      <c r="V31" s="138">
        <v>0.757</v>
      </c>
      <c r="W31" s="138">
        <v>0.755</v>
      </c>
      <c r="X31" s="137">
        <v>0.414</v>
      </c>
      <c r="Y31" s="137">
        <v>0.878</v>
      </c>
      <c r="Z31" s="137">
        <v>0.805</v>
      </c>
      <c r="AA31" s="139">
        <v>41.0</v>
      </c>
      <c r="AB31" s="140">
        <v>40.0</v>
      </c>
      <c r="AC31" s="140">
        <v>23.0</v>
      </c>
      <c r="AD31" s="141">
        <v>165.0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42">
        <v>0.779</v>
      </c>
      <c r="G32" s="143">
        <v>0.706</v>
      </c>
      <c r="H32" s="143">
        <v>0.518</v>
      </c>
      <c r="I32" s="143">
        <v>0.595</v>
      </c>
      <c r="J32" s="143">
        <v>0.794</v>
      </c>
      <c r="K32" s="143">
        <v>0.16</v>
      </c>
      <c r="L32" s="143">
        <v>1.0</v>
      </c>
      <c r="M32" s="143">
        <v>0.703</v>
      </c>
      <c r="N32" s="144">
        <v>3.0</v>
      </c>
      <c r="O32" s="144">
        <v>79.0</v>
      </c>
      <c r="P32" s="144">
        <v>0.0</v>
      </c>
      <c r="Q32" s="144">
        <v>187.0</v>
      </c>
      <c r="R32" s="145"/>
      <c r="S32" s="146">
        <v>0.792</v>
      </c>
      <c r="T32" s="147">
        <v>0.729</v>
      </c>
      <c r="U32" s="147">
        <v>0.668</v>
      </c>
      <c r="V32" s="147">
        <v>0.725</v>
      </c>
      <c r="W32" s="147">
        <v>0.723</v>
      </c>
      <c r="X32" s="146">
        <v>0.345</v>
      </c>
      <c r="Y32" s="146">
        <v>0.824</v>
      </c>
      <c r="Z32" s="146">
        <v>0.794</v>
      </c>
      <c r="AA32" s="148">
        <v>42.0</v>
      </c>
      <c r="AB32" s="149">
        <v>40.0</v>
      </c>
      <c r="AC32" s="149">
        <v>33.0</v>
      </c>
      <c r="AD32" s="150">
        <v>154.0</v>
      </c>
    </row>
    <row r="33">
      <c r="A33" s="7"/>
      <c r="B33" s="114" t="s">
        <v>47</v>
      </c>
      <c r="C33" s="30"/>
      <c r="D33" s="30"/>
      <c r="E33" s="72"/>
      <c r="F33" s="151">
        <f t="shared" ref="F33:Q33" si="21">AVERAGE(F30:F32)</f>
        <v>0.7666666667</v>
      </c>
      <c r="G33" s="151">
        <f t="shared" si="21"/>
        <v>0.7373333333</v>
      </c>
      <c r="H33" s="151">
        <f t="shared" si="21"/>
        <v>0.631</v>
      </c>
      <c r="I33" s="151">
        <f t="shared" si="21"/>
        <v>0.6963333333</v>
      </c>
      <c r="J33" s="161">
        <f t="shared" si="21"/>
        <v>0.7616666667</v>
      </c>
      <c r="K33" s="151">
        <f t="shared" si="21"/>
        <v>0.3156666667</v>
      </c>
      <c r="L33" s="151">
        <f t="shared" si="21"/>
        <v>0.9026666667</v>
      </c>
      <c r="M33" s="151">
        <f t="shared" si="21"/>
        <v>0.7706666667</v>
      </c>
      <c r="N33" s="151">
        <f t="shared" si="21"/>
        <v>29.33333333</v>
      </c>
      <c r="O33" s="151">
        <f t="shared" si="21"/>
        <v>52.33333333</v>
      </c>
      <c r="P33" s="151">
        <f t="shared" si="21"/>
        <v>18.33333333</v>
      </c>
      <c r="Q33" s="151">
        <f t="shared" si="21"/>
        <v>169.3333333</v>
      </c>
      <c r="R33" s="152"/>
      <c r="S33" s="151">
        <f t="shared" ref="S33:AD33" si="22">AVERAGE(S30:S32)</f>
        <v>0.7743333333</v>
      </c>
      <c r="T33" s="151">
        <f t="shared" si="22"/>
        <v>0.7403333333</v>
      </c>
      <c r="U33" s="151">
        <f t="shared" si="22"/>
        <v>0.697</v>
      </c>
      <c r="V33" s="151">
        <f t="shared" si="22"/>
        <v>0.7393333333</v>
      </c>
      <c r="W33" s="151">
        <f t="shared" si="22"/>
        <v>0.7476666667</v>
      </c>
      <c r="X33" s="151">
        <f t="shared" si="22"/>
        <v>0.3963333333</v>
      </c>
      <c r="Y33" s="151">
        <f t="shared" si="22"/>
        <v>0.8066666667</v>
      </c>
      <c r="Z33" s="151">
        <f t="shared" si="22"/>
        <v>0.8213333333</v>
      </c>
      <c r="AA33" s="151">
        <f t="shared" si="22"/>
        <v>48</v>
      </c>
      <c r="AB33" s="151">
        <f t="shared" si="22"/>
        <v>33.66666667</v>
      </c>
      <c r="AC33" s="151">
        <f t="shared" si="22"/>
        <v>36.33333333</v>
      </c>
      <c r="AD33" s="153">
        <f t="shared" si="22"/>
        <v>151.3333333</v>
      </c>
    </row>
    <row r="34">
      <c r="A34" s="119"/>
      <c r="B34" s="120" t="s">
        <v>48</v>
      </c>
      <c r="C34" s="121"/>
      <c r="D34" s="121"/>
      <c r="E34" s="122"/>
      <c r="F34" s="154">
        <f t="shared" ref="F34:Q34" si="23">STDEV(F30:F32)</f>
        <v>0.01965536398</v>
      </c>
      <c r="G34" s="154">
        <f t="shared" si="23"/>
        <v>0.02759226945</v>
      </c>
      <c r="H34" s="154">
        <f t="shared" si="23"/>
        <v>0.09814784766</v>
      </c>
      <c r="I34" s="154">
        <f t="shared" si="23"/>
        <v>0.08776293827</v>
      </c>
      <c r="J34" s="154">
        <f t="shared" si="23"/>
        <v>0.02800595175</v>
      </c>
      <c r="K34" s="154">
        <f t="shared" si="23"/>
        <v>0.1348344664</v>
      </c>
      <c r="L34" s="154">
        <f t="shared" si="23"/>
        <v>0.08764321613</v>
      </c>
      <c r="M34" s="154">
        <f t="shared" si="23"/>
        <v>0.0590790431</v>
      </c>
      <c r="N34" s="154">
        <f t="shared" si="23"/>
        <v>23.07234997</v>
      </c>
      <c r="O34" s="154">
        <f t="shared" si="23"/>
        <v>23.2880513</v>
      </c>
      <c r="P34" s="154">
        <f t="shared" si="23"/>
        <v>16.50252506</v>
      </c>
      <c r="Q34" s="154">
        <f t="shared" si="23"/>
        <v>15.94783162</v>
      </c>
      <c r="R34" s="155"/>
      <c r="S34" s="154">
        <f t="shared" ref="S34:AD34" si="24">STDEV(S30:S32)</f>
        <v>0.01913983629</v>
      </c>
      <c r="T34" s="154">
        <f t="shared" si="24"/>
        <v>0.02227853975</v>
      </c>
      <c r="U34" s="154">
        <f t="shared" si="24"/>
        <v>0.03179622619</v>
      </c>
      <c r="V34" s="154">
        <f t="shared" si="24"/>
        <v>0.0162583312</v>
      </c>
      <c r="W34" s="154">
        <f t="shared" si="24"/>
        <v>0.02193931023</v>
      </c>
      <c r="X34" s="154">
        <f t="shared" si="24"/>
        <v>0.04517004907</v>
      </c>
      <c r="Y34" s="154">
        <f t="shared" si="24"/>
        <v>0.08139615061</v>
      </c>
      <c r="Z34" s="154">
        <f t="shared" si="24"/>
        <v>0.03821430797</v>
      </c>
      <c r="AA34" s="154">
        <f t="shared" si="24"/>
        <v>11.26942767</v>
      </c>
      <c r="AB34" s="154">
        <f t="shared" si="24"/>
        <v>10.96965511</v>
      </c>
      <c r="AC34" s="154">
        <f t="shared" si="24"/>
        <v>15.27525232</v>
      </c>
      <c r="AD34" s="154">
        <f t="shared" si="24"/>
        <v>15.17673658</v>
      </c>
    </row>
    <row r="35">
      <c r="A35" s="87" t="s">
        <v>42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0.772</v>
      </c>
      <c r="G35" s="91">
        <v>0.744</v>
      </c>
      <c r="H35" s="91">
        <v>0.693</v>
      </c>
      <c r="I35" s="91">
        <v>0.743</v>
      </c>
      <c r="J35" s="91">
        <v>0.742</v>
      </c>
      <c r="K35" s="91">
        <v>0.39</v>
      </c>
      <c r="L35" s="91">
        <v>0.824</v>
      </c>
      <c r="M35" s="91">
        <v>0.812</v>
      </c>
      <c r="N35" s="92">
        <v>46.0</v>
      </c>
      <c r="O35" s="92">
        <v>36.0</v>
      </c>
      <c r="P35" s="92">
        <v>33.0</v>
      </c>
      <c r="Q35" s="92">
        <v>155.0</v>
      </c>
      <c r="R35" s="93"/>
      <c r="S35" s="94">
        <v>0.761</v>
      </c>
      <c r="T35" s="95">
        <v>0.756</v>
      </c>
      <c r="U35" s="95">
        <v>0.714</v>
      </c>
      <c r="V35" s="95">
        <v>0.756</v>
      </c>
      <c r="W35" s="95">
        <v>0.757</v>
      </c>
      <c r="X35" s="94">
        <v>0.426</v>
      </c>
      <c r="Y35" s="94">
        <v>0.819</v>
      </c>
      <c r="Z35" s="94">
        <v>0.828</v>
      </c>
      <c r="AA35" s="96">
        <v>50.0</v>
      </c>
      <c r="AB35" s="97">
        <v>32.0</v>
      </c>
      <c r="AC35" s="97">
        <v>34.0</v>
      </c>
      <c r="AD35" s="98">
        <v>154.0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0.754</v>
      </c>
      <c r="G36" s="101">
        <v>0.743</v>
      </c>
      <c r="H36" s="101">
        <v>0.655</v>
      </c>
      <c r="I36" s="101">
        <v>0.73</v>
      </c>
      <c r="J36" s="101">
        <v>0.728</v>
      </c>
      <c r="K36" s="101">
        <v>0.346</v>
      </c>
      <c r="L36" s="101">
        <v>0.878</v>
      </c>
      <c r="M36" s="101">
        <v>0.782</v>
      </c>
      <c r="N36" s="102">
        <v>35.0</v>
      </c>
      <c r="O36" s="102">
        <v>46.0</v>
      </c>
      <c r="P36" s="102">
        <v>23.0</v>
      </c>
      <c r="Q36" s="102">
        <v>165.0</v>
      </c>
      <c r="R36" s="103"/>
      <c r="S36" s="104">
        <v>0.721</v>
      </c>
      <c r="T36" s="105">
        <v>0.71</v>
      </c>
      <c r="U36" s="105">
        <v>0.624</v>
      </c>
      <c r="V36" s="105">
        <v>0.699</v>
      </c>
      <c r="W36" s="105">
        <v>0.694</v>
      </c>
      <c r="X36" s="104">
        <v>0.268</v>
      </c>
      <c r="Y36" s="104">
        <v>0.84</v>
      </c>
      <c r="Z36" s="104">
        <v>0.767</v>
      </c>
      <c r="AA36" s="106">
        <v>33.0</v>
      </c>
      <c r="AB36" s="107">
        <v>48.0</v>
      </c>
      <c r="AC36" s="107">
        <v>30.0</v>
      </c>
      <c r="AD36" s="108">
        <v>158.0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0.79</v>
      </c>
      <c r="G37" s="101">
        <v>0.695</v>
      </c>
      <c r="H37" s="101">
        <v>0.5</v>
      </c>
      <c r="I37" s="101">
        <v>0.57</v>
      </c>
      <c r="J37" s="101">
        <v>0.788</v>
      </c>
      <c r="K37" s="101">
        <v>0.0</v>
      </c>
      <c r="L37" s="101">
        <v>1.0</v>
      </c>
      <c r="M37" s="101">
        <v>0.695</v>
      </c>
      <c r="N37" s="110">
        <v>0.0</v>
      </c>
      <c r="O37" s="110">
        <v>82.0</v>
      </c>
      <c r="P37" s="110">
        <v>0.0</v>
      </c>
      <c r="Q37" s="110">
        <v>187.0</v>
      </c>
      <c r="R37" s="103"/>
      <c r="S37" s="104">
        <v>0.784</v>
      </c>
      <c r="T37" s="105">
        <v>0.717</v>
      </c>
      <c r="U37" s="105">
        <v>0.612</v>
      </c>
      <c r="V37" s="105">
        <v>0.694</v>
      </c>
      <c r="W37" s="105">
        <v>0.694</v>
      </c>
      <c r="X37" s="104">
        <v>0.265</v>
      </c>
      <c r="Y37" s="104">
        <v>0.882</v>
      </c>
      <c r="Z37" s="104">
        <v>0.753</v>
      </c>
      <c r="AA37" s="111">
        <v>28.0</v>
      </c>
      <c r="AB37" s="112">
        <v>54.0</v>
      </c>
      <c r="AC37" s="112">
        <v>22.0</v>
      </c>
      <c r="AD37" s="113">
        <v>165.0</v>
      </c>
    </row>
    <row r="38">
      <c r="A38" s="7"/>
      <c r="B38" s="114" t="s">
        <v>47</v>
      </c>
      <c r="C38" s="30"/>
      <c r="D38" s="30"/>
      <c r="E38" s="72"/>
      <c r="F38" s="115">
        <f t="shared" ref="F38:Q38" si="25">AVERAGE(F35:F37)</f>
        <v>0.772</v>
      </c>
      <c r="G38" s="117">
        <f t="shared" si="25"/>
        <v>0.7273333333</v>
      </c>
      <c r="H38" s="115">
        <f t="shared" si="25"/>
        <v>0.616</v>
      </c>
      <c r="I38" s="115">
        <f t="shared" si="25"/>
        <v>0.681</v>
      </c>
      <c r="J38" s="117">
        <f t="shared" si="25"/>
        <v>0.7526666667</v>
      </c>
      <c r="K38" s="115">
        <f t="shared" si="25"/>
        <v>0.2453333333</v>
      </c>
      <c r="L38" s="117">
        <f t="shared" si="25"/>
        <v>0.9006666667</v>
      </c>
      <c r="M38" s="115">
        <f t="shared" si="25"/>
        <v>0.763</v>
      </c>
      <c r="N38" s="115">
        <f t="shared" si="25"/>
        <v>27</v>
      </c>
      <c r="O38" s="115">
        <f t="shared" si="25"/>
        <v>54.66666667</v>
      </c>
      <c r="P38" s="117">
        <f t="shared" si="25"/>
        <v>18.66666667</v>
      </c>
      <c r="Q38" s="117">
        <f t="shared" si="25"/>
        <v>169</v>
      </c>
      <c r="R38" s="116"/>
      <c r="S38" s="115">
        <f t="shared" ref="S38:AD38" si="26">AVERAGE(S35:S37)</f>
        <v>0.7553333333</v>
      </c>
      <c r="T38" s="115">
        <f t="shared" si="26"/>
        <v>0.7276666667</v>
      </c>
      <c r="U38" s="115">
        <f t="shared" si="26"/>
        <v>0.65</v>
      </c>
      <c r="V38" s="115">
        <f t="shared" si="26"/>
        <v>0.7163333333</v>
      </c>
      <c r="W38" s="115">
        <f t="shared" si="26"/>
        <v>0.715</v>
      </c>
      <c r="X38" s="115">
        <f t="shared" si="26"/>
        <v>0.3196666667</v>
      </c>
      <c r="Y38" s="115">
        <f t="shared" si="26"/>
        <v>0.847</v>
      </c>
      <c r="Z38" s="115">
        <f t="shared" si="26"/>
        <v>0.7826666667</v>
      </c>
      <c r="AA38" s="115">
        <f t="shared" si="26"/>
        <v>37</v>
      </c>
      <c r="AB38" s="115">
        <f t="shared" si="26"/>
        <v>44.66666667</v>
      </c>
      <c r="AC38" s="115">
        <f t="shared" si="26"/>
        <v>28.66666667</v>
      </c>
      <c r="AD38" s="118">
        <f t="shared" si="26"/>
        <v>159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0.018</v>
      </c>
      <c r="G39" s="123">
        <f t="shared" si="27"/>
        <v>0.02800595175</v>
      </c>
      <c r="H39" s="123">
        <f t="shared" si="27"/>
        <v>0.1022399139</v>
      </c>
      <c r="I39" s="123">
        <f t="shared" si="27"/>
        <v>0.0963483264</v>
      </c>
      <c r="J39" s="123">
        <f t="shared" si="27"/>
        <v>0.03139001965</v>
      </c>
      <c r="K39" s="123">
        <f t="shared" si="27"/>
        <v>0.2136008739</v>
      </c>
      <c r="L39" s="123">
        <f t="shared" si="27"/>
        <v>0.09016281569</v>
      </c>
      <c r="M39" s="123">
        <f t="shared" si="27"/>
        <v>0.06077005842</v>
      </c>
      <c r="N39" s="123">
        <f t="shared" si="27"/>
        <v>24.0208243</v>
      </c>
      <c r="O39" s="123">
        <f t="shared" si="27"/>
        <v>24.19366308</v>
      </c>
      <c r="P39" s="123">
        <f t="shared" si="27"/>
        <v>16.92138686</v>
      </c>
      <c r="Q39" s="123">
        <f t="shared" si="27"/>
        <v>16.37070554</v>
      </c>
      <c r="R39" s="123"/>
      <c r="S39" s="123">
        <f t="shared" ref="S39:AD39" si="28">STDEV(S35:S37)</f>
        <v>0.03187998327</v>
      </c>
      <c r="T39" s="123">
        <f t="shared" si="28"/>
        <v>0.02478574859</v>
      </c>
      <c r="U39" s="123">
        <f t="shared" si="28"/>
        <v>0.05574943946</v>
      </c>
      <c r="V39" s="123">
        <f t="shared" si="28"/>
        <v>0.03444318994</v>
      </c>
      <c r="W39" s="123">
        <f t="shared" si="28"/>
        <v>0.03637306696</v>
      </c>
      <c r="X39" s="123">
        <f t="shared" si="28"/>
        <v>0.09209958378</v>
      </c>
      <c r="Y39" s="123">
        <f t="shared" si="28"/>
        <v>0.03207802986</v>
      </c>
      <c r="Z39" s="123">
        <f t="shared" si="28"/>
        <v>0.0398789836</v>
      </c>
      <c r="AA39" s="123">
        <f t="shared" si="28"/>
        <v>11.53256259</v>
      </c>
      <c r="AB39" s="123">
        <f t="shared" si="28"/>
        <v>11.37248141</v>
      </c>
      <c r="AC39" s="123">
        <f t="shared" si="28"/>
        <v>6.110100927</v>
      </c>
      <c r="AD39" s="123">
        <f t="shared" si="28"/>
        <v>5.567764363</v>
      </c>
    </row>
    <row r="40">
      <c r="A40" s="87" t="s">
        <v>42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0.77</v>
      </c>
      <c r="G40" s="91">
        <v>0.756</v>
      </c>
      <c r="H40" s="91">
        <v>0.663</v>
      </c>
      <c r="I40" s="91">
        <v>0.739</v>
      </c>
      <c r="J40" s="91">
        <v>0.742</v>
      </c>
      <c r="K40" s="91">
        <v>0.375</v>
      </c>
      <c r="L40" s="91">
        <v>0.899</v>
      </c>
      <c r="M40" s="91">
        <v>0.782</v>
      </c>
      <c r="N40" s="92">
        <v>35.0</v>
      </c>
      <c r="O40" s="92">
        <v>47.0</v>
      </c>
      <c r="P40" s="92">
        <v>19.0</v>
      </c>
      <c r="Q40" s="92">
        <v>169.0</v>
      </c>
      <c r="R40" s="93"/>
      <c r="S40" s="94">
        <v>0.775</v>
      </c>
      <c r="T40" s="95">
        <v>0.744</v>
      </c>
      <c r="U40" s="95">
        <v>0.713</v>
      </c>
      <c r="V40" s="95">
        <v>0.748</v>
      </c>
      <c r="W40" s="95">
        <v>0.753</v>
      </c>
      <c r="X40" s="94">
        <v>0.415</v>
      </c>
      <c r="Y40" s="94">
        <v>0.793</v>
      </c>
      <c r="Z40" s="94">
        <v>0.832</v>
      </c>
      <c r="AA40" s="96">
        <v>52.0</v>
      </c>
      <c r="AB40" s="97">
        <v>30.0</v>
      </c>
      <c r="AC40" s="97">
        <v>39.0</v>
      </c>
      <c r="AD40" s="98">
        <v>149.0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0.753</v>
      </c>
      <c r="G41" s="101">
        <v>0.743</v>
      </c>
      <c r="H41" s="101">
        <v>0.651</v>
      </c>
      <c r="I41" s="101">
        <v>0.728</v>
      </c>
      <c r="J41" s="101">
        <v>0.727</v>
      </c>
      <c r="K41" s="101">
        <v>0.342</v>
      </c>
      <c r="L41" s="101">
        <v>0.883</v>
      </c>
      <c r="M41" s="101">
        <v>0.779</v>
      </c>
      <c r="N41" s="102">
        <v>34.0</v>
      </c>
      <c r="O41" s="102">
        <v>47.0</v>
      </c>
      <c r="P41" s="102">
        <v>22.0</v>
      </c>
      <c r="Q41" s="102">
        <v>166.0</v>
      </c>
      <c r="R41" s="103"/>
      <c r="S41" s="104">
        <v>0.761</v>
      </c>
      <c r="T41" s="105">
        <v>0.725</v>
      </c>
      <c r="U41" s="105">
        <v>0.652</v>
      </c>
      <c r="V41" s="105">
        <v>0.718</v>
      </c>
      <c r="W41" s="105">
        <v>0.714</v>
      </c>
      <c r="X41" s="104">
        <v>0.32</v>
      </c>
      <c r="Y41" s="104">
        <v>0.835</v>
      </c>
      <c r="Z41" s="104">
        <v>0.785</v>
      </c>
      <c r="AA41" s="106">
        <v>38.0</v>
      </c>
      <c r="AB41" s="107">
        <v>43.0</v>
      </c>
      <c r="AC41" s="107">
        <v>31.0</v>
      </c>
      <c r="AD41" s="108">
        <v>157.0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0.813</v>
      </c>
      <c r="G42" s="101">
        <v>0.736</v>
      </c>
      <c r="H42" s="101">
        <v>0.608</v>
      </c>
      <c r="I42" s="101">
        <v>0.698</v>
      </c>
      <c r="J42" s="101">
        <v>0.72</v>
      </c>
      <c r="K42" s="101">
        <v>0.296</v>
      </c>
      <c r="L42" s="101">
        <v>0.936</v>
      </c>
      <c r="M42" s="101">
        <v>0.748</v>
      </c>
      <c r="N42" s="110">
        <v>23.0</v>
      </c>
      <c r="O42" s="110">
        <v>59.0</v>
      </c>
      <c r="P42" s="110">
        <v>12.0</v>
      </c>
      <c r="Q42" s="110">
        <v>175.0</v>
      </c>
      <c r="R42" s="103"/>
      <c r="S42" s="104">
        <v>0.765</v>
      </c>
      <c r="T42" s="105">
        <v>0.717</v>
      </c>
      <c r="U42" s="105">
        <v>0.643</v>
      </c>
      <c r="V42" s="105">
        <v>0.709</v>
      </c>
      <c r="W42" s="105">
        <v>0.705</v>
      </c>
      <c r="X42" s="104">
        <v>0.302</v>
      </c>
      <c r="Y42" s="104">
        <v>0.834</v>
      </c>
      <c r="Z42" s="104">
        <v>0.776</v>
      </c>
      <c r="AA42" s="111">
        <v>37.0</v>
      </c>
      <c r="AB42" s="112">
        <v>54.0</v>
      </c>
      <c r="AC42" s="112">
        <v>31.0</v>
      </c>
      <c r="AD42" s="113">
        <v>156.0</v>
      </c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0.7786666667</v>
      </c>
      <c r="G43" s="115">
        <f t="shared" si="29"/>
        <v>0.745</v>
      </c>
      <c r="H43" s="115">
        <f t="shared" si="29"/>
        <v>0.6406666667</v>
      </c>
      <c r="I43" s="115">
        <f t="shared" si="29"/>
        <v>0.7216666667</v>
      </c>
      <c r="J43" s="115">
        <f t="shared" si="29"/>
        <v>0.7296666667</v>
      </c>
      <c r="K43" s="115">
        <f t="shared" si="29"/>
        <v>0.3376666667</v>
      </c>
      <c r="L43" s="161">
        <f t="shared" si="29"/>
        <v>0.906</v>
      </c>
      <c r="M43" s="115">
        <f t="shared" si="29"/>
        <v>0.7696666667</v>
      </c>
      <c r="N43" s="115">
        <f t="shared" si="29"/>
        <v>30.66666667</v>
      </c>
      <c r="O43" s="115">
        <f t="shared" si="29"/>
        <v>51</v>
      </c>
      <c r="P43" s="115">
        <f t="shared" si="29"/>
        <v>17.66666667</v>
      </c>
      <c r="Q43" s="115">
        <f t="shared" si="29"/>
        <v>170</v>
      </c>
      <c r="R43" s="116"/>
      <c r="S43" s="115">
        <f t="shared" ref="S43:AD43" si="30">AVERAGE(S40:S42)</f>
        <v>0.767</v>
      </c>
      <c r="T43" s="115">
        <f t="shared" si="30"/>
        <v>0.7286666667</v>
      </c>
      <c r="U43" s="115">
        <f t="shared" si="30"/>
        <v>0.6693333333</v>
      </c>
      <c r="V43" s="115">
        <f t="shared" si="30"/>
        <v>0.725</v>
      </c>
      <c r="W43" s="115">
        <f t="shared" si="30"/>
        <v>0.724</v>
      </c>
      <c r="X43" s="115">
        <f t="shared" si="30"/>
        <v>0.3456666667</v>
      </c>
      <c r="Y43" s="117">
        <f t="shared" si="30"/>
        <v>0.8206666667</v>
      </c>
      <c r="Z43" s="115">
        <f t="shared" si="30"/>
        <v>0.7976666667</v>
      </c>
      <c r="AA43" s="115">
        <f t="shared" si="30"/>
        <v>42.33333333</v>
      </c>
      <c r="AB43" s="115">
        <f t="shared" si="30"/>
        <v>42.33333333</v>
      </c>
      <c r="AC43" s="117">
        <f t="shared" si="30"/>
        <v>33.66666667</v>
      </c>
      <c r="AD43" s="162">
        <f t="shared" si="30"/>
        <v>154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0.03092463958</v>
      </c>
      <c r="G44" s="123">
        <f t="shared" si="31"/>
        <v>0.01014889157</v>
      </c>
      <c r="H44" s="123">
        <f t="shared" si="31"/>
        <v>0.0289194283</v>
      </c>
      <c r="I44" s="123">
        <f t="shared" si="31"/>
        <v>0.02122105872</v>
      </c>
      <c r="J44" s="123">
        <f t="shared" si="31"/>
        <v>0.0112398102</v>
      </c>
      <c r="K44" s="123">
        <f t="shared" si="31"/>
        <v>0.03967786957</v>
      </c>
      <c r="L44" s="123">
        <f t="shared" si="31"/>
        <v>0.02718455444</v>
      </c>
      <c r="M44" s="123">
        <f t="shared" si="31"/>
        <v>0.01882374387</v>
      </c>
      <c r="N44" s="123">
        <f t="shared" si="31"/>
        <v>6.658328118</v>
      </c>
      <c r="O44" s="123">
        <f t="shared" si="31"/>
        <v>6.92820323</v>
      </c>
      <c r="P44" s="123">
        <f t="shared" si="31"/>
        <v>5.131601439</v>
      </c>
      <c r="Q44" s="123">
        <f t="shared" si="31"/>
        <v>4.582575695</v>
      </c>
      <c r="R44" s="123"/>
      <c r="S44" s="123">
        <f t="shared" ref="S44:AD44" si="32">STDEV(S40:S42)</f>
        <v>0.007211102551</v>
      </c>
      <c r="T44" s="123">
        <f t="shared" si="32"/>
        <v>0.01386842938</v>
      </c>
      <c r="U44" s="123">
        <f t="shared" si="32"/>
        <v>0.03808324216</v>
      </c>
      <c r="V44" s="123">
        <f t="shared" si="32"/>
        <v>0.02042057786</v>
      </c>
      <c r="W44" s="123">
        <f t="shared" si="32"/>
        <v>0.02551470164</v>
      </c>
      <c r="X44" s="123">
        <f t="shared" si="32"/>
        <v>0.06071518207</v>
      </c>
      <c r="Y44" s="123">
        <f t="shared" si="32"/>
        <v>0.02396525262</v>
      </c>
      <c r="Z44" s="123">
        <f t="shared" si="32"/>
        <v>0.0300721355</v>
      </c>
      <c r="AA44" s="123">
        <f t="shared" si="32"/>
        <v>8.386497084</v>
      </c>
      <c r="AB44" s="123">
        <f t="shared" si="32"/>
        <v>12.01388086</v>
      </c>
      <c r="AC44" s="123">
        <f t="shared" si="32"/>
        <v>4.618802154</v>
      </c>
      <c r="AD44" s="123">
        <f t="shared" si="32"/>
        <v>4.358898944</v>
      </c>
    </row>
    <row r="45">
      <c r="A45" s="87" t="s">
        <v>42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0.78</v>
      </c>
      <c r="G45" s="91">
        <v>0.793</v>
      </c>
      <c r="H45" s="91">
        <v>0.727</v>
      </c>
      <c r="I45" s="91">
        <v>0.786</v>
      </c>
      <c r="J45" s="91">
        <v>0.785</v>
      </c>
      <c r="K45" s="91">
        <v>0.486</v>
      </c>
      <c r="L45" s="91">
        <v>0.894</v>
      </c>
      <c r="M45" s="91">
        <v>0.824</v>
      </c>
      <c r="N45" s="92">
        <v>46.0</v>
      </c>
      <c r="O45" s="92">
        <v>36.0</v>
      </c>
      <c r="P45" s="92">
        <v>20.0</v>
      </c>
      <c r="Q45" s="92">
        <v>168.0</v>
      </c>
      <c r="R45" s="93"/>
      <c r="S45" s="94">
        <v>0.779</v>
      </c>
      <c r="T45" s="95">
        <v>0.752</v>
      </c>
      <c r="U45" s="95">
        <v>0.719</v>
      </c>
      <c r="V45" s="95">
        <v>0.755</v>
      </c>
      <c r="W45" s="95">
        <v>0.758</v>
      </c>
      <c r="X45" s="94">
        <v>0.428</v>
      </c>
      <c r="Y45" s="94">
        <v>0.803</v>
      </c>
      <c r="Z45" s="94">
        <v>0.834</v>
      </c>
      <c r="AA45" s="96">
        <v>52.0</v>
      </c>
      <c r="AB45" s="97">
        <v>30.0</v>
      </c>
      <c r="AC45" s="97">
        <v>37.0</v>
      </c>
      <c r="AD45" s="98">
        <v>151.0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0.749</v>
      </c>
      <c r="G46" s="101">
        <v>0.736</v>
      </c>
      <c r="H46" s="101">
        <v>0.66</v>
      </c>
      <c r="I46" s="101">
        <v>0.728</v>
      </c>
      <c r="J46" s="101">
        <v>0.724</v>
      </c>
      <c r="K46" s="101">
        <v>0.341</v>
      </c>
      <c r="L46" s="101">
        <v>0.851</v>
      </c>
      <c r="M46" s="101">
        <v>0.788</v>
      </c>
      <c r="N46" s="102">
        <v>38.0</v>
      </c>
      <c r="O46" s="102">
        <v>43.0</v>
      </c>
      <c r="P46" s="102">
        <v>28.0</v>
      </c>
      <c r="Q46" s="102">
        <v>160.0</v>
      </c>
      <c r="R46" s="103"/>
      <c r="S46" s="104">
        <v>0.725</v>
      </c>
      <c r="T46" s="105">
        <v>0.699</v>
      </c>
      <c r="U46" s="105">
        <v>0.63</v>
      </c>
      <c r="V46" s="105">
        <v>0.695</v>
      </c>
      <c r="W46" s="105">
        <v>0.692</v>
      </c>
      <c r="X46" s="104">
        <v>0.267</v>
      </c>
      <c r="Y46" s="104">
        <v>0.803</v>
      </c>
      <c r="Z46" s="104">
        <v>0.774</v>
      </c>
      <c r="AA46" s="106">
        <v>37.0</v>
      </c>
      <c r="AB46" s="107">
        <v>44.0</v>
      </c>
      <c r="AC46" s="107">
        <v>37.0</v>
      </c>
      <c r="AD46" s="108">
        <v>151.0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0.795</v>
      </c>
      <c r="G47" s="101">
        <v>0.729</v>
      </c>
      <c r="H47" s="101">
        <v>0.668</v>
      </c>
      <c r="I47" s="101">
        <v>0.725</v>
      </c>
      <c r="J47" s="101">
        <v>0.723</v>
      </c>
      <c r="K47" s="101">
        <v>0.345</v>
      </c>
      <c r="L47" s="101">
        <v>0.824</v>
      </c>
      <c r="M47" s="101">
        <v>0.794</v>
      </c>
      <c r="N47" s="110">
        <v>42.0</v>
      </c>
      <c r="O47" s="110">
        <v>40.0</v>
      </c>
      <c r="P47" s="110">
        <v>33.0</v>
      </c>
      <c r="Q47" s="110">
        <v>154.0</v>
      </c>
      <c r="R47" s="103"/>
      <c r="S47" s="104">
        <v>0.757</v>
      </c>
      <c r="T47" s="105">
        <v>0.721</v>
      </c>
      <c r="U47" s="105">
        <v>0.642</v>
      </c>
      <c r="V47" s="105">
        <v>0.711</v>
      </c>
      <c r="W47" s="105">
        <v>0.707</v>
      </c>
      <c r="X47" s="104">
        <v>0.305</v>
      </c>
      <c r="Y47" s="104">
        <v>0.845</v>
      </c>
      <c r="Z47" s="104">
        <v>0.775</v>
      </c>
      <c r="AA47" s="111">
        <v>36.0</v>
      </c>
      <c r="AB47" s="112">
        <v>46.0</v>
      </c>
      <c r="AC47" s="112">
        <v>29.0</v>
      </c>
      <c r="AD47" s="113">
        <v>158.0</v>
      </c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0.7746666667</v>
      </c>
      <c r="G48" s="161">
        <f t="shared" si="33"/>
        <v>0.7526666667</v>
      </c>
      <c r="H48" s="161">
        <f t="shared" si="33"/>
        <v>0.685</v>
      </c>
      <c r="I48" s="161">
        <f t="shared" si="33"/>
        <v>0.7463333333</v>
      </c>
      <c r="J48" s="115">
        <f t="shared" si="33"/>
        <v>0.744</v>
      </c>
      <c r="K48" s="161">
        <f t="shared" si="33"/>
        <v>0.3906666667</v>
      </c>
      <c r="L48" s="115">
        <f t="shared" si="33"/>
        <v>0.8563333333</v>
      </c>
      <c r="M48" s="115">
        <f t="shared" si="33"/>
        <v>0.802</v>
      </c>
      <c r="N48" s="115">
        <f t="shared" si="33"/>
        <v>42</v>
      </c>
      <c r="O48" s="115">
        <f t="shared" si="33"/>
        <v>39.66666667</v>
      </c>
      <c r="P48" s="115">
        <f t="shared" si="33"/>
        <v>27</v>
      </c>
      <c r="Q48" s="115">
        <f t="shared" si="33"/>
        <v>160.6666667</v>
      </c>
      <c r="R48" s="116"/>
      <c r="S48" s="115">
        <f t="shared" ref="S48:AD48" si="34">AVERAGE(S45:S47)</f>
        <v>0.7536666667</v>
      </c>
      <c r="T48" s="115">
        <f t="shared" si="34"/>
        <v>0.724</v>
      </c>
      <c r="U48" s="115">
        <f t="shared" si="34"/>
        <v>0.6636666667</v>
      </c>
      <c r="V48" s="115">
        <f t="shared" si="34"/>
        <v>0.7203333333</v>
      </c>
      <c r="W48" s="115">
        <f t="shared" si="34"/>
        <v>0.719</v>
      </c>
      <c r="X48" s="115">
        <f t="shared" si="34"/>
        <v>0.3333333333</v>
      </c>
      <c r="Y48" s="115">
        <f t="shared" si="34"/>
        <v>0.817</v>
      </c>
      <c r="Z48" s="115">
        <f t="shared" si="34"/>
        <v>0.7943333333</v>
      </c>
      <c r="AA48" s="115">
        <f t="shared" si="34"/>
        <v>41.66666667</v>
      </c>
      <c r="AB48" s="115">
        <f t="shared" si="34"/>
        <v>40</v>
      </c>
      <c r="AC48" s="115">
        <f t="shared" si="34"/>
        <v>34.33333333</v>
      </c>
      <c r="AD48" s="118">
        <f t="shared" si="34"/>
        <v>153.3333333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0.02345918441</v>
      </c>
      <c r="G49" s="123">
        <f t="shared" si="35"/>
        <v>0.03510460559</v>
      </c>
      <c r="H49" s="123">
        <f t="shared" si="35"/>
        <v>0.03659234893</v>
      </c>
      <c r="I49" s="123">
        <f t="shared" si="35"/>
        <v>0.03438507428</v>
      </c>
      <c r="J49" s="123">
        <f t="shared" si="35"/>
        <v>0.03551056181</v>
      </c>
      <c r="K49" s="123">
        <f t="shared" si="35"/>
        <v>0.08258530943</v>
      </c>
      <c r="L49" s="123">
        <f t="shared" si="35"/>
        <v>0.03530344648</v>
      </c>
      <c r="M49" s="123">
        <f t="shared" si="35"/>
        <v>0.01928730152</v>
      </c>
      <c r="N49" s="123">
        <f t="shared" si="35"/>
        <v>4</v>
      </c>
      <c r="O49" s="123">
        <f t="shared" si="35"/>
        <v>3.511884584</v>
      </c>
      <c r="P49" s="123">
        <f t="shared" si="35"/>
        <v>6.557438524</v>
      </c>
      <c r="Q49" s="123">
        <f t="shared" si="35"/>
        <v>7.023769169</v>
      </c>
      <c r="R49" s="123"/>
      <c r="S49" s="123">
        <f t="shared" ref="S49:AD49" si="36">STDEV(S45:S47)</f>
        <v>0.02715388247</v>
      </c>
      <c r="T49" s="123">
        <f t="shared" si="36"/>
        <v>0.02662705391</v>
      </c>
      <c r="U49" s="123">
        <f t="shared" si="36"/>
        <v>0.04829423706</v>
      </c>
      <c r="V49" s="123">
        <f t="shared" si="36"/>
        <v>0.03106981386</v>
      </c>
      <c r="W49" s="123">
        <f t="shared" si="36"/>
        <v>0.03459768778</v>
      </c>
      <c r="X49" s="123">
        <f t="shared" si="36"/>
        <v>0.08415660006</v>
      </c>
      <c r="Y49" s="123">
        <f t="shared" si="36"/>
        <v>0.02424871131</v>
      </c>
      <c r="Z49" s="123">
        <f t="shared" si="36"/>
        <v>0.03435597959</v>
      </c>
      <c r="AA49" s="123">
        <f t="shared" si="36"/>
        <v>8.96288644</v>
      </c>
      <c r="AB49" s="123">
        <f t="shared" si="36"/>
        <v>8.717797887</v>
      </c>
      <c r="AC49" s="123">
        <f t="shared" si="36"/>
        <v>4.618802154</v>
      </c>
      <c r="AD49" s="123">
        <f t="shared" si="36"/>
        <v>4.041451884</v>
      </c>
    </row>
    <row r="50">
      <c r="A50" s="87" t="s">
        <v>42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0.752</v>
      </c>
      <c r="G50" s="125">
        <v>0.722</v>
      </c>
      <c r="H50" s="125">
        <v>0.708</v>
      </c>
      <c r="I50" s="125">
        <v>0.73</v>
      </c>
      <c r="J50" s="125">
        <v>0.746</v>
      </c>
      <c r="K50" s="125">
        <v>0.393</v>
      </c>
      <c r="L50" s="125">
        <v>0.745</v>
      </c>
      <c r="M50" s="125">
        <v>0.838</v>
      </c>
      <c r="N50" s="126">
        <v>55.0</v>
      </c>
      <c r="O50" s="126">
        <v>27.0</v>
      </c>
      <c r="P50" s="126">
        <v>48.0</v>
      </c>
      <c r="Q50" s="126">
        <v>140.0</v>
      </c>
      <c r="R50" s="127"/>
      <c r="S50" s="128">
        <v>0.754</v>
      </c>
      <c r="T50" s="129">
        <v>0.733</v>
      </c>
      <c r="U50" s="129">
        <v>0.678</v>
      </c>
      <c r="V50" s="129">
        <v>0.731</v>
      </c>
      <c r="W50" s="129">
        <v>0.73</v>
      </c>
      <c r="X50" s="128">
        <v>0.361</v>
      </c>
      <c r="Y50" s="128">
        <v>0.819</v>
      </c>
      <c r="Z50" s="128">
        <v>0.802</v>
      </c>
      <c r="AA50" s="130">
        <v>44.0</v>
      </c>
      <c r="AB50" s="131">
        <v>38.0</v>
      </c>
      <c r="AC50" s="131">
        <v>34.0</v>
      </c>
      <c r="AD50" s="132">
        <v>154.0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0.726</v>
      </c>
      <c r="G51" s="134">
        <v>0.717</v>
      </c>
      <c r="H51" s="134">
        <v>0.657</v>
      </c>
      <c r="I51" s="134">
        <v>0.715</v>
      </c>
      <c r="J51" s="134">
        <v>0.714</v>
      </c>
      <c r="K51" s="134">
        <v>0.319</v>
      </c>
      <c r="L51" s="134">
        <v>0.809</v>
      </c>
      <c r="M51" s="134">
        <v>0.792</v>
      </c>
      <c r="N51" s="135">
        <v>41.0</v>
      </c>
      <c r="O51" s="135">
        <v>40.0</v>
      </c>
      <c r="P51" s="135">
        <v>36.0</v>
      </c>
      <c r="Q51" s="135">
        <v>152.0</v>
      </c>
      <c r="R51" s="136"/>
      <c r="S51" s="137">
        <v>0.735</v>
      </c>
      <c r="T51" s="138">
        <v>0.725</v>
      </c>
      <c r="U51" s="138">
        <v>0.652</v>
      </c>
      <c r="V51" s="138">
        <v>0.718</v>
      </c>
      <c r="W51" s="138">
        <v>0.714</v>
      </c>
      <c r="X51" s="137">
        <v>0.32</v>
      </c>
      <c r="Y51" s="137">
        <v>0.835</v>
      </c>
      <c r="Z51" s="137">
        <v>0.785</v>
      </c>
      <c r="AA51" s="139">
        <v>38.0</v>
      </c>
      <c r="AB51" s="140">
        <v>43.0</v>
      </c>
      <c r="AC51" s="140">
        <v>31.0</v>
      </c>
      <c r="AD51" s="141">
        <v>157.0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0.802</v>
      </c>
      <c r="G52" s="143">
        <v>0.695</v>
      </c>
      <c r="H52" s="143">
        <v>0.5</v>
      </c>
      <c r="I52" s="143">
        <v>0.57</v>
      </c>
      <c r="J52" s="143">
        <v>0.788</v>
      </c>
      <c r="K52" s="143">
        <v>0.0</v>
      </c>
      <c r="L52" s="143">
        <v>1.0</v>
      </c>
      <c r="M52" s="143">
        <v>0.695</v>
      </c>
      <c r="N52" s="144">
        <v>0.0</v>
      </c>
      <c r="O52" s="144">
        <v>82.0</v>
      </c>
      <c r="P52" s="144">
        <v>0.0</v>
      </c>
      <c r="Q52" s="144">
        <v>187.0</v>
      </c>
      <c r="R52" s="145"/>
      <c r="S52" s="146">
        <v>0.779</v>
      </c>
      <c r="T52" s="147">
        <v>0.732</v>
      </c>
      <c r="U52" s="147">
        <v>0.636</v>
      </c>
      <c r="V52" s="147">
        <v>0.714</v>
      </c>
      <c r="W52" s="147">
        <v>0.714</v>
      </c>
      <c r="X52" s="146">
        <v>0.313</v>
      </c>
      <c r="Y52" s="146">
        <v>0.882</v>
      </c>
      <c r="Z52" s="146">
        <v>0.767</v>
      </c>
      <c r="AA52" s="148">
        <v>32.0</v>
      </c>
      <c r="AB52" s="149">
        <v>50.0</v>
      </c>
      <c r="AC52" s="149">
        <v>22.0</v>
      </c>
      <c r="AD52" s="150">
        <v>165.0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0.76</v>
      </c>
      <c r="G53" s="151">
        <f t="shared" si="37"/>
        <v>0.7113333333</v>
      </c>
      <c r="H53" s="151">
        <f t="shared" si="37"/>
        <v>0.6216666667</v>
      </c>
      <c r="I53" s="151">
        <f t="shared" si="37"/>
        <v>0.6716666667</v>
      </c>
      <c r="J53" s="151">
        <f t="shared" si="37"/>
        <v>0.7493333333</v>
      </c>
      <c r="K53" s="151">
        <f t="shared" si="37"/>
        <v>0.2373333333</v>
      </c>
      <c r="L53" s="151">
        <f t="shared" si="37"/>
        <v>0.8513333333</v>
      </c>
      <c r="M53" s="151">
        <f t="shared" si="37"/>
        <v>0.775</v>
      </c>
      <c r="N53" s="151">
        <f t="shared" si="37"/>
        <v>32</v>
      </c>
      <c r="O53" s="151">
        <f t="shared" si="37"/>
        <v>49.66666667</v>
      </c>
      <c r="P53" s="151">
        <f t="shared" si="37"/>
        <v>28</v>
      </c>
      <c r="Q53" s="151">
        <f t="shared" si="37"/>
        <v>159.6666667</v>
      </c>
      <c r="R53" s="152"/>
      <c r="S53" s="151">
        <f t="shared" ref="S53:AD53" si="38">AVERAGE(S50:S52)</f>
        <v>0.756</v>
      </c>
      <c r="T53" s="151">
        <f t="shared" si="38"/>
        <v>0.73</v>
      </c>
      <c r="U53" s="151">
        <f t="shared" si="38"/>
        <v>0.6553333333</v>
      </c>
      <c r="V53" s="151">
        <f t="shared" si="38"/>
        <v>0.721</v>
      </c>
      <c r="W53" s="151">
        <f t="shared" si="38"/>
        <v>0.7193333333</v>
      </c>
      <c r="X53" s="151">
        <f t="shared" si="38"/>
        <v>0.3313333333</v>
      </c>
      <c r="Y53" s="151">
        <f t="shared" si="38"/>
        <v>0.8453333333</v>
      </c>
      <c r="Z53" s="151">
        <f t="shared" si="38"/>
        <v>0.7846666667</v>
      </c>
      <c r="AA53" s="151">
        <f t="shared" si="38"/>
        <v>38</v>
      </c>
      <c r="AB53" s="151">
        <f t="shared" si="38"/>
        <v>43.66666667</v>
      </c>
      <c r="AC53" s="151">
        <f t="shared" si="38"/>
        <v>29</v>
      </c>
      <c r="AD53" s="153">
        <f t="shared" si="38"/>
        <v>158.6666667</v>
      </c>
    </row>
    <row r="54">
      <c r="A54" s="119"/>
      <c r="B54" s="163" t="s">
        <v>48</v>
      </c>
      <c r="C54" s="3"/>
      <c r="D54" s="3"/>
      <c r="E54" s="164"/>
      <c r="F54" s="165">
        <f t="shared" ref="F54:Q54" si="39">STDEV(F50:F52)</f>
        <v>0.03862641583</v>
      </c>
      <c r="G54" s="165">
        <f t="shared" si="39"/>
        <v>0.01436430762</v>
      </c>
      <c r="H54" s="165">
        <f t="shared" si="39"/>
        <v>0.1084081793</v>
      </c>
      <c r="I54" s="165">
        <f t="shared" si="39"/>
        <v>0.08836477428</v>
      </c>
      <c r="J54" s="165">
        <f t="shared" si="39"/>
        <v>0.03711244176</v>
      </c>
      <c r="K54" s="165">
        <f t="shared" si="39"/>
        <v>0.2088404495</v>
      </c>
      <c r="L54" s="165">
        <f t="shared" si="39"/>
        <v>0.1326662479</v>
      </c>
      <c r="M54" s="165">
        <f t="shared" si="39"/>
        <v>0.073</v>
      </c>
      <c r="N54" s="165">
        <f t="shared" si="39"/>
        <v>28.58321186</v>
      </c>
      <c r="O54" s="165">
        <f t="shared" si="39"/>
        <v>28.74601422</v>
      </c>
      <c r="P54" s="165">
        <f t="shared" si="39"/>
        <v>24.97999199</v>
      </c>
      <c r="Q54" s="165">
        <f t="shared" si="39"/>
        <v>24.41993721</v>
      </c>
      <c r="R54" s="165"/>
      <c r="S54" s="165">
        <f t="shared" ref="S54:AD54" si="40">STDEV(S50:S52)</f>
        <v>0.02206807649</v>
      </c>
      <c r="T54" s="165">
        <f t="shared" si="40"/>
        <v>0.004358898944</v>
      </c>
      <c r="U54" s="165">
        <f t="shared" si="40"/>
        <v>0.02119748413</v>
      </c>
      <c r="V54" s="165">
        <f t="shared" si="40"/>
        <v>0.008888194417</v>
      </c>
      <c r="W54" s="165">
        <f t="shared" si="40"/>
        <v>0.009237604307</v>
      </c>
      <c r="X54" s="165">
        <f t="shared" si="40"/>
        <v>0.0259293913</v>
      </c>
      <c r="Y54" s="165">
        <f t="shared" si="40"/>
        <v>0.03274650109</v>
      </c>
      <c r="Z54" s="165">
        <f t="shared" si="40"/>
        <v>0.01750238079</v>
      </c>
      <c r="AA54" s="165">
        <f t="shared" si="40"/>
        <v>6</v>
      </c>
      <c r="AB54" s="165">
        <f t="shared" si="40"/>
        <v>6.027713773</v>
      </c>
      <c r="AC54" s="165">
        <f t="shared" si="40"/>
        <v>6.244997998</v>
      </c>
      <c r="AD54" s="165">
        <f t="shared" si="40"/>
        <v>5.686240703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0.7658333333</v>
      </c>
      <c r="G55" s="167">
        <f t="shared" si="41"/>
        <v>0.7326333333</v>
      </c>
      <c r="H55" s="167">
        <f t="shared" si="41"/>
        <v>0.6407</v>
      </c>
      <c r="I55" s="167">
        <f t="shared" si="41"/>
        <v>0.7055</v>
      </c>
      <c r="J55" s="167">
        <f t="shared" si="41"/>
        <v>0.7383666667</v>
      </c>
      <c r="K55" s="167">
        <f t="shared" si="41"/>
        <v>0.3079</v>
      </c>
      <c r="L55" s="167">
        <f t="shared" si="41"/>
        <v>0.8748333333</v>
      </c>
      <c r="M55" s="167">
        <f t="shared" si="41"/>
        <v>0.7774</v>
      </c>
      <c r="N55" s="167">
        <f t="shared" si="41"/>
        <v>33.2</v>
      </c>
      <c r="O55" s="167">
        <f t="shared" si="41"/>
        <v>48.46666667</v>
      </c>
      <c r="P55" s="167">
        <f t="shared" si="41"/>
        <v>23.53333333</v>
      </c>
      <c r="Q55" s="167">
        <f t="shared" si="41"/>
        <v>164.1333333</v>
      </c>
      <c r="R55" s="168"/>
      <c r="S55" s="167">
        <f t="shared" ref="S55:AD55" si="42">AVERAGE(S8, S13, S18, S23,S28,S33,S38,S43,S48,S53)</f>
        <v>0.7614</v>
      </c>
      <c r="T55" s="167">
        <f t="shared" si="42"/>
        <v>0.7279333333</v>
      </c>
      <c r="U55" s="167">
        <f t="shared" si="42"/>
        <v>0.6728</v>
      </c>
      <c r="V55" s="167">
        <f t="shared" si="42"/>
        <v>0.7245666667</v>
      </c>
      <c r="W55" s="167">
        <f t="shared" si="42"/>
        <v>0.7274666667</v>
      </c>
      <c r="X55" s="167">
        <f t="shared" si="42"/>
        <v>0.3511</v>
      </c>
      <c r="Y55" s="167">
        <f t="shared" si="42"/>
        <v>0.8127666667</v>
      </c>
      <c r="Z55" s="167">
        <f t="shared" si="42"/>
        <v>0.8026333333</v>
      </c>
      <c r="AA55" s="167">
        <f t="shared" si="42"/>
        <v>43.53333333</v>
      </c>
      <c r="AB55" s="167">
        <f t="shared" si="42"/>
        <v>38.43333333</v>
      </c>
      <c r="AC55" s="167">
        <f t="shared" si="42"/>
        <v>35.16666667</v>
      </c>
      <c r="AD55" s="167">
        <f t="shared" si="42"/>
        <v>152.5333333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 F13, F18, F23,F28,F33,F38,F43,F48,F53)</f>
        <v>0.01492967052</v>
      </c>
      <c r="G57" s="168">
        <f t="shared" si="43"/>
        <v>0.01212226805</v>
      </c>
      <c r="H57" s="168">
        <f t="shared" si="43"/>
        <v>0.0249866384</v>
      </c>
      <c r="I57" s="168">
        <f t="shared" si="43"/>
        <v>0.0240915179</v>
      </c>
      <c r="J57" s="168">
        <f t="shared" si="43"/>
        <v>0.01894791431</v>
      </c>
      <c r="K57" s="168">
        <f t="shared" si="43"/>
        <v>0.05216167885</v>
      </c>
      <c r="L57" s="168">
        <f t="shared" si="43"/>
        <v>0.02833060989</v>
      </c>
      <c r="M57" s="168">
        <f t="shared" si="43"/>
        <v>0.01535007138</v>
      </c>
      <c r="N57" s="168">
        <f t="shared" si="43"/>
        <v>5.837723216</v>
      </c>
      <c r="O57" s="168">
        <f t="shared" si="43"/>
        <v>5.837723216</v>
      </c>
      <c r="P57" s="168">
        <f t="shared" si="43"/>
        <v>5.322210624</v>
      </c>
      <c r="Q57" s="168">
        <f t="shared" si="43"/>
        <v>5.322210624</v>
      </c>
      <c r="R57" s="168"/>
      <c r="S57" s="168">
        <f t="shared" ref="S57:AD57" si="44">STDEV(S8, S13, S18, S23,S28,S33,S38,S43,S48,S53)</f>
        <v>0.008406053081</v>
      </c>
      <c r="T57" s="168">
        <f t="shared" si="44"/>
        <v>0.006101608774</v>
      </c>
      <c r="U57" s="168">
        <f t="shared" si="44"/>
        <v>0.01633235069</v>
      </c>
      <c r="V57" s="168">
        <f t="shared" si="44"/>
        <v>0.007004495911</v>
      </c>
      <c r="W57" s="168">
        <f t="shared" si="44"/>
        <v>0.01086868875</v>
      </c>
      <c r="X57" s="168">
        <f t="shared" si="44"/>
        <v>0.02461007021</v>
      </c>
      <c r="Y57" s="168">
        <f t="shared" si="44"/>
        <v>0.02631717742</v>
      </c>
      <c r="Z57" s="168">
        <f t="shared" si="44"/>
        <v>0.01554320939</v>
      </c>
      <c r="AA57" s="168">
        <f t="shared" si="44"/>
        <v>4.603273124</v>
      </c>
      <c r="AB57" s="168">
        <f t="shared" si="44"/>
        <v>4.784362388</v>
      </c>
      <c r="AC57" s="168">
        <f t="shared" si="44"/>
        <v>5.028928659</v>
      </c>
      <c r="AD57" s="168">
        <f t="shared" si="44"/>
        <v>4.952116395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3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R23:R24"/>
    <mergeCell ref="B24:E24"/>
    <mergeCell ref="B10:B12"/>
    <mergeCell ref="B13:E13"/>
    <mergeCell ref="A15:A19"/>
    <mergeCell ref="B15:B17"/>
    <mergeCell ref="B18:E18"/>
    <mergeCell ref="B19:E19"/>
    <mergeCell ref="A20:A24"/>
    <mergeCell ref="A25:A29"/>
    <mergeCell ref="B25:B27"/>
    <mergeCell ref="B28:E28"/>
    <mergeCell ref="B29:E29"/>
    <mergeCell ref="A30:A34"/>
    <mergeCell ref="B30:B32"/>
    <mergeCell ref="R33:R34"/>
    <mergeCell ref="A40:A44"/>
    <mergeCell ref="A45:A49"/>
    <mergeCell ref="B45:B47"/>
    <mergeCell ref="B48:E48"/>
    <mergeCell ref="B49:E49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Y57:Y58"/>
    <mergeCell ref="B40:B42"/>
    <mergeCell ref="B43:E43"/>
    <mergeCell ref="B33:E33"/>
    <mergeCell ref="B34:E34"/>
    <mergeCell ref="A35:A39"/>
    <mergeCell ref="B35:B37"/>
    <mergeCell ref="B38:E38"/>
    <mergeCell ref="B39:E39"/>
    <mergeCell ref="B44:E44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AC55:AC56"/>
    <mergeCell ref="AD55:AD56"/>
    <mergeCell ref="V55:V56"/>
    <mergeCell ref="W55:W56"/>
    <mergeCell ref="X55:X56"/>
    <mergeCell ref="Y55:Y56"/>
    <mergeCell ref="Z55:Z56"/>
    <mergeCell ref="AA55:AA56"/>
    <mergeCell ref="AB55:AB56"/>
    <mergeCell ref="A50:A54"/>
    <mergeCell ref="B50:B52"/>
    <mergeCell ref="B53:E53"/>
    <mergeCell ref="B54:E54"/>
    <mergeCell ref="A55:E56"/>
    <mergeCell ref="F55:F56"/>
    <mergeCell ref="G55:G56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51</v>
      </c>
      <c r="O2" s="77" t="s">
        <v>3</v>
      </c>
      <c r="P2" s="77" t="s">
        <v>4</v>
      </c>
      <c r="Q2" s="77" t="s">
        <v>52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53</v>
      </c>
      <c r="AB2" s="77" t="s">
        <v>3</v>
      </c>
      <c r="AC2" s="77" t="s">
        <v>4</v>
      </c>
      <c r="AD2" s="78" t="s">
        <v>54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55</v>
      </c>
      <c r="B5" s="88">
        <v>1.0</v>
      </c>
      <c r="C5" s="89" t="b">
        <v>1</v>
      </c>
      <c r="D5" s="89" t="s">
        <v>43</v>
      </c>
      <c r="E5" s="89" t="s">
        <v>44</v>
      </c>
      <c r="F5" s="172">
        <v>0.798</v>
      </c>
      <c r="G5" s="173">
        <v>0.737</v>
      </c>
      <c r="H5" s="173">
        <v>0.698</v>
      </c>
      <c r="I5" s="173">
        <v>0.739</v>
      </c>
      <c r="J5" s="173">
        <v>0.742</v>
      </c>
      <c r="K5" s="173">
        <v>0.389</v>
      </c>
      <c r="L5" s="173">
        <v>0.798</v>
      </c>
      <c r="M5" s="173">
        <v>0.82</v>
      </c>
      <c r="N5" s="174">
        <v>49.0</v>
      </c>
      <c r="O5" s="174">
        <v>33.0</v>
      </c>
      <c r="P5" s="174">
        <v>38.0</v>
      </c>
      <c r="Q5" s="174">
        <v>150.0</v>
      </c>
      <c r="R5" s="175"/>
      <c r="S5" s="176">
        <v>0.807</v>
      </c>
      <c r="T5" s="177">
        <v>0.774</v>
      </c>
      <c r="U5" s="177">
        <v>0.707</v>
      </c>
      <c r="V5" s="177">
        <v>0.767</v>
      </c>
      <c r="W5" s="177">
        <v>0.765</v>
      </c>
      <c r="X5" s="176">
        <v>0.441</v>
      </c>
      <c r="Y5" s="176">
        <v>0.878</v>
      </c>
      <c r="Z5" s="176">
        <v>0.813</v>
      </c>
      <c r="AA5" s="178">
        <v>44.0</v>
      </c>
      <c r="AB5" s="179">
        <v>38.0</v>
      </c>
      <c r="AC5" s="179">
        <v>23.0</v>
      </c>
      <c r="AD5" s="180">
        <v>165.0</v>
      </c>
    </row>
    <row r="6">
      <c r="A6" s="7"/>
      <c r="C6" s="99" t="b">
        <v>1</v>
      </c>
      <c r="D6" s="99" t="s">
        <v>43</v>
      </c>
      <c r="E6" s="99" t="s">
        <v>45</v>
      </c>
      <c r="F6" s="181">
        <v>0.741</v>
      </c>
      <c r="G6" s="182">
        <v>0.755</v>
      </c>
      <c r="H6" s="182">
        <v>0.712</v>
      </c>
      <c r="I6" s="182">
        <v>0.755</v>
      </c>
      <c r="J6" s="182">
        <v>0.756</v>
      </c>
      <c r="K6" s="182">
        <v>0.421</v>
      </c>
      <c r="L6" s="182">
        <v>0.819</v>
      </c>
      <c r="M6" s="182">
        <v>0.828</v>
      </c>
      <c r="N6" s="183">
        <v>49.0</v>
      </c>
      <c r="O6" s="183">
        <v>32.0</v>
      </c>
      <c r="P6" s="183">
        <v>34.0</v>
      </c>
      <c r="Q6" s="183">
        <v>154.0</v>
      </c>
      <c r="R6" s="184"/>
      <c r="S6" s="185">
        <v>0.725</v>
      </c>
      <c r="T6" s="186">
        <v>0.695</v>
      </c>
      <c r="U6" s="186">
        <v>0.634</v>
      </c>
      <c r="V6" s="186">
        <v>0.694</v>
      </c>
      <c r="W6" s="186">
        <v>0.693</v>
      </c>
      <c r="X6" s="185">
        <v>0.271</v>
      </c>
      <c r="Y6" s="185">
        <v>0.787</v>
      </c>
      <c r="Z6" s="185">
        <v>0.779</v>
      </c>
      <c r="AA6" s="187">
        <v>39.0</v>
      </c>
      <c r="AB6" s="188">
        <v>42.0</v>
      </c>
      <c r="AC6" s="188">
        <v>40.0</v>
      </c>
      <c r="AD6" s="189">
        <v>148.0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90">
        <v>0.786</v>
      </c>
      <c r="G7" s="191">
        <v>0.721</v>
      </c>
      <c r="H7" s="191">
        <v>0.642</v>
      </c>
      <c r="I7" s="191">
        <v>0.711</v>
      </c>
      <c r="J7" s="191">
        <v>0.707</v>
      </c>
      <c r="K7" s="191">
        <v>0.305</v>
      </c>
      <c r="L7" s="191">
        <v>0.845</v>
      </c>
      <c r="M7" s="191">
        <v>0.775</v>
      </c>
      <c r="N7" s="192">
        <v>36.0</v>
      </c>
      <c r="O7" s="192">
        <v>46.0</v>
      </c>
      <c r="P7" s="192">
        <v>29.0</v>
      </c>
      <c r="Q7" s="192">
        <v>158.0</v>
      </c>
      <c r="R7" s="193"/>
      <c r="S7" s="194">
        <v>0.765</v>
      </c>
      <c r="T7" s="195">
        <v>0.71</v>
      </c>
      <c r="U7" s="195">
        <v>0.658</v>
      </c>
      <c r="V7" s="195">
        <v>0.71</v>
      </c>
      <c r="W7" s="195">
        <v>0.71</v>
      </c>
      <c r="X7" s="194">
        <v>0.316</v>
      </c>
      <c r="Y7" s="194">
        <v>0.791</v>
      </c>
      <c r="Z7" s="194">
        <v>0.791</v>
      </c>
      <c r="AA7" s="196">
        <v>43.0</v>
      </c>
      <c r="AB7" s="197">
        <v>39.0</v>
      </c>
      <c r="AC7" s="197">
        <v>39.0</v>
      </c>
      <c r="AD7" s="198">
        <v>148.0</v>
      </c>
    </row>
    <row r="8">
      <c r="A8" s="7"/>
      <c r="B8" s="114" t="s">
        <v>47</v>
      </c>
      <c r="C8" s="30"/>
      <c r="D8" s="30"/>
      <c r="E8" s="72"/>
      <c r="F8" s="199">
        <f t="shared" ref="F8:Q8" si="1">AVERAGE(F5:F7)</f>
        <v>0.775</v>
      </c>
      <c r="G8" s="199">
        <f t="shared" si="1"/>
        <v>0.7376666667</v>
      </c>
      <c r="H8" s="161">
        <f t="shared" si="1"/>
        <v>0.684</v>
      </c>
      <c r="I8" s="161">
        <f t="shared" si="1"/>
        <v>0.735</v>
      </c>
      <c r="J8" s="199">
        <f t="shared" si="1"/>
        <v>0.735</v>
      </c>
      <c r="K8" s="199">
        <f t="shared" si="1"/>
        <v>0.3716666667</v>
      </c>
      <c r="L8" s="199">
        <f t="shared" si="1"/>
        <v>0.8206666667</v>
      </c>
      <c r="M8" s="199">
        <f t="shared" si="1"/>
        <v>0.8076666667</v>
      </c>
      <c r="N8" s="161">
        <f t="shared" si="1"/>
        <v>44.66666667</v>
      </c>
      <c r="O8" s="161">
        <f t="shared" si="1"/>
        <v>37</v>
      </c>
      <c r="P8" s="199">
        <f t="shared" si="1"/>
        <v>33.66666667</v>
      </c>
      <c r="Q8" s="199">
        <f t="shared" si="1"/>
        <v>154</v>
      </c>
      <c r="R8" s="200"/>
      <c r="S8" s="199">
        <f t="shared" ref="S8:AD8" si="2">AVERAGE(S5:S7)</f>
        <v>0.7656666667</v>
      </c>
      <c r="T8" s="117">
        <f t="shared" si="2"/>
        <v>0.7263333333</v>
      </c>
      <c r="U8" s="199">
        <f t="shared" si="2"/>
        <v>0.6663333333</v>
      </c>
      <c r="V8" s="199">
        <f t="shared" si="2"/>
        <v>0.7236666667</v>
      </c>
      <c r="W8" s="199">
        <f t="shared" si="2"/>
        <v>0.7226666667</v>
      </c>
      <c r="X8" s="199">
        <f t="shared" si="2"/>
        <v>0.3426666667</v>
      </c>
      <c r="Y8" s="199">
        <f t="shared" si="2"/>
        <v>0.8186666667</v>
      </c>
      <c r="Z8" s="199">
        <f t="shared" si="2"/>
        <v>0.7943333333</v>
      </c>
      <c r="AA8" s="199">
        <f t="shared" si="2"/>
        <v>42</v>
      </c>
      <c r="AB8" s="199">
        <f t="shared" si="2"/>
        <v>39.66666667</v>
      </c>
      <c r="AC8" s="199">
        <f t="shared" si="2"/>
        <v>34</v>
      </c>
      <c r="AD8" s="201">
        <f t="shared" si="2"/>
        <v>153.6666667</v>
      </c>
    </row>
    <row r="9">
      <c r="A9" s="119"/>
      <c r="B9" s="120" t="s">
        <v>48</v>
      </c>
      <c r="C9" s="121"/>
      <c r="D9" s="121"/>
      <c r="E9" s="122"/>
      <c r="F9" s="202">
        <f t="shared" ref="F9:Q9" si="3">STDEV(F5:F7)</f>
        <v>0.0300499584</v>
      </c>
      <c r="G9" s="202">
        <f t="shared" si="3"/>
        <v>0.0170098011</v>
      </c>
      <c r="H9" s="202">
        <f t="shared" si="3"/>
        <v>0.03704051835</v>
      </c>
      <c r="I9" s="202">
        <f t="shared" si="3"/>
        <v>0.02227105745</v>
      </c>
      <c r="J9" s="202">
        <f t="shared" si="3"/>
        <v>0.02523885893</v>
      </c>
      <c r="K9" s="202">
        <f t="shared" si="3"/>
        <v>0.05991104517</v>
      </c>
      <c r="L9" s="202">
        <f t="shared" si="3"/>
        <v>0.02354428452</v>
      </c>
      <c r="M9" s="202">
        <f t="shared" si="3"/>
        <v>0.02857154762</v>
      </c>
      <c r="N9" s="202">
        <f t="shared" si="3"/>
        <v>7.505553499</v>
      </c>
      <c r="O9" s="202">
        <f t="shared" si="3"/>
        <v>7.810249676</v>
      </c>
      <c r="P9" s="202">
        <f t="shared" si="3"/>
        <v>4.509249753</v>
      </c>
      <c r="Q9" s="202">
        <f t="shared" si="3"/>
        <v>4</v>
      </c>
      <c r="R9" s="202"/>
      <c r="S9" s="202">
        <f t="shared" ref="S9:AD9" si="4">STDEV(S5:S7)</f>
        <v>0.04100406484</v>
      </c>
      <c r="T9" s="202">
        <f t="shared" si="4"/>
        <v>0.0419563265</v>
      </c>
      <c r="U9" s="202">
        <f t="shared" si="4"/>
        <v>0.03720663023</v>
      </c>
      <c r="V9" s="202">
        <f t="shared" si="4"/>
        <v>0.03837099599</v>
      </c>
      <c r="W9" s="202">
        <f t="shared" si="4"/>
        <v>0.0376342043</v>
      </c>
      <c r="X9" s="202">
        <f t="shared" si="4"/>
        <v>0.08808140174</v>
      </c>
      <c r="Y9" s="202">
        <f t="shared" si="4"/>
        <v>0.05142308172</v>
      </c>
      <c r="Z9" s="202">
        <f t="shared" si="4"/>
        <v>0.01724335621</v>
      </c>
      <c r="AA9" s="202">
        <f t="shared" si="4"/>
        <v>2.645751311</v>
      </c>
      <c r="AB9" s="202">
        <f t="shared" si="4"/>
        <v>2.081665999</v>
      </c>
      <c r="AC9" s="202">
        <f t="shared" si="4"/>
        <v>9.539392014</v>
      </c>
      <c r="AD9" s="202">
        <f t="shared" si="4"/>
        <v>9.814954576</v>
      </c>
    </row>
    <row r="10">
      <c r="A10" s="171" t="s">
        <v>55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0.765</v>
      </c>
      <c r="G10" s="91">
        <v>0.756</v>
      </c>
      <c r="H10" s="91">
        <v>0.687</v>
      </c>
      <c r="I10" s="91">
        <v>0.749</v>
      </c>
      <c r="J10" s="91">
        <v>0.746</v>
      </c>
      <c r="K10" s="91">
        <v>0.396</v>
      </c>
      <c r="L10" s="91">
        <v>0.862</v>
      </c>
      <c r="M10" s="91">
        <v>0.802</v>
      </c>
      <c r="N10" s="92">
        <v>42.0</v>
      </c>
      <c r="O10" s="92">
        <v>40.0</v>
      </c>
      <c r="P10" s="92">
        <v>26.0</v>
      </c>
      <c r="Q10" s="92">
        <v>162.0</v>
      </c>
      <c r="R10" s="93"/>
      <c r="S10" s="94">
        <v>0.796</v>
      </c>
      <c r="T10" s="95">
        <v>0.774</v>
      </c>
      <c r="U10" s="95">
        <v>0.68</v>
      </c>
      <c r="V10" s="95">
        <v>0.756</v>
      </c>
      <c r="W10" s="95">
        <v>0.764</v>
      </c>
      <c r="X10" s="94">
        <v>0.422</v>
      </c>
      <c r="Y10" s="94">
        <v>0.92</v>
      </c>
      <c r="Z10" s="94">
        <v>0.79</v>
      </c>
      <c r="AA10" s="96">
        <v>36.0</v>
      </c>
      <c r="AB10" s="97">
        <v>46.0</v>
      </c>
      <c r="AC10" s="97">
        <v>15.0</v>
      </c>
      <c r="AD10" s="98">
        <v>173.0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0.712</v>
      </c>
      <c r="G11" s="101">
        <v>0.732</v>
      </c>
      <c r="H11" s="101">
        <v>0.619</v>
      </c>
      <c r="I11" s="101">
        <v>0.706</v>
      </c>
      <c r="J11" s="101">
        <v>0.711</v>
      </c>
      <c r="K11" s="101">
        <v>0.292</v>
      </c>
      <c r="L11" s="101">
        <v>0.904</v>
      </c>
      <c r="M11" s="101">
        <v>0.759</v>
      </c>
      <c r="N11" s="102">
        <v>27.0</v>
      </c>
      <c r="O11" s="102">
        <v>54.0</v>
      </c>
      <c r="P11" s="102">
        <v>18.0</v>
      </c>
      <c r="Q11" s="102">
        <v>170.0</v>
      </c>
      <c r="R11" s="103"/>
      <c r="S11" s="104">
        <v>0.701</v>
      </c>
      <c r="T11" s="105">
        <v>0.721</v>
      </c>
      <c r="U11" s="105">
        <v>0.66</v>
      </c>
      <c r="V11" s="105">
        <v>0.719</v>
      </c>
      <c r="W11" s="105">
        <v>0.716</v>
      </c>
      <c r="X11" s="104">
        <v>0.326</v>
      </c>
      <c r="Y11" s="104">
        <v>0.814</v>
      </c>
      <c r="Z11" s="104">
        <v>0.793</v>
      </c>
      <c r="AA11" s="106">
        <v>41.0</v>
      </c>
      <c r="AB11" s="107">
        <v>40.0</v>
      </c>
      <c r="AC11" s="107">
        <v>35.0</v>
      </c>
      <c r="AD11" s="108">
        <v>153.0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0.759</v>
      </c>
      <c r="G12" s="101">
        <v>0.721</v>
      </c>
      <c r="H12" s="101">
        <v>0.628</v>
      </c>
      <c r="I12" s="101">
        <v>0.705</v>
      </c>
      <c r="J12" s="101">
        <v>0.702</v>
      </c>
      <c r="K12" s="101">
        <v>0.289</v>
      </c>
      <c r="L12" s="101">
        <v>0.866</v>
      </c>
      <c r="M12" s="101">
        <v>0.764</v>
      </c>
      <c r="N12" s="110">
        <v>32.0</v>
      </c>
      <c r="O12" s="110">
        <v>50.0</v>
      </c>
      <c r="P12" s="110">
        <v>25.0</v>
      </c>
      <c r="Q12" s="110">
        <v>162.0</v>
      </c>
      <c r="R12" s="103"/>
      <c r="S12" s="104">
        <v>0.777</v>
      </c>
      <c r="T12" s="105">
        <v>0.699</v>
      </c>
      <c r="U12" s="105">
        <v>0.674</v>
      </c>
      <c r="V12" s="105">
        <v>0.706</v>
      </c>
      <c r="W12" s="105">
        <v>0.718</v>
      </c>
      <c r="X12" s="104">
        <v>0.332</v>
      </c>
      <c r="Y12" s="104">
        <v>0.738</v>
      </c>
      <c r="Z12" s="104">
        <v>0.812</v>
      </c>
      <c r="AA12" s="111">
        <v>50.0</v>
      </c>
      <c r="AB12" s="112">
        <v>32.0</v>
      </c>
      <c r="AC12" s="112">
        <v>49.0</v>
      </c>
      <c r="AD12" s="113">
        <v>138.0</v>
      </c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0.7453333333</v>
      </c>
      <c r="G13" s="115">
        <f t="shared" si="5"/>
        <v>0.7363333333</v>
      </c>
      <c r="H13" s="115">
        <f t="shared" si="5"/>
        <v>0.6446666667</v>
      </c>
      <c r="I13" s="115">
        <f t="shared" si="5"/>
        <v>0.72</v>
      </c>
      <c r="J13" s="115">
        <f t="shared" si="5"/>
        <v>0.7196666667</v>
      </c>
      <c r="K13" s="115">
        <f t="shared" si="5"/>
        <v>0.3256666667</v>
      </c>
      <c r="L13" s="117">
        <f t="shared" si="5"/>
        <v>0.8773333333</v>
      </c>
      <c r="M13" s="115">
        <f t="shared" si="5"/>
        <v>0.775</v>
      </c>
      <c r="N13" s="115">
        <f t="shared" si="5"/>
        <v>33.66666667</v>
      </c>
      <c r="O13" s="115">
        <f t="shared" si="5"/>
        <v>48</v>
      </c>
      <c r="P13" s="117">
        <f t="shared" si="5"/>
        <v>23</v>
      </c>
      <c r="Q13" s="117">
        <f t="shared" si="5"/>
        <v>164.6666667</v>
      </c>
      <c r="R13" s="116"/>
      <c r="S13" s="117">
        <f t="shared" ref="S13:AD13" si="6">AVERAGE(S10:S12)</f>
        <v>0.758</v>
      </c>
      <c r="T13" s="115">
        <f t="shared" si="6"/>
        <v>0.7313333333</v>
      </c>
      <c r="U13" s="115">
        <f t="shared" si="6"/>
        <v>0.6713333333</v>
      </c>
      <c r="V13" s="117">
        <f t="shared" si="6"/>
        <v>0.727</v>
      </c>
      <c r="W13" s="117">
        <f t="shared" si="6"/>
        <v>0.7326666667</v>
      </c>
      <c r="X13" s="117">
        <f t="shared" si="6"/>
        <v>0.36</v>
      </c>
      <c r="Y13" s="115">
        <f t="shared" si="6"/>
        <v>0.824</v>
      </c>
      <c r="Z13" s="115">
        <f t="shared" si="6"/>
        <v>0.7983333333</v>
      </c>
      <c r="AA13" s="115">
        <f t="shared" si="6"/>
        <v>42.33333333</v>
      </c>
      <c r="AB13" s="115">
        <f t="shared" si="6"/>
        <v>39.33333333</v>
      </c>
      <c r="AC13" s="115">
        <f t="shared" si="6"/>
        <v>33</v>
      </c>
      <c r="AD13" s="118">
        <f t="shared" si="6"/>
        <v>154.6666667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0.0290229794</v>
      </c>
      <c r="G14" s="123">
        <f t="shared" si="7"/>
        <v>0.01789785834</v>
      </c>
      <c r="H14" s="123">
        <f t="shared" si="7"/>
        <v>0.0369368831</v>
      </c>
      <c r="I14" s="123">
        <f t="shared" si="7"/>
        <v>0.02511971337</v>
      </c>
      <c r="J14" s="123">
        <f t="shared" si="7"/>
        <v>0.02324507116</v>
      </c>
      <c r="K14" s="123">
        <f t="shared" si="7"/>
        <v>0.06092892034</v>
      </c>
      <c r="L14" s="123">
        <f t="shared" si="7"/>
        <v>0.02318045153</v>
      </c>
      <c r="M14" s="123">
        <f t="shared" si="7"/>
        <v>0.02351595203</v>
      </c>
      <c r="N14" s="123">
        <f t="shared" si="7"/>
        <v>7.637626158</v>
      </c>
      <c r="O14" s="123">
        <f t="shared" si="7"/>
        <v>7.211102551</v>
      </c>
      <c r="P14" s="123">
        <f t="shared" si="7"/>
        <v>4.358898944</v>
      </c>
      <c r="Q14" s="123">
        <f t="shared" si="7"/>
        <v>4.618802154</v>
      </c>
      <c r="R14" s="123"/>
      <c r="S14" s="123">
        <f t="shared" ref="S14:AD14" si="8">STDEV(S10:S12)</f>
        <v>0.05026927491</v>
      </c>
      <c r="T14" s="123">
        <f t="shared" si="8"/>
        <v>0.03855299383</v>
      </c>
      <c r="U14" s="123">
        <f t="shared" si="8"/>
        <v>0.01026320288</v>
      </c>
      <c r="V14" s="123">
        <f t="shared" si="8"/>
        <v>0.02594224354</v>
      </c>
      <c r="W14" s="123">
        <f t="shared" si="8"/>
        <v>0.02715388247</v>
      </c>
      <c r="X14" s="123">
        <f t="shared" si="8"/>
        <v>0.05377731864</v>
      </c>
      <c r="Y14" s="123">
        <f t="shared" si="8"/>
        <v>0.09141115906</v>
      </c>
      <c r="Z14" s="123">
        <f t="shared" si="8"/>
        <v>0.01193035345</v>
      </c>
      <c r="AA14" s="123">
        <f t="shared" si="8"/>
        <v>7.094598885</v>
      </c>
      <c r="AB14" s="123">
        <f t="shared" si="8"/>
        <v>7.023769169</v>
      </c>
      <c r="AC14" s="123">
        <f t="shared" si="8"/>
        <v>17.08800749</v>
      </c>
      <c r="AD14" s="123">
        <f t="shared" si="8"/>
        <v>17.55942292</v>
      </c>
    </row>
    <row r="15">
      <c r="A15" s="171" t="s">
        <v>55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0.736</v>
      </c>
      <c r="G15" s="91">
        <v>0.733</v>
      </c>
      <c r="H15" s="91">
        <v>0.692</v>
      </c>
      <c r="I15" s="91">
        <v>0.735</v>
      </c>
      <c r="J15" s="91">
        <v>0.737</v>
      </c>
      <c r="K15" s="91">
        <v>0.378</v>
      </c>
      <c r="L15" s="91">
        <v>0.798</v>
      </c>
      <c r="M15" s="91">
        <v>0.815</v>
      </c>
      <c r="N15" s="92">
        <v>48.0</v>
      </c>
      <c r="O15" s="92">
        <v>34.0</v>
      </c>
      <c r="P15" s="92">
        <v>38.0</v>
      </c>
      <c r="Q15" s="92">
        <v>150.0</v>
      </c>
      <c r="R15" s="93"/>
      <c r="S15" s="94">
        <v>0.764</v>
      </c>
      <c r="T15" s="95">
        <v>0.756</v>
      </c>
      <c r="U15" s="95">
        <v>0.673</v>
      </c>
      <c r="V15" s="95">
        <v>0.743</v>
      </c>
      <c r="W15" s="95">
        <v>0.743</v>
      </c>
      <c r="X15" s="94">
        <v>0.383</v>
      </c>
      <c r="Y15" s="94">
        <v>0.883</v>
      </c>
      <c r="Z15" s="94">
        <v>0.79</v>
      </c>
      <c r="AA15" s="96">
        <v>38.0</v>
      </c>
      <c r="AB15" s="97">
        <v>44.0</v>
      </c>
      <c r="AC15" s="97">
        <v>22.0</v>
      </c>
      <c r="AD15" s="98">
        <v>166.0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0.743</v>
      </c>
      <c r="G16" s="101">
        <v>0.743</v>
      </c>
      <c r="H16" s="101">
        <v>0.669</v>
      </c>
      <c r="I16" s="101">
        <v>0.735</v>
      </c>
      <c r="J16" s="101">
        <v>0.732</v>
      </c>
      <c r="K16" s="101">
        <v>0.36</v>
      </c>
      <c r="L16" s="101">
        <v>0.856</v>
      </c>
      <c r="M16" s="101">
        <v>0.793</v>
      </c>
      <c r="N16" s="102">
        <v>39.0</v>
      </c>
      <c r="O16" s="102">
        <v>42.0</v>
      </c>
      <c r="P16" s="102">
        <v>27.0</v>
      </c>
      <c r="Q16" s="102">
        <v>161.0</v>
      </c>
      <c r="R16" s="103"/>
      <c r="S16" s="104">
        <v>0.698</v>
      </c>
      <c r="T16" s="105">
        <v>0.721</v>
      </c>
      <c r="U16" s="105">
        <v>0.625</v>
      </c>
      <c r="V16" s="105">
        <v>0.704</v>
      </c>
      <c r="W16" s="105">
        <v>0.702</v>
      </c>
      <c r="X16" s="104">
        <v>0.282</v>
      </c>
      <c r="Y16" s="104">
        <v>0.867</v>
      </c>
      <c r="Z16" s="104">
        <v>0.765</v>
      </c>
      <c r="AA16" s="106">
        <v>31.0</v>
      </c>
      <c r="AB16" s="107">
        <v>50.0</v>
      </c>
      <c r="AC16" s="107">
        <v>25.0</v>
      </c>
      <c r="AD16" s="108">
        <v>163.0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0.802</v>
      </c>
      <c r="G17" s="101">
        <v>0.714</v>
      </c>
      <c r="H17" s="101">
        <v>0.589</v>
      </c>
      <c r="I17" s="101">
        <v>0.678</v>
      </c>
      <c r="J17" s="101">
        <v>0.686</v>
      </c>
      <c r="K17" s="101">
        <v>0.232</v>
      </c>
      <c r="L17" s="101">
        <v>0.909</v>
      </c>
      <c r="M17" s="101">
        <v>0.739</v>
      </c>
      <c r="N17" s="110">
        <v>22.0</v>
      </c>
      <c r="O17" s="110">
        <v>60.0</v>
      </c>
      <c r="P17" s="110">
        <v>17.0</v>
      </c>
      <c r="Q17" s="110">
        <v>170.0</v>
      </c>
      <c r="R17" s="103"/>
      <c r="S17" s="104">
        <v>0.786</v>
      </c>
      <c r="T17" s="105">
        <v>0.725</v>
      </c>
      <c r="U17" s="105">
        <v>0.624</v>
      </c>
      <c r="V17" s="105">
        <v>0.704</v>
      </c>
      <c r="W17" s="105">
        <v>0.704</v>
      </c>
      <c r="X17" s="104">
        <v>0.289</v>
      </c>
      <c r="Y17" s="104">
        <v>0.882</v>
      </c>
      <c r="Z17" s="104">
        <v>0.76</v>
      </c>
      <c r="AA17" s="111">
        <v>30.0</v>
      </c>
      <c r="AB17" s="112">
        <v>52.0</v>
      </c>
      <c r="AC17" s="112">
        <v>22.0</v>
      </c>
      <c r="AD17" s="113">
        <v>165.0</v>
      </c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0.7603333333</v>
      </c>
      <c r="G18" s="115">
        <f t="shared" si="9"/>
        <v>0.73</v>
      </c>
      <c r="H18" s="115">
        <f t="shared" si="9"/>
        <v>0.65</v>
      </c>
      <c r="I18" s="115">
        <f t="shared" si="9"/>
        <v>0.716</v>
      </c>
      <c r="J18" s="115">
        <f t="shared" si="9"/>
        <v>0.7183333333</v>
      </c>
      <c r="K18" s="115">
        <f t="shared" si="9"/>
        <v>0.3233333333</v>
      </c>
      <c r="L18" s="115">
        <f t="shared" si="9"/>
        <v>0.8543333333</v>
      </c>
      <c r="M18" s="115">
        <f t="shared" si="9"/>
        <v>0.7823333333</v>
      </c>
      <c r="N18" s="115">
        <f t="shared" si="9"/>
        <v>36.33333333</v>
      </c>
      <c r="O18" s="115">
        <f t="shared" si="9"/>
        <v>45.33333333</v>
      </c>
      <c r="P18" s="115">
        <f t="shared" si="9"/>
        <v>27.33333333</v>
      </c>
      <c r="Q18" s="115">
        <f t="shared" si="9"/>
        <v>160.3333333</v>
      </c>
      <c r="R18" s="116"/>
      <c r="S18" s="115">
        <f t="shared" ref="S18:AD18" si="10">AVERAGE(S15:S17)</f>
        <v>0.7493333333</v>
      </c>
      <c r="T18" s="115">
        <f t="shared" si="10"/>
        <v>0.734</v>
      </c>
      <c r="U18" s="117">
        <f t="shared" si="10"/>
        <v>0.6406666667</v>
      </c>
      <c r="V18" s="115">
        <f t="shared" si="10"/>
        <v>0.717</v>
      </c>
      <c r="W18" s="115">
        <f t="shared" si="10"/>
        <v>0.7163333333</v>
      </c>
      <c r="X18" s="115">
        <f t="shared" si="10"/>
        <v>0.318</v>
      </c>
      <c r="Y18" s="115">
        <f t="shared" si="10"/>
        <v>0.8773333333</v>
      </c>
      <c r="Z18" s="117">
        <f t="shared" si="10"/>
        <v>0.7716666667</v>
      </c>
      <c r="AA18" s="115">
        <f t="shared" si="10"/>
        <v>33</v>
      </c>
      <c r="AB18" s="115">
        <f t="shared" si="10"/>
        <v>48.66666667</v>
      </c>
      <c r="AC18" s="115">
        <f t="shared" si="10"/>
        <v>23</v>
      </c>
      <c r="AD18" s="118">
        <f t="shared" si="10"/>
        <v>164.6666667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0.03625373544</v>
      </c>
      <c r="G19" s="123">
        <f t="shared" si="11"/>
        <v>0.01473091986</v>
      </c>
      <c r="H19" s="123">
        <f t="shared" si="11"/>
        <v>0.05406477596</v>
      </c>
      <c r="I19" s="123">
        <f t="shared" si="11"/>
        <v>0.03290896534</v>
      </c>
      <c r="J19" s="123">
        <f t="shared" si="11"/>
        <v>0.02811286775</v>
      </c>
      <c r="K19" s="123">
        <f t="shared" si="11"/>
        <v>0.07960736984</v>
      </c>
      <c r="L19" s="123">
        <f t="shared" si="11"/>
        <v>0.0555187656</v>
      </c>
      <c r="M19" s="123">
        <f t="shared" si="11"/>
        <v>0.03910669167</v>
      </c>
      <c r="N19" s="123">
        <f t="shared" si="11"/>
        <v>13.20353488</v>
      </c>
      <c r="O19" s="123">
        <f t="shared" si="11"/>
        <v>13.31665624</v>
      </c>
      <c r="P19" s="123">
        <f t="shared" si="11"/>
        <v>10.5039675</v>
      </c>
      <c r="Q19" s="123">
        <f t="shared" si="11"/>
        <v>10.0166528</v>
      </c>
      <c r="R19" s="123"/>
      <c r="S19" s="123">
        <f t="shared" ref="S19:AD19" si="12">STDEV(S15:S17)</f>
        <v>0.04579665199</v>
      </c>
      <c r="T19" s="123">
        <f t="shared" si="12"/>
        <v>0.01915724406</v>
      </c>
      <c r="U19" s="123">
        <f t="shared" si="12"/>
        <v>0.02800595175</v>
      </c>
      <c r="V19" s="123">
        <f t="shared" si="12"/>
        <v>0.0225166605</v>
      </c>
      <c r="W19" s="123">
        <f t="shared" si="12"/>
        <v>0.02311565126</v>
      </c>
      <c r="X19" s="123">
        <f t="shared" si="12"/>
        <v>0.05640035461</v>
      </c>
      <c r="Y19" s="123">
        <f t="shared" si="12"/>
        <v>0.00896288644</v>
      </c>
      <c r="Z19" s="123">
        <f t="shared" si="12"/>
        <v>0.01607275127</v>
      </c>
      <c r="AA19" s="123">
        <f t="shared" si="12"/>
        <v>4.358898944</v>
      </c>
      <c r="AB19" s="123">
        <f t="shared" si="12"/>
        <v>4.163331999</v>
      </c>
      <c r="AC19" s="123">
        <f t="shared" si="12"/>
        <v>1.732050808</v>
      </c>
      <c r="AD19" s="123">
        <f t="shared" si="12"/>
        <v>1.527525232</v>
      </c>
    </row>
    <row r="20">
      <c r="A20" s="171" t="s">
        <v>55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0.751</v>
      </c>
      <c r="G20" s="91">
        <v>0.707</v>
      </c>
      <c r="H20" s="91">
        <v>0.663</v>
      </c>
      <c r="I20" s="91">
        <v>0.71</v>
      </c>
      <c r="J20" s="91">
        <v>0.713</v>
      </c>
      <c r="K20" s="91">
        <v>0.32</v>
      </c>
      <c r="L20" s="91">
        <v>0.777</v>
      </c>
      <c r="M20" s="91">
        <v>0.798</v>
      </c>
      <c r="N20" s="92">
        <v>45.0</v>
      </c>
      <c r="O20" s="92">
        <v>37.0</v>
      </c>
      <c r="P20" s="92">
        <v>42.0</v>
      </c>
      <c r="Q20" s="92">
        <v>146.0</v>
      </c>
      <c r="R20" s="93"/>
      <c r="S20" s="94">
        <v>0.775</v>
      </c>
      <c r="T20" s="95">
        <v>0.737</v>
      </c>
      <c r="U20" s="95">
        <v>0.715</v>
      </c>
      <c r="V20" s="95">
        <v>0.743</v>
      </c>
      <c r="W20" s="95">
        <v>0.753</v>
      </c>
      <c r="X20" s="94">
        <v>0.412</v>
      </c>
      <c r="Y20" s="94">
        <v>0.771</v>
      </c>
      <c r="Z20" s="94">
        <v>0.838</v>
      </c>
      <c r="AA20" s="96">
        <v>54.0</v>
      </c>
      <c r="AB20" s="97">
        <v>28.0</v>
      </c>
      <c r="AC20" s="97">
        <v>43.0</v>
      </c>
      <c r="AD20" s="98">
        <v>145.0</v>
      </c>
    </row>
    <row r="21">
      <c r="A21" s="7"/>
      <c r="C21" s="99" t="b">
        <v>1</v>
      </c>
      <c r="D21" s="99" t="s">
        <v>43</v>
      </c>
      <c r="E21" s="99" t="s">
        <v>45</v>
      </c>
      <c r="F21" s="100">
        <v>0.726</v>
      </c>
      <c r="G21" s="101">
        <v>0.743</v>
      </c>
      <c r="H21" s="101">
        <v>0.62</v>
      </c>
      <c r="I21" s="101">
        <v>0.71</v>
      </c>
      <c r="J21" s="101">
        <v>0.728</v>
      </c>
      <c r="K21" s="101">
        <v>0.315</v>
      </c>
      <c r="L21" s="101">
        <v>0.931</v>
      </c>
      <c r="M21" s="101">
        <v>0.758</v>
      </c>
      <c r="N21" s="102">
        <v>25.0</v>
      </c>
      <c r="O21" s="102">
        <v>56.0</v>
      </c>
      <c r="P21" s="102">
        <v>13.0</v>
      </c>
      <c r="Q21" s="102">
        <v>175.0</v>
      </c>
      <c r="R21" s="103"/>
      <c r="S21" s="104">
        <v>0.722</v>
      </c>
      <c r="T21" s="105">
        <v>0.71</v>
      </c>
      <c r="U21" s="105">
        <v>0.634</v>
      </c>
      <c r="V21" s="105">
        <v>0.703</v>
      </c>
      <c r="W21" s="105">
        <v>0.699</v>
      </c>
      <c r="X21" s="104">
        <v>0.282</v>
      </c>
      <c r="Y21" s="104">
        <v>0.824</v>
      </c>
      <c r="Z21" s="104">
        <v>0.775</v>
      </c>
      <c r="AA21" s="106">
        <v>36.0</v>
      </c>
      <c r="AB21" s="107">
        <v>45.0</v>
      </c>
      <c r="AC21" s="107">
        <v>33.0</v>
      </c>
      <c r="AD21" s="108">
        <v>155.0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0.799</v>
      </c>
      <c r="G22" s="101">
        <v>0.74</v>
      </c>
      <c r="H22" s="101">
        <v>0.662</v>
      </c>
      <c r="I22" s="101">
        <v>0.73</v>
      </c>
      <c r="J22" s="101">
        <v>0.727</v>
      </c>
      <c r="K22" s="101">
        <v>0.351</v>
      </c>
      <c r="L22" s="101">
        <v>0.861</v>
      </c>
      <c r="M22" s="101">
        <v>0.785</v>
      </c>
      <c r="N22" s="110">
        <v>38.0</v>
      </c>
      <c r="O22" s="110">
        <v>44.0</v>
      </c>
      <c r="P22" s="110">
        <v>26.0</v>
      </c>
      <c r="Q22" s="110">
        <v>161.0</v>
      </c>
      <c r="R22" s="103"/>
      <c r="S22" s="104">
        <v>0.801</v>
      </c>
      <c r="T22" s="105">
        <v>0.751</v>
      </c>
      <c r="U22" s="105">
        <v>0.674</v>
      </c>
      <c r="V22" s="105">
        <v>0.741</v>
      </c>
      <c r="W22" s="105">
        <v>0.739</v>
      </c>
      <c r="X22" s="104">
        <v>0.377</v>
      </c>
      <c r="Y22" s="104">
        <v>0.872</v>
      </c>
      <c r="Z22" s="104">
        <v>0.791</v>
      </c>
      <c r="AA22" s="111">
        <v>39.0</v>
      </c>
      <c r="AB22" s="112">
        <v>43.0</v>
      </c>
      <c r="AC22" s="112">
        <v>24.0</v>
      </c>
      <c r="AD22" s="113">
        <v>163.0</v>
      </c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0.7586666667</v>
      </c>
      <c r="G23" s="115">
        <f t="shared" si="13"/>
        <v>0.73</v>
      </c>
      <c r="H23" s="117">
        <f t="shared" si="13"/>
        <v>0.6483333333</v>
      </c>
      <c r="I23" s="115">
        <f t="shared" si="13"/>
        <v>0.7166666667</v>
      </c>
      <c r="J23" s="115">
        <f t="shared" si="13"/>
        <v>0.7226666667</v>
      </c>
      <c r="K23" s="117">
        <f t="shared" si="13"/>
        <v>0.3286666667</v>
      </c>
      <c r="L23" s="115">
        <f t="shared" si="13"/>
        <v>0.8563333333</v>
      </c>
      <c r="M23" s="117">
        <f t="shared" si="13"/>
        <v>0.7803333333</v>
      </c>
      <c r="N23" s="117">
        <f t="shared" si="13"/>
        <v>36</v>
      </c>
      <c r="O23" s="117">
        <f t="shared" si="13"/>
        <v>45.66666667</v>
      </c>
      <c r="P23" s="115">
        <f t="shared" si="13"/>
        <v>27</v>
      </c>
      <c r="Q23" s="115">
        <f t="shared" si="13"/>
        <v>160.6666667</v>
      </c>
      <c r="R23" s="116"/>
      <c r="S23" s="115">
        <f t="shared" ref="S23:AD23" si="14">AVERAGE(S20:S22)</f>
        <v>0.766</v>
      </c>
      <c r="T23" s="115">
        <f t="shared" si="14"/>
        <v>0.7326666667</v>
      </c>
      <c r="U23" s="115">
        <f t="shared" si="14"/>
        <v>0.6743333333</v>
      </c>
      <c r="V23" s="115">
        <f t="shared" si="14"/>
        <v>0.729</v>
      </c>
      <c r="W23" s="115">
        <f t="shared" si="14"/>
        <v>0.7303333333</v>
      </c>
      <c r="X23" s="115">
        <f t="shared" si="14"/>
        <v>0.357</v>
      </c>
      <c r="Y23" s="115">
        <f t="shared" si="14"/>
        <v>0.8223333333</v>
      </c>
      <c r="Z23" s="115">
        <f t="shared" si="14"/>
        <v>0.8013333333</v>
      </c>
      <c r="AA23" s="115">
        <f t="shared" si="14"/>
        <v>43</v>
      </c>
      <c r="AB23" s="115">
        <f t="shared" si="14"/>
        <v>38.66666667</v>
      </c>
      <c r="AC23" s="115">
        <f t="shared" si="14"/>
        <v>33.33333333</v>
      </c>
      <c r="AD23" s="118">
        <f t="shared" si="14"/>
        <v>154.3333333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0.03709896674</v>
      </c>
      <c r="G24" s="123">
        <f t="shared" si="15"/>
        <v>0.01997498436</v>
      </c>
      <c r="H24" s="123">
        <f t="shared" si="15"/>
        <v>0.02454248018</v>
      </c>
      <c r="I24" s="123">
        <f t="shared" si="15"/>
        <v>0.01154700538</v>
      </c>
      <c r="J24" s="123">
        <f t="shared" si="15"/>
        <v>0.008386497084</v>
      </c>
      <c r="K24" s="123">
        <f t="shared" si="15"/>
        <v>0.01950213664</v>
      </c>
      <c r="L24" s="123">
        <f t="shared" si="15"/>
        <v>0.07710598766</v>
      </c>
      <c r="M24" s="123">
        <f t="shared" si="15"/>
        <v>0.02040424792</v>
      </c>
      <c r="N24" s="123">
        <f t="shared" si="15"/>
        <v>10.14889157</v>
      </c>
      <c r="O24" s="123">
        <f t="shared" si="15"/>
        <v>9.609023537</v>
      </c>
      <c r="P24" s="123">
        <f t="shared" si="15"/>
        <v>14.52583905</v>
      </c>
      <c r="Q24" s="123">
        <f t="shared" si="15"/>
        <v>14.50287328</v>
      </c>
      <c r="R24" s="123"/>
      <c r="S24" s="123">
        <f t="shared" ref="S24:AD24" si="16">STDEV(S20:S22)</f>
        <v>0.04026164428</v>
      </c>
      <c r="T24" s="123">
        <f t="shared" si="16"/>
        <v>0.02084066538</v>
      </c>
      <c r="U24" s="123">
        <f t="shared" si="16"/>
        <v>0.04050102879</v>
      </c>
      <c r="V24" s="123">
        <f t="shared" si="16"/>
        <v>0.02253885534</v>
      </c>
      <c r="W24" s="123">
        <f t="shared" si="16"/>
        <v>0.02802379941</v>
      </c>
      <c r="X24" s="123">
        <f t="shared" si="16"/>
        <v>0.06726812024</v>
      </c>
      <c r="Y24" s="123">
        <f t="shared" si="16"/>
        <v>0.05052062285</v>
      </c>
      <c r="Z24" s="123">
        <f t="shared" si="16"/>
        <v>0.03274650109</v>
      </c>
      <c r="AA24" s="123">
        <f t="shared" si="16"/>
        <v>9.643650761</v>
      </c>
      <c r="AB24" s="123">
        <f t="shared" si="16"/>
        <v>9.291573243</v>
      </c>
      <c r="AC24" s="123">
        <f t="shared" si="16"/>
        <v>9.504384953</v>
      </c>
      <c r="AD24" s="123">
        <f t="shared" si="16"/>
        <v>9.018499506</v>
      </c>
    </row>
    <row r="25">
      <c r="A25" s="171" t="s">
        <v>55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0.778</v>
      </c>
      <c r="G25" s="91">
        <v>0.741</v>
      </c>
      <c r="H25" s="91">
        <v>0.728</v>
      </c>
      <c r="I25" s="91">
        <v>0.748</v>
      </c>
      <c r="J25" s="91">
        <v>0.762</v>
      </c>
      <c r="K25" s="91">
        <v>0.432</v>
      </c>
      <c r="L25" s="91">
        <v>0.761</v>
      </c>
      <c r="M25" s="91">
        <v>0.851</v>
      </c>
      <c r="N25" s="92">
        <v>57.0</v>
      </c>
      <c r="O25" s="92">
        <v>25.0</v>
      </c>
      <c r="P25" s="92">
        <v>45.0</v>
      </c>
      <c r="Q25" s="92">
        <v>143.0</v>
      </c>
      <c r="R25" s="93"/>
      <c r="S25" s="94">
        <v>0.752</v>
      </c>
      <c r="T25" s="95">
        <v>0.73</v>
      </c>
      <c r="U25" s="95">
        <v>0.665</v>
      </c>
      <c r="V25" s="95">
        <v>0.725</v>
      </c>
      <c r="W25" s="95">
        <v>0.722</v>
      </c>
      <c r="X25" s="94">
        <v>0.341</v>
      </c>
      <c r="Y25" s="94">
        <v>0.83</v>
      </c>
      <c r="Z25" s="94">
        <v>0.792</v>
      </c>
      <c r="AA25" s="96">
        <v>41.0</v>
      </c>
      <c r="AB25" s="97">
        <v>41.0</v>
      </c>
      <c r="AC25" s="97">
        <v>32.0</v>
      </c>
      <c r="AD25" s="98">
        <v>156.0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0.725</v>
      </c>
      <c r="G26" s="101">
        <v>0.74</v>
      </c>
      <c r="H26" s="101">
        <v>0.649</v>
      </c>
      <c r="I26" s="101">
        <v>0.725</v>
      </c>
      <c r="J26" s="101">
        <v>0.724</v>
      </c>
      <c r="K26" s="101">
        <v>0.334</v>
      </c>
      <c r="L26" s="101">
        <v>0.878</v>
      </c>
      <c r="M26" s="101">
        <v>0.778</v>
      </c>
      <c r="N26" s="102">
        <v>34.0</v>
      </c>
      <c r="O26" s="102">
        <v>47.0</v>
      </c>
      <c r="P26" s="102">
        <v>23.0</v>
      </c>
      <c r="Q26" s="102">
        <v>165.0</v>
      </c>
      <c r="R26" s="103"/>
      <c r="S26" s="104">
        <v>0.708</v>
      </c>
      <c r="T26" s="105">
        <v>0.684</v>
      </c>
      <c r="U26" s="105">
        <v>0.605</v>
      </c>
      <c r="V26" s="105">
        <v>0.677</v>
      </c>
      <c r="W26" s="105">
        <v>0.672</v>
      </c>
      <c r="X26" s="104">
        <v>0.22</v>
      </c>
      <c r="Y26" s="104">
        <v>0.803</v>
      </c>
      <c r="Z26" s="104">
        <v>0.759</v>
      </c>
      <c r="AA26" s="106">
        <v>33.0</v>
      </c>
      <c r="AB26" s="107">
        <v>48.0</v>
      </c>
      <c r="AC26" s="107">
        <v>37.0</v>
      </c>
      <c r="AD26" s="108">
        <v>151.0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0.787</v>
      </c>
      <c r="G27" s="101">
        <v>0.732</v>
      </c>
      <c r="H27" s="101">
        <v>0.674</v>
      </c>
      <c r="I27" s="101">
        <v>0.729</v>
      </c>
      <c r="J27" s="101">
        <v>0.727</v>
      </c>
      <c r="K27" s="101">
        <v>0.356</v>
      </c>
      <c r="L27" s="101">
        <v>0.824</v>
      </c>
      <c r="M27" s="101">
        <v>0.798</v>
      </c>
      <c r="N27" s="110">
        <v>43.0</v>
      </c>
      <c r="O27" s="110">
        <v>39.0</v>
      </c>
      <c r="P27" s="110">
        <v>33.0</v>
      </c>
      <c r="Q27" s="110">
        <v>154.0</v>
      </c>
      <c r="R27" s="103"/>
      <c r="S27" s="104">
        <v>0.766</v>
      </c>
      <c r="T27" s="105">
        <v>0.717</v>
      </c>
      <c r="U27" s="105">
        <v>0.653</v>
      </c>
      <c r="V27" s="105">
        <v>0.713</v>
      </c>
      <c r="W27" s="105">
        <v>0.71</v>
      </c>
      <c r="X27" s="104">
        <v>0.315</v>
      </c>
      <c r="Y27" s="104">
        <v>0.818</v>
      </c>
      <c r="Z27" s="104">
        <v>0.785</v>
      </c>
      <c r="AA27" s="111">
        <v>40.0</v>
      </c>
      <c r="AB27" s="112">
        <v>42.0</v>
      </c>
      <c r="AC27" s="112">
        <v>34.0</v>
      </c>
      <c r="AD27" s="113">
        <v>153.0</v>
      </c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0.7633333333</v>
      </c>
      <c r="G28" s="115">
        <f t="shared" si="17"/>
        <v>0.7376666667</v>
      </c>
      <c r="H28" s="161">
        <f t="shared" si="17"/>
        <v>0.6836666667</v>
      </c>
      <c r="I28" s="117">
        <f t="shared" si="17"/>
        <v>0.734</v>
      </c>
      <c r="J28" s="115">
        <f t="shared" si="17"/>
        <v>0.7376666667</v>
      </c>
      <c r="K28" s="161">
        <f t="shared" si="17"/>
        <v>0.374</v>
      </c>
      <c r="L28" s="115">
        <f t="shared" si="17"/>
        <v>0.821</v>
      </c>
      <c r="M28" s="161">
        <f t="shared" si="17"/>
        <v>0.809</v>
      </c>
      <c r="N28" s="161">
        <f t="shared" si="17"/>
        <v>44.66666667</v>
      </c>
      <c r="O28" s="161">
        <f t="shared" si="17"/>
        <v>37</v>
      </c>
      <c r="P28" s="115">
        <f t="shared" si="17"/>
        <v>33.66666667</v>
      </c>
      <c r="Q28" s="115">
        <f t="shared" si="17"/>
        <v>154</v>
      </c>
      <c r="R28" s="116"/>
      <c r="S28" s="115">
        <f t="shared" ref="S28:AD28" si="18">AVERAGE(S25:S27)</f>
        <v>0.742</v>
      </c>
      <c r="T28" s="115">
        <f t="shared" si="18"/>
        <v>0.7103333333</v>
      </c>
      <c r="U28" s="115">
        <f t="shared" si="18"/>
        <v>0.641</v>
      </c>
      <c r="V28" s="115">
        <f t="shared" si="18"/>
        <v>0.705</v>
      </c>
      <c r="W28" s="115">
        <f t="shared" si="18"/>
        <v>0.7013333333</v>
      </c>
      <c r="X28" s="115">
        <f t="shared" si="18"/>
        <v>0.292</v>
      </c>
      <c r="Y28" s="115">
        <f t="shared" si="18"/>
        <v>0.817</v>
      </c>
      <c r="Z28" s="115">
        <f t="shared" si="18"/>
        <v>0.7786666667</v>
      </c>
      <c r="AA28" s="117">
        <f t="shared" si="18"/>
        <v>38</v>
      </c>
      <c r="AB28" s="117">
        <f t="shared" si="18"/>
        <v>43.66666667</v>
      </c>
      <c r="AC28" s="115">
        <f t="shared" si="18"/>
        <v>34.33333333</v>
      </c>
      <c r="AD28" s="118">
        <f t="shared" si="18"/>
        <v>153.3333333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0.03350124376</v>
      </c>
      <c r="G29" s="123">
        <f t="shared" si="19"/>
        <v>0.004932882862</v>
      </c>
      <c r="H29" s="123">
        <f t="shared" si="19"/>
        <v>0.04037738641</v>
      </c>
      <c r="I29" s="123">
        <f t="shared" si="19"/>
        <v>0.01228820573</v>
      </c>
      <c r="J29" s="123">
        <f t="shared" si="19"/>
        <v>0.0211266025</v>
      </c>
      <c r="K29" s="123">
        <f t="shared" si="19"/>
        <v>0.05141984053</v>
      </c>
      <c r="L29" s="123">
        <f t="shared" si="19"/>
        <v>0.05855766389</v>
      </c>
      <c r="M29" s="123">
        <f t="shared" si="19"/>
        <v>0.03772267223</v>
      </c>
      <c r="N29" s="123">
        <f t="shared" si="19"/>
        <v>11.59022577</v>
      </c>
      <c r="O29" s="123">
        <f t="shared" si="19"/>
        <v>11.13552873</v>
      </c>
      <c r="P29" s="123">
        <f t="shared" si="19"/>
        <v>11.01514109</v>
      </c>
      <c r="Q29" s="123">
        <f t="shared" si="19"/>
        <v>11</v>
      </c>
      <c r="R29" s="123"/>
      <c r="S29" s="123">
        <f t="shared" ref="S29:AD29" si="20">STDEV(S25:S27)</f>
        <v>0.0302654919</v>
      </c>
      <c r="T29" s="123">
        <f t="shared" si="20"/>
        <v>0.02371356855</v>
      </c>
      <c r="U29" s="123">
        <f t="shared" si="20"/>
        <v>0.03174901573</v>
      </c>
      <c r="V29" s="123">
        <f t="shared" si="20"/>
        <v>0.02497999199</v>
      </c>
      <c r="W29" s="123">
        <f t="shared" si="20"/>
        <v>0.0261023626</v>
      </c>
      <c r="X29" s="123">
        <f t="shared" si="20"/>
        <v>0.06369458376</v>
      </c>
      <c r="Y29" s="123">
        <f t="shared" si="20"/>
        <v>0.01352774926</v>
      </c>
      <c r="Z29" s="123">
        <f t="shared" si="20"/>
        <v>0.01738773514</v>
      </c>
      <c r="AA29" s="123">
        <f t="shared" si="20"/>
        <v>4.358898944</v>
      </c>
      <c r="AB29" s="123">
        <f t="shared" si="20"/>
        <v>3.785938897</v>
      </c>
      <c r="AC29" s="123">
        <f t="shared" si="20"/>
        <v>2.516611478</v>
      </c>
      <c r="AD29" s="123">
        <f t="shared" si="20"/>
        <v>2.516611478</v>
      </c>
    </row>
    <row r="30">
      <c r="A30" s="171" t="s">
        <v>55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0.786</v>
      </c>
      <c r="G30" s="91">
        <v>0.781</v>
      </c>
      <c r="H30" s="91">
        <v>0.702</v>
      </c>
      <c r="I30" s="91">
        <v>0.77</v>
      </c>
      <c r="J30" s="91">
        <v>0.772</v>
      </c>
      <c r="K30" s="91">
        <v>0.45</v>
      </c>
      <c r="L30" s="91">
        <v>0.904</v>
      </c>
      <c r="M30" s="91">
        <v>0.806</v>
      </c>
      <c r="N30" s="92">
        <v>41.0</v>
      </c>
      <c r="O30" s="92">
        <v>41.0</v>
      </c>
      <c r="P30" s="92">
        <v>18.0</v>
      </c>
      <c r="Q30" s="92">
        <v>170.0</v>
      </c>
      <c r="R30" s="93"/>
      <c r="S30" s="94">
        <v>0.77</v>
      </c>
      <c r="T30" s="95">
        <v>0.73</v>
      </c>
      <c r="U30" s="95">
        <v>0.716</v>
      </c>
      <c r="V30" s="95">
        <v>0.737</v>
      </c>
      <c r="W30" s="95">
        <v>0.753</v>
      </c>
      <c r="X30" s="94">
        <v>0.41</v>
      </c>
      <c r="Y30" s="94">
        <v>0.75</v>
      </c>
      <c r="Z30" s="94">
        <v>0.844</v>
      </c>
      <c r="AA30" s="96">
        <v>56.0</v>
      </c>
      <c r="AB30" s="97">
        <v>26.0</v>
      </c>
      <c r="AC30" s="97">
        <v>47.0</v>
      </c>
      <c r="AD30" s="98">
        <v>141.0</v>
      </c>
    </row>
    <row r="31">
      <c r="A31" s="7"/>
      <c r="C31" s="99" t="b">
        <v>1</v>
      </c>
      <c r="D31" s="99" t="s">
        <v>43</v>
      </c>
      <c r="E31" s="99" t="s">
        <v>45</v>
      </c>
      <c r="F31" s="100">
        <v>0.741</v>
      </c>
      <c r="G31" s="101">
        <v>0.766</v>
      </c>
      <c r="H31" s="101">
        <v>0.653</v>
      </c>
      <c r="I31" s="101">
        <v>0.74</v>
      </c>
      <c r="J31" s="101">
        <v>0.757</v>
      </c>
      <c r="K31" s="101">
        <v>0.387</v>
      </c>
      <c r="L31" s="101">
        <v>0.936</v>
      </c>
      <c r="M31" s="101">
        <v>0.775</v>
      </c>
      <c r="N31" s="102">
        <v>30.0</v>
      </c>
      <c r="O31" s="102">
        <v>51.0</v>
      </c>
      <c r="P31" s="102">
        <v>12.0</v>
      </c>
      <c r="Q31" s="102">
        <v>176.0</v>
      </c>
      <c r="R31" s="103"/>
      <c r="S31" s="104">
        <v>0.729</v>
      </c>
      <c r="T31" s="105">
        <v>0.68</v>
      </c>
      <c r="U31" s="105">
        <v>0.641</v>
      </c>
      <c r="V31" s="105">
        <v>0.686</v>
      </c>
      <c r="W31" s="105">
        <v>0.694</v>
      </c>
      <c r="X31" s="104">
        <v>0.273</v>
      </c>
      <c r="Y31" s="104">
        <v>0.739</v>
      </c>
      <c r="Z31" s="104">
        <v>0.79</v>
      </c>
      <c r="AA31" s="106">
        <v>44.0</v>
      </c>
      <c r="AB31" s="107">
        <v>37.0</v>
      </c>
      <c r="AC31" s="107">
        <v>49.0</v>
      </c>
      <c r="AD31" s="108">
        <v>139.0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0.806</v>
      </c>
      <c r="G32" s="101">
        <v>0.714</v>
      </c>
      <c r="H32" s="101">
        <v>0.585</v>
      </c>
      <c r="I32" s="101">
        <v>0.675</v>
      </c>
      <c r="J32" s="101">
        <v>0.685</v>
      </c>
      <c r="K32" s="101">
        <v>0.228</v>
      </c>
      <c r="L32" s="101">
        <v>0.914</v>
      </c>
      <c r="M32" s="101">
        <v>0.737</v>
      </c>
      <c r="N32" s="110">
        <v>21.0</v>
      </c>
      <c r="O32" s="110">
        <v>61.0</v>
      </c>
      <c r="P32" s="110">
        <v>16.0</v>
      </c>
      <c r="Q32" s="110">
        <v>171.0</v>
      </c>
      <c r="R32" s="103"/>
      <c r="S32" s="104">
        <v>0.762</v>
      </c>
      <c r="T32" s="105">
        <v>0.721</v>
      </c>
      <c r="U32" s="105">
        <v>0.645</v>
      </c>
      <c r="V32" s="105">
        <v>0.713</v>
      </c>
      <c r="W32" s="105">
        <v>0.709</v>
      </c>
      <c r="X32" s="104">
        <v>0.31</v>
      </c>
      <c r="Y32" s="104">
        <v>0.84</v>
      </c>
      <c r="Z32" s="104">
        <v>0.777</v>
      </c>
      <c r="AA32" s="111">
        <v>37.0</v>
      </c>
      <c r="AB32" s="112">
        <v>45.0</v>
      </c>
      <c r="AC32" s="112">
        <v>30.0</v>
      </c>
      <c r="AD32" s="113">
        <v>157.0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0.7776666667</v>
      </c>
      <c r="G33" s="161">
        <f t="shared" si="21"/>
        <v>0.7536666667</v>
      </c>
      <c r="H33" s="115">
        <f t="shared" si="21"/>
        <v>0.6466666667</v>
      </c>
      <c r="I33" s="115">
        <f t="shared" si="21"/>
        <v>0.7283333333</v>
      </c>
      <c r="J33" s="117">
        <f t="shared" si="21"/>
        <v>0.738</v>
      </c>
      <c r="K33" s="115">
        <f t="shared" si="21"/>
        <v>0.355</v>
      </c>
      <c r="L33" s="161">
        <f t="shared" si="21"/>
        <v>0.918</v>
      </c>
      <c r="M33" s="115">
        <f t="shared" si="21"/>
        <v>0.7726666667</v>
      </c>
      <c r="N33" s="115">
        <f t="shared" si="21"/>
        <v>30.66666667</v>
      </c>
      <c r="O33" s="115">
        <f t="shared" si="21"/>
        <v>51</v>
      </c>
      <c r="P33" s="161">
        <f t="shared" si="21"/>
        <v>15.33333333</v>
      </c>
      <c r="Q33" s="161">
        <f t="shared" si="21"/>
        <v>172.3333333</v>
      </c>
      <c r="R33" s="116"/>
      <c r="S33" s="115">
        <f t="shared" ref="S33:AD33" si="22">AVERAGE(S30:S32)</f>
        <v>0.7536666667</v>
      </c>
      <c r="T33" s="115">
        <f t="shared" si="22"/>
        <v>0.7103333333</v>
      </c>
      <c r="U33" s="115">
        <f t="shared" si="22"/>
        <v>0.6673333333</v>
      </c>
      <c r="V33" s="115">
        <f t="shared" si="22"/>
        <v>0.712</v>
      </c>
      <c r="W33" s="115">
        <f t="shared" si="22"/>
        <v>0.7186666667</v>
      </c>
      <c r="X33" s="115">
        <f t="shared" si="22"/>
        <v>0.331</v>
      </c>
      <c r="Y33" s="115">
        <f t="shared" si="22"/>
        <v>0.7763333333</v>
      </c>
      <c r="Z33" s="115">
        <f t="shared" si="22"/>
        <v>0.8036666667</v>
      </c>
      <c r="AA33" s="117">
        <f t="shared" si="22"/>
        <v>45.66666667</v>
      </c>
      <c r="AB33" s="117">
        <f t="shared" si="22"/>
        <v>36</v>
      </c>
      <c r="AC33" s="115">
        <f t="shared" si="22"/>
        <v>42</v>
      </c>
      <c r="AD33" s="118">
        <f t="shared" si="22"/>
        <v>145.6666667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0.03329164059</v>
      </c>
      <c r="G34" s="123">
        <f t="shared" si="23"/>
        <v>0.03516153201</v>
      </c>
      <c r="H34" s="123">
        <f t="shared" si="23"/>
        <v>0.05875655992</v>
      </c>
      <c r="I34" s="123">
        <f t="shared" si="23"/>
        <v>0.04856267428</v>
      </c>
      <c r="J34" s="123">
        <f t="shared" si="23"/>
        <v>0.04650806382</v>
      </c>
      <c r="K34" s="123">
        <f t="shared" si="23"/>
        <v>0.1144071676</v>
      </c>
      <c r="L34" s="123">
        <f t="shared" si="23"/>
        <v>0.01637070554</v>
      </c>
      <c r="M34" s="123">
        <f t="shared" si="23"/>
        <v>0.03455912808</v>
      </c>
      <c r="N34" s="123">
        <f t="shared" si="23"/>
        <v>10.0166528</v>
      </c>
      <c r="O34" s="123">
        <f t="shared" si="23"/>
        <v>10</v>
      </c>
      <c r="P34" s="123">
        <f t="shared" si="23"/>
        <v>3.055050463</v>
      </c>
      <c r="Q34" s="123">
        <f t="shared" si="23"/>
        <v>3.214550254</v>
      </c>
      <c r="R34" s="123"/>
      <c r="S34" s="123">
        <f t="shared" ref="S34:AD34" si="24">STDEV(S30:S32)</f>
        <v>0.02173323108</v>
      </c>
      <c r="T34" s="123">
        <f t="shared" si="24"/>
        <v>0.02665207934</v>
      </c>
      <c r="U34" s="123">
        <f t="shared" si="24"/>
        <v>0.04219399641</v>
      </c>
      <c r="V34" s="123">
        <f t="shared" si="24"/>
        <v>0.02551470164</v>
      </c>
      <c r="W34" s="123">
        <f t="shared" si="24"/>
        <v>0.03066485502</v>
      </c>
      <c r="X34" s="123">
        <f t="shared" si="24"/>
        <v>0.07087312608</v>
      </c>
      <c r="Y34" s="123">
        <f t="shared" si="24"/>
        <v>0.05541058864</v>
      </c>
      <c r="Z34" s="123">
        <f t="shared" si="24"/>
        <v>0.03552933061</v>
      </c>
      <c r="AA34" s="123">
        <f t="shared" si="24"/>
        <v>9.609023537</v>
      </c>
      <c r="AB34" s="123">
        <f t="shared" si="24"/>
        <v>9.539392014</v>
      </c>
      <c r="AC34" s="123">
        <f t="shared" si="24"/>
        <v>10.44030651</v>
      </c>
      <c r="AD34" s="123">
        <f t="shared" si="24"/>
        <v>9.865765725</v>
      </c>
    </row>
    <row r="35">
      <c r="A35" s="171" t="s">
        <v>55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0.778</v>
      </c>
      <c r="G35" s="91">
        <v>0.756</v>
      </c>
      <c r="H35" s="91">
        <v>0.687</v>
      </c>
      <c r="I35" s="91">
        <v>0.749</v>
      </c>
      <c r="J35" s="91">
        <v>0.746</v>
      </c>
      <c r="K35" s="91">
        <v>0.396</v>
      </c>
      <c r="L35" s="91">
        <v>0.862</v>
      </c>
      <c r="M35" s="91">
        <v>0.802</v>
      </c>
      <c r="N35" s="92">
        <v>42.0</v>
      </c>
      <c r="O35" s="92">
        <v>40.0</v>
      </c>
      <c r="P35" s="92">
        <v>26.0</v>
      </c>
      <c r="Q35" s="92">
        <v>162.0</v>
      </c>
      <c r="R35" s="93"/>
      <c r="S35" s="94">
        <v>0.748</v>
      </c>
      <c r="T35" s="95">
        <v>0.744</v>
      </c>
      <c r="U35" s="95">
        <v>0.665</v>
      </c>
      <c r="V35" s="95">
        <v>0.734</v>
      </c>
      <c r="W35" s="95">
        <v>0.731</v>
      </c>
      <c r="X35" s="94">
        <v>0.359</v>
      </c>
      <c r="Y35" s="94">
        <v>0.867</v>
      </c>
      <c r="Z35" s="94">
        <v>0.787</v>
      </c>
      <c r="AA35" s="96">
        <v>38.0</v>
      </c>
      <c r="AB35" s="97">
        <v>44.0</v>
      </c>
      <c r="AC35" s="97">
        <v>25.0</v>
      </c>
      <c r="AD35" s="98">
        <v>163.0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0.753</v>
      </c>
      <c r="G36" s="101">
        <v>0.736</v>
      </c>
      <c r="H36" s="101">
        <v>0.636</v>
      </c>
      <c r="I36" s="101">
        <v>0.717</v>
      </c>
      <c r="J36" s="101">
        <v>0.717</v>
      </c>
      <c r="K36" s="101">
        <v>0.315</v>
      </c>
      <c r="L36" s="101">
        <v>0.888</v>
      </c>
      <c r="M36" s="101">
        <v>0.77</v>
      </c>
      <c r="N36" s="102">
        <v>31.0</v>
      </c>
      <c r="O36" s="102">
        <v>50.0</v>
      </c>
      <c r="P36" s="102">
        <v>21.0</v>
      </c>
      <c r="Q36" s="102">
        <v>167.0</v>
      </c>
      <c r="R36" s="103"/>
      <c r="S36" s="104">
        <v>0.736</v>
      </c>
      <c r="T36" s="105">
        <v>0.721</v>
      </c>
      <c r="U36" s="105">
        <v>0.642</v>
      </c>
      <c r="V36" s="105">
        <v>0.712</v>
      </c>
      <c r="W36" s="105">
        <v>0.708</v>
      </c>
      <c r="X36" s="104">
        <v>0.304</v>
      </c>
      <c r="Y36" s="104">
        <v>0.84</v>
      </c>
      <c r="Z36" s="104">
        <v>0.778</v>
      </c>
      <c r="AA36" s="106">
        <v>36.0</v>
      </c>
      <c r="AB36" s="107">
        <v>45.0</v>
      </c>
      <c r="AC36" s="107">
        <v>30.0</v>
      </c>
      <c r="AD36" s="108">
        <v>158.0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0.807</v>
      </c>
      <c r="G37" s="101">
        <v>0.736</v>
      </c>
      <c r="H37" s="101">
        <v>0.656</v>
      </c>
      <c r="I37" s="101">
        <v>0.725</v>
      </c>
      <c r="J37" s="101">
        <v>0.722</v>
      </c>
      <c r="K37" s="101">
        <v>0.339</v>
      </c>
      <c r="L37" s="101">
        <v>0.861</v>
      </c>
      <c r="M37" s="101">
        <v>0.782</v>
      </c>
      <c r="N37" s="110">
        <v>37.0</v>
      </c>
      <c r="O37" s="110">
        <v>45.0</v>
      </c>
      <c r="P37" s="110">
        <v>26.0</v>
      </c>
      <c r="Q37" s="110">
        <v>161.0</v>
      </c>
      <c r="R37" s="103"/>
      <c r="S37" s="104">
        <v>0.747</v>
      </c>
      <c r="T37" s="105">
        <v>0.71</v>
      </c>
      <c r="U37" s="105">
        <v>0.624</v>
      </c>
      <c r="V37" s="105">
        <v>0.697</v>
      </c>
      <c r="W37" s="105">
        <v>0.693</v>
      </c>
      <c r="X37" s="104">
        <v>0.27</v>
      </c>
      <c r="Y37" s="104">
        <v>0.845</v>
      </c>
      <c r="Z37" s="104">
        <v>0.763</v>
      </c>
      <c r="AA37" s="111">
        <v>33.0</v>
      </c>
      <c r="AB37" s="112">
        <v>49.0</v>
      </c>
      <c r="AC37" s="112">
        <v>29.0</v>
      </c>
      <c r="AD37" s="113">
        <v>158.0</v>
      </c>
    </row>
    <row r="38">
      <c r="A38" s="7"/>
      <c r="B38" s="114" t="s">
        <v>47</v>
      </c>
      <c r="C38" s="30"/>
      <c r="D38" s="30"/>
      <c r="E38" s="72"/>
      <c r="F38" s="161">
        <f t="shared" ref="F38:Q38" si="25">AVERAGE(F35:F37)</f>
        <v>0.7793333333</v>
      </c>
      <c r="G38" s="117">
        <f t="shared" si="25"/>
        <v>0.7426666667</v>
      </c>
      <c r="H38" s="115">
        <f t="shared" si="25"/>
        <v>0.6596666667</v>
      </c>
      <c r="I38" s="115">
        <f t="shared" si="25"/>
        <v>0.7303333333</v>
      </c>
      <c r="J38" s="115">
        <f t="shared" si="25"/>
        <v>0.7283333333</v>
      </c>
      <c r="K38" s="115">
        <f t="shared" si="25"/>
        <v>0.35</v>
      </c>
      <c r="L38" s="117">
        <f t="shared" si="25"/>
        <v>0.8703333333</v>
      </c>
      <c r="M38" s="115">
        <f t="shared" si="25"/>
        <v>0.7846666667</v>
      </c>
      <c r="N38" s="115">
        <f t="shared" si="25"/>
        <v>36.66666667</v>
      </c>
      <c r="O38" s="115">
        <f t="shared" si="25"/>
        <v>45</v>
      </c>
      <c r="P38" s="117">
        <f t="shared" si="25"/>
        <v>24.33333333</v>
      </c>
      <c r="Q38" s="117">
        <f t="shared" si="25"/>
        <v>163.3333333</v>
      </c>
      <c r="R38" s="116"/>
      <c r="S38" s="115">
        <f t="shared" ref="S38:AD38" si="26">AVERAGE(S35:S37)</f>
        <v>0.7436666667</v>
      </c>
      <c r="T38" s="115">
        <f t="shared" si="26"/>
        <v>0.725</v>
      </c>
      <c r="U38" s="115">
        <f t="shared" si="26"/>
        <v>0.6436666667</v>
      </c>
      <c r="V38" s="115">
        <f t="shared" si="26"/>
        <v>0.7143333333</v>
      </c>
      <c r="W38" s="115">
        <f t="shared" si="26"/>
        <v>0.7106666667</v>
      </c>
      <c r="X38" s="115">
        <f t="shared" si="26"/>
        <v>0.311</v>
      </c>
      <c r="Y38" s="115">
        <f t="shared" si="26"/>
        <v>0.8506666667</v>
      </c>
      <c r="Z38" s="115">
        <f t="shared" si="26"/>
        <v>0.776</v>
      </c>
      <c r="AA38" s="115">
        <f t="shared" si="26"/>
        <v>35.66666667</v>
      </c>
      <c r="AB38" s="115">
        <f t="shared" si="26"/>
        <v>46</v>
      </c>
      <c r="AC38" s="115">
        <f t="shared" si="26"/>
        <v>28</v>
      </c>
      <c r="AD38" s="118">
        <f t="shared" si="26"/>
        <v>159.6666667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0.02702468008</v>
      </c>
      <c r="G39" s="123">
        <f t="shared" si="27"/>
        <v>0.01154700538</v>
      </c>
      <c r="H39" s="123">
        <f t="shared" si="27"/>
        <v>0.02569695183</v>
      </c>
      <c r="I39" s="123">
        <f t="shared" si="27"/>
        <v>0.016653328</v>
      </c>
      <c r="J39" s="123">
        <f t="shared" si="27"/>
        <v>0.01550268794</v>
      </c>
      <c r="K39" s="123">
        <f t="shared" si="27"/>
        <v>0.04160528813</v>
      </c>
      <c r="L39" s="123">
        <f t="shared" si="27"/>
        <v>0.01530795</v>
      </c>
      <c r="M39" s="123">
        <f t="shared" si="27"/>
        <v>0.01616580754</v>
      </c>
      <c r="N39" s="123">
        <f t="shared" si="27"/>
        <v>5.507570547</v>
      </c>
      <c r="O39" s="123">
        <f t="shared" si="27"/>
        <v>5</v>
      </c>
      <c r="P39" s="123">
        <f t="shared" si="27"/>
        <v>2.886751346</v>
      </c>
      <c r="Q39" s="123">
        <f t="shared" si="27"/>
        <v>3.214550254</v>
      </c>
      <c r="R39" s="123"/>
      <c r="S39" s="123">
        <f t="shared" ref="S39:AD39" si="28">STDEV(S35:S37)</f>
        <v>0.006658328118</v>
      </c>
      <c r="T39" s="123">
        <f t="shared" si="28"/>
        <v>0.01734935157</v>
      </c>
      <c r="U39" s="123">
        <f t="shared" si="28"/>
        <v>0.02055075019</v>
      </c>
      <c r="V39" s="123">
        <f t="shared" si="28"/>
        <v>0.01861003314</v>
      </c>
      <c r="W39" s="123">
        <f t="shared" si="28"/>
        <v>0.01913983629</v>
      </c>
      <c r="X39" s="123">
        <f t="shared" si="28"/>
        <v>0.04491102315</v>
      </c>
      <c r="Y39" s="123">
        <f t="shared" si="28"/>
        <v>0.01436430762</v>
      </c>
      <c r="Z39" s="123">
        <f t="shared" si="28"/>
        <v>0.01212435565</v>
      </c>
      <c r="AA39" s="123">
        <f t="shared" si="28"/>
        <v>2.516611478</v>
      </c>
      <c r="AB39" s="123">
        <f t="shared" si="28"/>
        <v>2.645751311</v>
      </c>
      <c r="AC39" s="123">
        <f t="shared" si="28"/>
        <v>2.645751311</v>
      </c>
      <c r="AD39" s="123">
        <f t="shared" si="28"/>
        <v>2.886751346</v>
      </c>
    </row>
    <row r="40">
      <c r="A40" s="171" t="s">
        <v>55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0.767</v>
      </c>
      <c r="G40" s="91">
        <v>0.744</v>
      </c>
      <c r="H40" s="91">
        <v>0.717</v>
      </c>
      <c r="I40" s="91">
        <v>0.749</v>
      </c>
      <c r="J40" s="91">
        <v>0.755</v>
      </c>
      <c r="K40" s="91">
        <v>0.42</v>
      </c>
      <c r="L40" s="91">
        <v>0.787</v>
      </c>
      <c r="M40" s="91">
        <v>0.836</v>
      </c>
      <c r="N40" s="92">
        <v>53.0</v>
      </c>
      <c r="O40" s="92">
        <v>29.0</v>
      </c>
      <c r="P40" s="92">
        <v>40.0</v>
      </c>
      <c r="Q40" s="92">
        <v>148.0</v>
      </c>
      <c r="R40" s="93"/>
      <c r="S40" s="94">
        <v>0.791</v>
      </c>
      <c r="T40" s="95">
        <v>0.763</v>
      </c>
      <c r="U40" s="95">
        <v>0.675</v>
      </c>
      <c r="V40" s="95">
        <v>0.748</v>
      </c>
      <c r="W40" s="95">
        <v>0.751</v>
      </c>
      <c r="X40" s="94">
        <v>0.397</v>
      </c>
      <c r="Y40" s="94">
        <v>0.899</v>
      </c>
      <c r="Z40" s="94">
        <v>0.79</v>
      </c>
      <c r="AA40" s="96">
        <v>37.0</v>
      </c>
      <c r="AB40" s="97">
        <v>45.0</v>
      </c>
      <c r="AC40" s="97">
        <v>19.0</v>
      </c>
      <c r="AD40" s="98">
        <v>169.0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0.733</v>
      </c>
      <c r="G41" s="101">
        <v>0.729</v>
      </c>
      <c r="H41" s="101">
        <v>0.623</v>
      </c>
      <c r="I41" s="101">
        <v>0.707</v>
      </c>
      <c r="J41" s="101">
        <v>0.708</v>
      </c>
      <c r="K41" s="101">
        <v>0.29</v>
      </c>
      <c r="L41" s="101">
        <v>0.888</v>
      </c>
      <c r="M41" s="101">
        <v>0.763</v>
      </c>
      <c r="N41" s="102">
        <v>29.0</v>
      </c>
      <c r="O41" s="102">
        <v>52.0</v>
      </c>
      <c r="P41" s="102">
        <v>21.0</v>
      </c>
      <c r="Q41" s="102">
        <v>167.0</v>
      </c>
      <c r="R41" s="103"/>
      <c r="S41" s="104">
        <v>0.704</v>
      </c>
      <c r="T41" s="105">
        <v>0.691</v>
      </c>
      <c r="U41" s="105">
        <v>0.607</v>
      </c>
      <c r="V41" s="105">
        <v>0.682</v>
      </c>
      <c r="W41" s="105">
        <v>0.676</v>
      </c>
      <c r="X41" s="104">
        <v>0.228</v>
      </c>
      <c r="Y41" s="104">
        <v>0.819</v>
      </c>
      <c r="Z41" s="104">
        <v>0.759</v>
      </c>
      <c r="AA41" s="106">
        <v>32.0</v>
      </c>
      <c r="AB41" s="107">
        <v>49.0</v>
      </c>
      <c r="AC41" s="107">
        <v>34.0</v>
      </c>
      <c r="AD41" s="108">
        <v>154.0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0.757</v>
      </c>
      <c r="G42" s="101">
        <v>0.699</v>
      </c>
      <c r="H42" s="101">
        <v>0.554</v>
      </c>
      <c r="I42" s="101">
        <v>0.646</v>
      </c>
      <c r="J42" s="101">
        <v>0.659</v>
      </c>
      <c r="K42" s="101">
        <v>0.16</v>
      </c>
      <c r="L42" s="101">
        <v>0.925</v>
      </c>
      <c r="M42" s="101">
        <v>0.721</v>
      </c>
      <c r="N42" s="110">
        <v>15.0</v>
      </c>
      <c r="O42" s="110">
        <v>67.0</v>
      </c>
      <c r="P42" s="110">
        <v>14.0</v>
      </c>
      <c r="Q42" s="110">
        <v>173.0</v>
      </c>
      <c r="R42" s="103"/>
      <c r="S42" s="104">
        <v>0.766</v>
      </c>
      <c r="T42" s="105">
        <v>0.703</v>
      </c>
      <c r="U42" s="105">
        <v>0.632</v>
      </c>
      <c r="V42" s="105">
        <v>0.697</v>
      </c>
      <c r="W42" s="105">
        <v>0.693</v>
      </c>
      <c r="X42" s="104">
        <v>0.275</v>
      </c>
      <c r="Y42" s="104">
        <v>0.813</v>
      </c>
      <c r="Z42" s="104">
        <v>0.772</v>
      </c>
      <c r="AA42" s="111">
        <v>37.0</v>
      </c>
      <c r="AB42" s="112">
        <v>45.0</v>
      </c>
      <c r="AC42" s="112">
        <v>35.0</v>
      </c>
      <c r="AD42" s="113">
        <v>152.0</v>
      </c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0.7523333333</v>
      </c>
      <c r="G43" s="115">
        <f t="shared" si="29"/>
        <v>0.724</v>
      </c>
      <c r="H43" s="115">
        <f t="shared" si="29"/>
        <v>0.6313333333</v>
      </c>
      <c r="I43" s="115">
        <f t="shared" si="29"/>
        <v>0.7006666667</v>
      </c>
      <c r="J43" s="115">
        <f t="shared" si="29"/>
        <v>0.7073333333</v>
      </c>
      <c r="K43" s="115">
        <f t="shared" si="29"/>
        <v>0.29</v>
      </c>
      <c r="L43" s="115">
        <f t="shared" si="29"/>
        <v>0.8666666667</v>
      </c>
      <c r="M43" s="115">
        <f t="shared" si="29"/>
        <v>0.7733333333</v>
      </c>
      <c r="N43" s="115">
        <f t="shared" si="29"/>
        <v>32.33333333</v>
      </c>
      <c r="O43" s="115">
        <f t="shared" si="29"/>
        <v>49.33333333</v>
      </c>
      <c r="P43" s="115">
        <f t="shared" si="29"/>
        <v>25</v>
      </c>
      <c r="Q43" s="115">
        <f t="shared" si="29"/>
        <v>162.6666667</v>
      </c>
      <c r="R43" s="116"/>
      <c r="S43" s="115">
        <f t="shared" ref="S43:AD43" si="30">AVERAGE(S40:S42)</f>
        <v>0.7536666667</v>
      </c>
      <c r="T43" s="117">
        <f t="shared" si="30"/>
        <v>0.719</v>
      </c>
      <c r="U43" s="115">
        <f t="shared" si="30"/>
        <v>0.638</v>
      </c>
      <c r="V43" s="115">
        <f t="shared" si="30"/>
        <v>0.709</v>
      </c>
      <c r="W43" s="115">
        <f t="shared" si="30"/>
        <v>0.7066666667</v>
      </c>
      <c r="X43" s="115">
        <f t="shared" si="30"/>
        <v>0.3</v>
      </c>
      <c r="Y43" s="117">
        <f t="shared" si="30"/>
        <v>0.8436666667</v>
      </c>
      <c r="Z43" s="115">
        <f t="shared" si="30"/>
        <v>0.7736666667</v>
      </c>
      <c r="AA43" s="115">
        <f t="shared" si="30"/>
        <v>35.33333333</v>
      </c>
      <c r="AB43" s="115">
        <f t="shared" si="30"/>
        <v>46.33333333</v>
      </c>
      <c r="AC43" s="117">
        <f t="shared" si="30"/>
        <v>29.33333333</v>
      </c>
      <c r="AD43" s="162">
        <f t="shared" si="30"/>
        <v>158.3333333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0.0174737899</v>
      </c>
      <c r="G44" s="123">
        <f t="shared" si="31"/>
        <v>0.02291287847</v>
      </c>
      <c r="H44" s="123">
        <f t="shared" si="31"/>
        <v>0.08181890572</v>
      </c>
      <c r="I44" s="123">
        <f t="shared" si="31"/>
        <v>0.05179124765</v>
      </c>
      <c r="J44" s="123">
        <f t="shared" si="31"/>
        <v>0.0480034721</v>
      </c>
      <c r="K44" s="123">
        <f t="shared" si="31"/>
        <v>0.13</v>
      </c>
      <c r="L44" s="123">
        <f t="shared" si="31"/>
        <v>0.07143061902</v>
      </c>
      <c r="M44" s="123">
        <f t="shared" si="31"/>
        <v>0.05819221025</v>
      </c>
      <c r="N44" s="123">
        <f t="shared" si="31"/>
        <v>19.21804707</v>
      </c>
      <c r="O44" s="123">
        <f t="shared" si="31"/>
        <v>19.13983629</v>
      </c>
      <c r="P44" s="123">
        <f t="shared" si="31"/>
        <v>13.45362405</v>
      </c>
      <c r="Q44" s="123">
        <f t="shared" si="31"/>
        <v>13.0511813</v>
      </c>
      <c r="R44" s="123"/>
      <c r="S44" s="123">
        <f t="shared" ref="S44:AD44" si="32">STDEV(S40:S42)</f>
        <v>0.0447921124</v>
      </c>
      <c r="T44" s="123">
        <f t="shared" si="32"/>
        <v>0.03857460304</v>
      </c>
      <c r="U44" s="123">
        <f t="shared" si="32"/>
        <v>0.03439476704</v>
      </c>
      <c r="V44" s="123">
        <f t="shared" si="32"/>
        <v>0.03459768778</v>
      </c>
      <c r="W44" s="123">
        <f t="shared" si="32"/>
        <v>0.03932344508</v>
      </c>
      <c r="X44" s="123">
        <f t="shared" si="32"/>
        <v>0.08722958214</v>
      </c>
      <c r="Y44" s="123">
        <f t="shared" si="32"/>
        <v>0.04801388688</v>
      </c>
      <c r="Z44" s="123">
        <f t="shared" si="32"/>
        <v>0.01556705924</v>
      </c>
      <c r="AA44" s="123">
        <f t="shared" si="32"/>
        <v>2.886751346</v>
      </c>
      <c r="AB44" s="123">
        <f t="shared" si="32"/>
        <v>2.309401077</v>
      </c>
      <c r="AC44" s="123">
        <f t="shared" si="32"/>
        <v>8.96288644</v>
      </c>
      <c r="AD44" s="123">
        <f t="shared" si="32"/>
        <v>9.291573243</v>
      </c>
    </row>
    <row r="45">
      <c r="A45" s="171" t="s">
        <v>55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0.757</v>
      </c>
      <c r="G45" s="91">
        <v>0.715</v>
      </c>
      <c r="H45" s="91">
        <v>0.709</v>
      </c>
      <c r="I45" s="91">
        <v>0.724</v>
      </c>
      <c r="J45" s="91">
        <v>0.747</v>
      </c>
      <c r="K45" s="91">
        <v>0.392</v>
      </c>
      <c r="L45" s="91">
        <v>0.723</v>
      </c>
      <c r="M45" s="91">
        <v>0.845</v>
      </c>
      <c r="N45" s="92">
        <v>57.0</v>
      </c>
      <c r="O45" s="92">
        <v>25.0</v>
      </c>
      <c r="P45" s="92">
        <v>52.0</v>
      </c>
      <c r="Q45" s="92">
        <v>136.0</v>
      </c>
      <c r="R45" s="93"/>
      <c r="S45" s="94">
        <v>0.785</v>
      </c>
      <c r="T45" s="95">
        <v>0.756</v>
      </c>
      <c r="U45" s="95">
        <v>0.69</v>
      </c>
      <c r="V45" s="95">
        <v>0.75</v>
      </c>
      <c r="W45" s="95">
        <v>0.747</v>
      </c>
      <c r="X45" s="94">
        <v>0.4</v>
      </c>
      <c r="Y45" s="94">
        <v>0.856</v>
      </c>
      <c r="Z45" s="94">
        <v>0.805</v>
      </c>
      <c r="AA45" s="96">
        <v>43.0</v>
      </c>
      <c r="AB45" s="97">
        <v>39.0</v>
      </c>
      <c r="AC45" s="97">
        <v>27.0</v>
      </c>
      <c r="AD45" s="98">
        <v>161.0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0.737</v>
      </c>
      <c r="G46" s="101">
        <v>0.717</v>
      </c>
      <c r="H46" s="101">
        <v>0.591</v>
      </c>
      <c r="I46" s="101">
        <v>0.682</v>
      </c>
      <c r="J46" s="101">
        <v>0.689</v>
      </c>
      <c r="K46" s="101">
        <v>0.236</v>
      </c>
      <c r="L46" s="101">
        <v>0.91</v>
      </c>
      <c r="M46" s="101">
        <v>0.743</v>
      </c>
      <c r="N46" s="102">
        <v>22.0</v>
      </c>
      <c r="O46" s="102">
        <v>59.0</v>
      </c>
      <c r="P46" s="102">
        <v>17.0</v>
      </c>
      <c r="Q46" s="102">
        <v>171.0</v>
      </c>
      <c r="R46" s="103"/>
      <c r="S46" s="104">
        <v>0.727</v>
      </c>
      <c r="T46" s="105">
        <v>0.717</v>
      </c>
      <c r="U46" s="105">
        <v>0.664</v>
      </c>
      <c r="V46" s="105">
        <v>0.717</v>
      </c>
      <c r="W46" s="105">
        <v>0.717</v>
      </c>
      <c r="X46" s="104">
        <v>0.329</v>
      </c>
      <c r="Y46" s="104">
        <v>0.798</v>
      </c>
      <c r="Z46" s="104">
        <v>0.798</v>
      </c>
      <c r="AA46" s="106">
        <v>43.0</v>
      </c>
      <c r="AB46" s="107">
        <v>38.0</v>
      </c>
      <c r="AC46" s="107">
        <v>38.0</v>
      </c>
      <c r="AD46" s="108">
        <v>150.0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0.783</v>
      </c>
      <c r="G47" s="101">
        <v>0.695</v>
      </c>
      <c r="H47" s="101">
        <v>0.5</v>
      </c>
      <c r="I47" s="101">
        <v>0.57</v>
      </c>
      <c r="J47" s="101">
        <v>0.788</v>
      </c>
      <c r="K47" s="101">
        <v>0.0</v>
      </c>
      <c r="L47" s="101">
        <v>1.0</v>
      </c>
      <c r="M47" s="101">
        <v>0.695</v>
      </c>
      <c r="N47" s="110">
        <v>0.0</v>
      </c>
      <c r="O47" s="110">
        <v>82.0</v>
      </c>
      <c r="P47" s="110">
        <v>0.0</v>
      </c>
      <c r="Q47" s="110">
        <v>187.0</v>
      </c>
      <c r="R47" s="103"/>
      <c r="S47" s="104">
        <v>0.753</v>
      </c>
      <c r="T47" s="105">
        <v>0.673</v>
      </c>
      <c r="U47" s="105">
        <v>0.648</v>
      </c>
      <c r="V47" s="105">
        <v>0.681</v>
      </c>
      <c r="W47" s="105">
        <v>0.697</v>
      </c>
      <c r="X47" s="104">
        <v>0.281</v>
      </c>
      <c r="Y47" s="104">
        <v>0.711</v>
      </c>
      <c r="Z47" s="104">
        <v>0.796</v>
      </c>
      <c r="AA47" s="111">
        <v>48.0</v>
      </c>
      <c r="AB47" s="112">
        <v>34.0</v>
      </c>
      <c r="AC47" s="112">
        <v>54.0</v>
      </c>
      <c r="AD47" s="113">
        <v>133.0</v>
      </c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0.759</v>
      </c>
      <c r="G48" s="117">
        <f t="shared" si="33"/>
        <v>0.709</v>
      </c>
      <c r="H48" s="115">
        <f t="shared" si="33"/>
        <v>0.6</v>
      </c>
      <c r="I48" s="117">
        <f t="shared" si="33"/>
        <v>0.6586666667</v>
      </c>
      <c r="J48" s="161">
        <f t="shared" si="33"/>
        <v>0.7413333333</v>
      </c>
      <c r="K48" s="115">
        <f t="shared" si="33"/>
        <v>0.2093333333</v>
      </c>
      <c r="L48" s="115">
        <f t="shared" si="33"/>
        <v>0.8776666667</v>
      </c>
      <c r="M48" s="115">
        <f t="shared" si="33"/>
        <v>0.761</v>
      </c>
      <c r="N48" s="115">
        <f t="shared" si="33"/>
        <v>26.33333333</v>
      </c>
      <c r="O48" s="115">
        <f t="shared" si="33"/>
        <v>55.33333333</v>
      </c>
      <c r="P48" s="115">
        <f t="shared" si="33"/>
        <v>23</v>
      </c>
      <c r="Q48" s="115">
        <f t="shared" si="33"/>
        <v>164.6666667</v>
      </c>
      <c r="R48" s="116"/>
      <c r="S48" s="115">
        <f t="shared" ref="S48:AD48" si="34">AVERAGE(S45:S47)</f>
        <v>0.755</v>
      </c>
      <c r="T48" s="115">
        <f t="shared" si="34"/>
        <v>0.7153333333</v>
      </c>
      <c r="U48" s="115">
        <f t="shared" si="34"/>
        <v>0.6673333333</v>
      </c>
      <c r="V48" s="115">
        <f t="shared" si="34"/>
        <v>0.716</v>
      </c>
      <c r="W48" s="115">
        <f t="shared" si="34"/>
        <v>0.7203333333</v>
      </c>
      <c r="X48" s="115">
        <f t="shared" si="34"/>
        <v>0.3366666667</v>
      </c>
      <c r="Y48" s="115">
        <f t="shared" si="34"/>
        <v>0.7883333333</v>
      </c>
      <c r="Z48" s="115">
        <f t="shared" si="34"/>
        <v>0.7996666667</v>
      </c>
      <c r="AA48" s="115">
        <f t="shared" si="34"/>
        <v>44.66666667</v>
      </c>
      <c r="AB48" s="115">
        <f t="shared" si="34"/>
        <v>37</v>
      </c>
      <c r="AC48" s="115">
        <f t="shared" si="34"/>
        <v>39.66666667</v>
      </c>
      <c r="AD48" s="118">
        <f t="shared" si="34"/>
        <v>148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0.02306512519</v>
      </c>
      <c r="G49" s="123">
        <f t="shared" si="35"/>
        <v>0.01216552506</v>
      </c>
      <c r="H49" s="123">
        <f t="shared" si="35"/>
        <v>0.1047902667</v>
      </c>
      <c r="I49" s="123">
        <f t="shared" si="35"/>
        <v>0.07960736984</v>
      </c>
      <c r="J49" s="123">
        <f t="shared" si="35"/>
        <v>0.04974267115</v>
      </c>
      <c r="K49" s="123">
        <f t="shared" si="35"/>
        <v>0.1973558546</v>
      </c>
      <c r="L49" s="123">
        <f t="shared" si="35"/>
        <v>0.1413022765</v>
      </c>
      <c r="M49" s="123">
        <f t="shared" si="35"/>
        <v>0.07660287201</v>
      </c>
      <c r="N49" s="123">
        <f t="shared" si="35"/>
        <v>28.74601422</v>
      </c>
      <c r="O49" s="123">
        <f t="shared" si="35"/>
        <v>28.67635495</v>
      </c>
      <c r="P49" s="123">
        <f t="shared" si="35"/>
        <v>26.51414717</v>
      </c>
      <c r="Q49" s="123">
        <f t="shared" si="35"/>
        <v>26.08320021</v>
      </c>
      <c r="R49" s="123"/>
      <c r="S49" s="123">
        <f t="shared" ref="S49:AD49" si="36">STDEV(S45:S47)</f>
        <v>0.02905167809</v>
      </c>
      <c r="T49" s="123">
        <f t="shared" si="36"/>
        <v>0.04152509282</v>
      </c>
      <c r="U49" s="123">
        <f t="shared" si="36"/>
        <v>0.02119748413</v>
      </c>
      <c r="V49" s="123">
        <f t="shared" si="36"/>
        <v>0.03451086785</v>
      </c>
      <c r="W49" s="123">
        <f t="shared" si="36"/>
        <v>0.02516611478</v>
      </c>
      <c r="X49" s="123">
        <f t="shared" si="36"/>
        <v>0.05986930209</v>
      </c>
      <c r="Y49" s="123">
        <f t="shared" si="36"/>
        <v>0.07298173287</v>
      </c>
      <c r="Z49" s="123">
        <f t="shared" si="36"/>
        <v>0.004725815626</v>
      </c>
      <c r="AA49" s="123">
        <f t="shared" si="36"/>
        <v>2.886751346</v>
      </c>
      <c r="AB49" s="123">
        <f t="shared" si="36"/>
        <v>2.645751311</v>
      </c>
      <c r="AC49" s="123">
        <f t="shared" si="36"/>
        <v>13.57694124</v>
      </c>
      <c r="AD49" s="123">
        <f t="shared" si="36"/>
        <v>14.10673598</v>
      </c>
    </row>
    <row r="50">
      <c r="A50" s="171" t="s">
        <v>55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0.793</v>
      </c>
      <c r="G50" s="125">
        <v>0.767</v>
      </c>
      <c r="H50" s="125">
        <v>0.712</v>
      </c>
      <c r="I50" s="125">
        <v>0.764</v>
      </c>
      <c r="J50" s="125">
        <v>0.762</v>
      </c>
      <c r="K50" s="125">
        <v>0.436</v>
      </c>
      <c r="L50" s="125">
        <v>0.851</v>
      </c>
      <c r="M50" s="125">
        <v>0.821</v>
      </c>
      <c r="N50" s="126">
        <v>47.0</v>
      </c>
      <c r="O50" s="126">
        <v>35.0</v>
      </c>
      <c r="P50" s="126">
        <v>28.0</v>
      </c>
      <c r="Q50" s="126">
        <v>160.0</v>
      </c>
      <c r="R50" s="127"/>
      <c r="S50" s="128">
        <v>0.782</v>
      </c>
      <c r="T50" s="129">
        <v>0.733</v>
      </c>
      <c r="U50" s="129">
        <v>0.712</v>
      </c>
      <c r="V50" s="129">
        <v>0.739</v>
      </c>
      <c r="W50" s="129">
        <v>0.75</v>
      </c>
      <c r="X50" s="128">
        <v>0.406</v>
      </c>
      <c r="Y50" s="128">
        <v>0.766</v>
      </c>
      <c r="Z50" s="128">
        <v>0.837</v>
      </c>
      <c r="AA50" s="148">
        <v>54.0</v>
      </c>
      <c r="AB50" s="149">
        <v>28.0</v>
      </c>
      <c r="AC50" s="149">
        <v>44.0</v>
      </c>
      <c r="AD50" s="150">
        <v>144.0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0.733</v>
      </c>
      <c r="G51" s="134">
        <v>0.706</v>
      </c>
      <c r="H51" s="134">
        <v>0.66</v>
      </c>
      <c r="I51" s="134">
        <v>0.709</v>
      </c>
      <c r="J51" s="134">
        <v>0.712</v>
      </c>
      <c r="K51" s="134">
        <v>0.315</v>
      </c>
      <c r="L51" s="134">
        <v>0.777</v>
      </c>
      <c r="M51" s="134">
        <v>0.798</v>
      </c>
      <c r="N51" s="135">
        <v>44.0</v>
      </c>
      <c r="O51" s="135">
        <v>37.0</v>
      </c>
      <c r="P51" s="135">
        <v>42.0</v>
      </c>
      <c r="Q51" s="135">
        <v>146.0</v>
      </c>
      <c r="R51" s="136"/>
      <c r="S51" s="137">
        <v>0.737</v>
      </c>
      <c r="T51" s="138">
        <v>0.714</v>
      </c>
      <c r="U51" s="138">
        <v>0.637</v>
      </c>
      <c r="V51" s="138">
        <v>0.706</v>
      </c>
      <c r="W51" s="138">
        <v>0.702</v>
      </c>
      <c r="X51" s="137">
        <v>0.289</v>
      </c>
      <c r="Y51" s="137">
        <v>0.83</v>
      </c>
      <c r="Z51" s="137">
        <v>0.776</v>
      </c>
      <c r="AA51" s="139">
        <v>36.0</v>
      </c>
      <c r="AB51" s="140">
        <v>45.0</v>
      </c>
      <c r="AC51" s="140">
        <v>32.0</v>
      </c>
      <c r="AD51" s="141">
        <v>156.0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0.782</v>
      </c>
      <c r="G52" s="143">
        <v>0.714</v>
      </c>
      <c r="H52" s="143">
        <v>0.558</v>
      </c>
      <c r="I52" s="143">
        <v>0.649</v>
      </c>
      <c r="J52" s="143">
        <v>0.69</v>
      </c>
      <c r="K52" s="143">
        <v>0.199</v>
      </c>
      <c r="L52" s="143">
        <v>0.957</v>
      </c>
      <c r="M52" s="143">
        <v>0.722</v>
      </c>
      <c r="N52" s="144">
        <v>13.0</v>
      </c>
      <c r="O52" s="144">
        <v>69.0</v>
      </c>
      <c r="P52" s="144">
        <v>8.0</v>
      </c>
      <c r="Q52" s="144">
        <v>179.0</v>
      </c>
      <c r="R52" s="145"/>
      <c r="S52" s="146">
        <v>0.782</v>
      </c>
      <c r="T52" s="147">
        <v>0.717</v>
      </c>
      <c r="U52" s="147">
        <v>0.667</v>
      </c>
      <c r="V52" s="147">
        <v>0.717</v>
      </c>
      <c r="W52" s="147">
        <v>0.717</v>
      </c>
      <c r="X52" s="146">
        <v>0.333</v>
      </c>
      <c r="Y52" s="146">
        <v>0.797</v>
      </c>
      <c r="Z52" s="146">
        <v>0.797</v>
      </c>
      <c r="AA52" s="148">
        <v>44.0</v>
      </c>
      <c r="AB52" s="149">
        <v>38.0</v>
      </c>
      <c r="AC52" s="149">
        <v>38.0</v>
      </c>
      <c r="AD52" s="150">
        <v>149.0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0.7693333333</v>
      </c>
      <c r="G53" s="151">
        <f t="shared" si="37"/>
        <v>0.729</v>
      </c>
      <c r="H53" s="151">
        <f t="shared" si="37"/>
        <v>0.6433333333</v>
      </c>
      <c r="I53" s="151">
        <f t="shared" si="37"/>
        <v>0.7073333333</v>
      </c>
      <c r="J53" s="151">
        <f t="shared" si="37"/>
        <v>0.7213333333</v>
      </c>
      <c r="K53" s="151">
        <f t="shared" si="37"/>
        <v>0.3166666667</v>
      </c>
      <c r="L53" s="151">
        <f t="shared" si="37"/>
        <v>0.8616666667</v>
      </c>
      <c r="M53" s="151">
        <f t="shared" si="37"/>
        <v>0.7803333333</v>
      </c>
      <c r="N53" s="151">
        <f t="shared" si="37"/>
        <v>34.66666667</v>
      </c>
      <c r="O53" s="151">
        <f t="shared" si="37"/>
        <v>47</v>
      </c>
      <c r="P53" s="151">
        <f t="shared" si="37"/>
        <v>26</v>
      </c>
      <c r="Q53" s="151">
        <f t="shared" si="37"/>
        <v>161.6666667</v>
      </c>
      <c r="R53" s="152"/>
      <c r="S53" s="151">
        <f t="shared" ref="S53:AD53" si="38">AVERAGE(S50:S52)</f>
        <v>0.767</v>
      </c>
      <c r="T53" s="151">
        <f t="shared" si="38"/>
        <v>0.7213333333</v>
      </c>
      <c r="U53" s="151">
        <f t="shared" si="38"/>
        <v>0.672</v>
      </c>
      <c r="V53" s="151">
        <f t="shared" si="38"/>
        <v>0.7206666667</v>
      </c>
      <c r="W53" s="151">
        <f t="shared" si="38"/>
        <v>0.723</v>
      </c>
      <c r="X53" s="151">
        <f t="shared" si="38"/>
        <v>0.3426666667</v>
      </c>
      <c r="Y53" s="151">
        <f t="shared" si="38"/>
        <v>0.7976666667</v>
      </c>
      <c r="Z53" s="151">
        <f t="shared" si="38"/>
        <v>0.8033333333</v>
      </c>
      <c r="AA53" s="151">
        <f t="shared" si="38"/>
        <v>44.66666667</v>
      </c>
      <c r="AB53" s="151">
        <f t="shared" si="38"/>
        <v>37</v>
      </c>
      <c r="AC53" s="151">
        <f t="shared" si="38"/>
        <v>38</v>
      </c>
      <c r="AD53" s="153">
        <f t="shared" si="38"/>
        <v>149.6666667</v>
      </c>
    </row>
    <row r="54">
      <c r="A54" s="119"/>
      <c r="B54" s="163" t="s">
        <v>48</v>
      </c>
      <c r="C54" s="3"/>
      <c r="D54" s="3"/>
      <c r="E54" s="164"/>
      <c r="F54" s="165">
        <f t="shared" ref="F54:Q54" si="39">STDEV(F50:F52)</f>
        <v>0.03194265695</v>
      </c>
      <c r="G54" s="165">
        <f t="shared" si="39"/>
        <v>0.03315116891</v>
      </c>
      <c r="H54" s="165">
        <f t="shared" si="39"/>
        <v>0.07834113436</v>
      </c>
      <c r="I54" s="165">
        <f t="shared" si="39"/>
        <v>0.05751811309</v>
      </c>
      <c r="J54" s="165">
        <f t="shared" si="39"/>
        <v>0.03689625094</v>
      </c>
      <c r="K54" s="165">
        <f t="shared" si="39"/>
        <v>0.1185087901</v>
      </c>
      <c r="L54" s="165">
        <f t="shared" si="39"/>
        <v>0.09047283202</v>
      </c>
      <c r="M54" s="165">
        <f t="shared" si="39"/>
        <v>0.05181055234</v>
      </c>
      <c r="N54" s="165">
        <f t="shared" si="39"/>
        <v>18.82374387</v>
      </c>
      <c r="O54" s="165">
        <f t="shared" si="39"/>
        <v>19.07878403</v>
      </c>
      <c r="P54" s="165">
        <f t="shared" si="39"/>
        <v>17.08800749</v>
      </c>
      <c r="Q54" s="165">
        <f t="shared" si="39"/>
        <v>16.563011</v>
      </c>
      <c r="R54" s="165"/>
      <c r="S54" s="165">
        <f t="shared" ref="S54:AD54" si="40">STDEV(S50:S52)</f>
        <v>0.02598076211</v>
      </c>
      <c r="T54" s="165">
        <f t="shared" si="40"/>
        <v>0.01021436896</v>
      </c>
      <c r="U54" s="165">
        <f t="shared" si="40"/>
        <v>0.03774917218</v>
      </c>
      <c r="V54" s="165">
        <f t="shared" si="40"/>
        <v>0.01680277755</v>
      </c>
      <c r="W54" s="165">
        <f t="shared" si="40"/>
        <v>0.02455605832</v>
      </c>
      <c r="X54" s="165">
        <f t="shared" si="40"/>
        <v>0.05909596715</v>
      </c>
      <c r="Y54" s="165">
        <f t="shared" si="40"/>
        <v>0.03200520791</v>
      </c>
      <c r="Z54" s="165">
        <f t="shared" si="40"/>
        <v>0.03098924545</v>
      </c>
      <c r="AA54" s="165">
        <f t="shared" si="40"/>
        <v>9.018499506</v>
      </c>
      <c r="AB54" s="165">
        <f t="shared" si="40"/>
        <v>8.544003745</v>
      </c>
      <c r="AC54" s="165">
        <f t="shared" si="40"/>
        <v>6</v>
      </c>
      <c r="AD54" s="165">
        <f t="shared" si="40"/>
        <v>6.027713773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0.7640333333</v>
      </c>
      <c r="G55" s="167">
        <f t="shared" si="41"/>
        <v>0.733</v>
      </c>
      <c r="H55" s="167">
        <f t="shared" si="41"/>
        <v>0.6491666667</v>
      </c>
      <c r="I55" s="167">
        <f t="shared" si="41"/>
        <v>0.7147</v>
      </c>
      <c r="J55" s="167">
        <f t="shared" si="41"/>
        <v>0.7269666667</v>
      </c>
      <c r="K55" s="167">
        <f t="shared" si="41"/>
        <v>0.3244333333</v>
      </c>
      <c r="L55" s="167">
        <f t="shared" si="41"/>
        <v>0.8624</v>
      </c>
      <c r="M55" s="167">
        <f t="shared" si="41"/>
        <v>0.7826333333</v>
      </c>
      <c r="N55" s="167">
        <f t="shared" si="41"/>
        <v>35.6</v>
      </c>
      <c r="O55" s="167">
        <f t="shared" si="41"/>
        <v>46.06666667</v>
      </c>
      <c r="P55" s="167">
        <f t="shared" si="41"/>
        <v>25.83333333</v>
      </c>
      <c r="Q55" s="167">
        <f t="shared" si="41"/>
        <v>161.8333333</v>
      </c>
      <c r="R55" s="168"/>
      <c r="S55" s="167">
        <f t="shared" ref="S55:AD55" si="42">AVERAGE(S8, S13, S18, S23,S28,S33,S38,S43,S48,S53)</f>
        <v>0.7554</v>
      </c>
      <c r="T55" s="167">
        <f t="shared" si="42"/>
        <v>0.7225666667</v>
      </c>
      <c r="U55" s="167">
        <f t="shared" si="42"/>
        <v>0.6582</v>
      </c>
      <c r="V55" s="167">
        <f t="shared" si="42"/>
        <v>0.7173666667</v>
      </c>
      <c r="W55" s="167">
        <f t="shared" si="42"/>
        <v>0.7182666667</v>
      </c>
      <c r="X55" s="167">
        <f t="shared" si="42"/>
        <v>0.3291</v>
      </c>
      <c r="Y55" s="167">
        <f t="shared" si="42"/>
        <v>0.8216</v>
      </c>
      <c r="Z55" s="167">
        <f t="shared" si="42"/>
        <v>0.7900666667</v>
      </c>
      <c r="AA55" s="167">
        <f t="shared" si="42"/>
        <v>40.43333333</v>
      </c>
      <c r="AB55" s="167">
        <f t="shared" si="42"/>
        <v>41.23333333</v>
      </c>
      <c r="AC55" s="167">
        <f t="shared" si="42"/>
        <v>33.46666667</v>
      </c>
      <c r="AD55" s="167">
        <f t="shared" si="42"/>
        <v>154.2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 F13, F18, F23,F28,F33,F38,F43,F48,F53)</f>
        <v>0.01117144729</v>
      </c>
      <c r="G57" s="168">
        <f t="shared" si="43"/>
        <v>0.0118613388</v>
      </c>
      <c r="H57" s="168">
        <f t="shared" si="43"/>
        <v>0.02429258384</v>
      </c>
      <c r="I57" s="168">
        <f t="shared" si="43"/>
        <v>0.02270446195</v>
      </c>
      <c r="J57" s="168">
        <f t="shared" si="43"/>
        <v>0.01091657478</v>
      </c>
      <c r="K57" s="168">
        <f t="shared" si="43"/>
        <v>0.04806298594</v>
      </c>
      <c r="L57" s="168">
        <f t="shared" si="43"/>
        <v>0.02825798259</v>
      </c>
      <c r="M57" s="168">
        <f t="shared" si="43"/>
        <v>0.01508776792</v>
      </c>
      <c r="N57" s="168">
        <f t="shared" si="43"/>
        <v>5.693400988</v>
      </c>
      <c r="O57" s="168">
        <f t="shared" si="43"/>
        <v>5.693400988</v>
      </c>
      <c r="P57" s="168">
        <f t="shared" si="43"/>
        <v>5.329280868</v>
      </c>
      <c r="Q57" s="168">
        <f t="shared" si="43"/>
        <v>5.329280868</v>
      </c>
      <c r="R57" s="168"/>
      <c r="S57" s="168">
        <f t="shared" ref="S57:AD57" si="44">STDEV(S8, S13, S18, S23,S28,S33,S38,S43,S48,S53)</f>
        <v>0.008939853894</v>
      </c>
      <c r="T57" s="168">
        <f t="shared" si="44"/>
        <v>0.008791199303</v>
      </c>
      <c r="U57" s="168">
        <f t="shared" si="44"/>
        <v>0.01519762815</v>
      </c>
      <c r="V57" s="168">
        <f t="shared" si="44"/>
        <v>0.007757831567</v>
      </c>
      <c r="W57" s="168">
        <f t="shared" si="44"/>
        <v>0.009899245513</v>
      </c>
      <c r="X57" s="168">
        <f t="shared" si="44"/>
        <v>0.02318101075</v>
      </c>
      <c r="Y57" s="168">
        <f t="shared" si="44"/>
        <v>0.03018944301</v>
      </c>
      <c r="Z57" s="168">
        <f t="shared" si="44"/>
        <v>0.01334147899</v>
      </c>
      <c r="AA57" s="168">
        <f t="shared" si="44"/>
        <v>4.54347993</v>
      </c>
      <c r="AB57" s="168">
        <f t="shared" si="44"/>
        <v>4.54347993</v>
      </c>
      <c r="AC57" s="168">
        <f t="shared" si="44"/>
        <v>5.67254597</v>
      </c>
      <c r="AD57" s="168">
        <f t="shared" si="44"/>
        <v>5.67254597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56</v>
      </c>
      <c r="O2" s="77" t="s">
        <v>3</v>
      </c>
      <c r="P2" s="77" t="s">
        <v>4</v>
      </c>
      <c r="Q2" s="77" t="s">
        <v>57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58</v>
      </c>
      <c r="AB2" s="77" t="s">
        <v>3</v>
      </c>
      <c r="AC2" s="77" t="s">
        <v>4</v>
      </c>
      <c r="AD2" s="78" t="s">
        <v>59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60</v>
      </c>
      <c r="B5" s="88">
        <v>1.0</v>
      </c>
      <c r="C5" s="89" t="b">
        <v>1</v>
      </c>
      <c r="D5" s="89" t="s">
        <v>43</v>
      </c>
      <c r="E5" s="89" t="s">
        <v>44</v>
      </c>
      <c r="F5" s="172">
        <v>0.791</v>
      </c>
      <c r="G5" s="173">
        <v>0.763</v>
      </c>
      <c r="H5" s="173">
        <v>0.723</v>
      </c>
      <c r="I5" s="173">
        <v>0.764</v>
      </c>
      <c r="J5" s="173">
        <v>0.765</v>
      </c>
      <c r="K5" s="173">
        <v>0.443</v>
      </c>
      <c r="L5" s="173">
        <v>0.824</v>
      </c>
      <c r="M5" s="173">
        <v>0.833</v>
      </c>
      <c r="N5" s="174">
        <v>51.0</v>
      </c>
      <c r="O5" s="174">
        <v>31.0</v>
      </c>
      <c r="P5" s="174">
        <v>33.0</v>
      </c>
      <c r="Q5" s="174">
        <v>155.0</v>
      </c>
      <c r="R5" s="175"/>
      <c r="S5" s="176"/>
      <c r="T5" s="177"/>
      <c r="U5" s="177"/>
      <c r="V5" s="177"/>
      <c r="W5" s="177"/>
      <c r="X5" s="176"/>
      <c r="Y5" s="176"/>
      <c r="Z5" s="176"/>
      <c r="AA5" s="178"/>
      <c r="AB5" s="179"/>
      <c r="AC5" s="179"/>
      <c r="AD5" s="180"/>
    </row>
    <row r="6">
      <c r="A6" s="7"/>
      <c r="C6" s="99" t="b">
        <v>1</v>
      </c>
      <c r="D6" s="99" t="s">
        <v>43</v>
      </c>
      <c r="E6" s="99" t="s">
        <v>45</v>
      </c>
      <c r="F6" s="181">
        <v>0.761</v>
      </c>
      <c r="G6" s="182">
        <v>0.747</v>
      </c>
      <c r="H6" s="182">
        <v>0.689</v>
      </c>
      <c r="I6" s="182">
        <v>0.744</v>
      </c>
      <c r="J6" s="182">
        <v>0.742</v>
      </c>
      <c r="K6" s="182">
        <v>0.387</v>
      </c>
      <c r="L6" s="182">
        <v>0.835</v>
      </c>
      <c r="M6" s="182">
        <v>0.809</v>
      </c>
      <c r="N6" s="183">
        <v>44.0</v>
      </c>
      <c r="O6" s="183">
        <v>37.0</v>
      </c>
      <c r="P6" s="183">
        <v>31.0</v>
      </c>
      <c r="Q6" s="183">
        <v>157.0</v>
      </c>
      <c r="R6" s="184"/>
      <c r="S6" s="185"/>
      <c r="T6" s="186"/>
      <c r="U6" s="186"/>
      <c r="V6" s="186"/>
      <c r="W6" s="186"/>
      <c r="X6" s="185"/>
      <c r="Y6" s="185"/>
      <c r="Z6" s="185"/>
      <c r="AA6" s="187"/>
      <c r="AB6" s="188"/>
      <c r="AC6" s="188"/>
      <c r="AD6" s="189"/>
    </row>
    <row r="7">
      <c r="A7" s="7"/>
      <c r="B7" s="109"/>
      <c r="C7" s="99" t="b">
        <v>1</v>
      </c>
      <c r="D7" s="99" t="s">
        <v>43</v>
      </c>
      <c r="E7" s="99" t="s">
        <v>46</v>
      </c>
      <c r="F7" s="190">
        <v>0.796</v>
      </c>
      <c r="G7" s="191">
        <v>0.695</v>
      </c>
      <c r="H7" s="191">
        <v>0.5</v>
      </c>
      <c r="I7" s="191">
        <v>0.57</v>
      </c>
      <c r="J7" s="191">
        <v>0.788</v>
      </c>
      <c r="K7" s="191">
        <v>0.0</v>
      </c>
      <c r="L7" s="191">
        <v>1.0</v>
      </c>
      <c r="M7" s="191">
        <v>0.695</v>
      </c>
      <c r="N7" s="192">
        <v>0.0</v>
      </c>
      <c r="O7" s="192">
        <v>82.0</v>
      </c>
      <c r="P7" s="192">
        <v>0.0</v>
      </c>
      <c r="Q7" s="192">
        <v>187.0</v>
      </c>
      <c r="R7" s="193"/>
      <c r="S7" s="194"/>
      <c r="T7" s="195"/>
      <c r="U7" s="195"/>
      <c r="V7" s="195"/>
      <c r="W7" s="195"/>
      <c r="X7" s="194"/>
      <c r="Y7" s="194"/>
      <c r="Z7" s="194"/>
      <c r="AA7" s="196"/>
      <c r="AB7" s="197"/>
      <c r="AC7" s="197"/>
      <c r="AD7" s="198"/>
    </row>
    <row r="8">
      <c r="A8" s="7"/>
      <c r="B8" s="114" t="s">
        <v>47</v>
      </c>
      <c r="C8" s="30"/>
      <c r="D8" s="30"/>
      <c r="E8" s="72"/>
      <c r="F8" s="115">
        <f t="shared" ref="F8:Q8" si="1">AVERAGE(F5:F7)</f>
        <v>0.7826666667</v>
      </c>
      <c r="G8" s="115">
        <f t="shared" si="1"/>
        <v>0.735</v>
      </c>
      <c r="H8" s="117">
        <f t="shared" si="1"/>
        <v>0.6373333333</v>
      </c>
      <c r="I8" s="117">
        <f t="shared" si="1"/>
        <v>0.6926666667</v>
      </c>
      <c r="J8" s="115">
        <f t="shared" si="1"/>
        <v>0.765</v>
      </c>
      <c r="K8" s="115">
        <f t="shared" si="1"/>
        <v>0.2766666667</v>
      </c>
      <c r="L8" s="115">
        <f t="shared" si="1"/>
        <v>0.8863333333</v>
      </c>
      <c r="M8" s="115">
        <f t="shared" si="1"/>
        <v>0.779</v>
      </c>
      <c r="N8" s="117">
        <f t="shared" si="1"/>
        <v>31.66666667</v>
      </c>
      <c r="O8" s="117">
        <f t="shared" si="1"/>
        <v>50</v>
      </c>
      <c r="P8" s="115">
        <f t="shared" si="1"/>
        <v>21.33333333</v>
      </c>
      <c r="Q8" s="115">
        <f t="shared" si="1"/>
        <v>166.3333333</v>
      </c>
      <c r="R8" s="200"/>
      <c r="S8" s="199" t="str">
        <f t="shared" ref="S8:AD8" si="2">AVERAGE(S5:S7)</f>
        <v>#DIV/0!</v>
      </c>
      <c r="T8" s="117" t="str">
        <f t="shared" si="2"/>
        <v>#DIV/0!</v>
      </c>
      <c r="U8" s="199" t="str">
        <f t="shared" si="2"/>
        <v>#DIV/0!</v>
      </c>
      <c r="V8" s="199" t="str">
        <f t="shared" si="2"/>
        <v>#DIV/0!</v>
      </c>
      <c r="W8" s="199" t="str">
        <f t="shared" si="2"/>
        <v>#DIV/0!</v>
      </c>
      <c r="X8" s="199" t="str">
        <f t="shared" si="2"/>
        <v>#DIV/0!</v>
      </c>
      <c r="Y8" s="199" t="str">
        <f t="shared" si="2"/>
        <v>#DIV/0!</v>
      </c>
      <c r="Z8" s="199" t="str">
        <f t="shared" si="2"/>
        <v>#DIV/0!</v>
      </c>
      <c r="AA8" s="199" t="str">
        <f t="shared" si="2"/>
        <v>#DIV/0!</v>
      </c>
      <c r="AB8" s="199" t="str">
        <f t="shared" si="2"/>
        <v>#DIV/0!</v>
      </c>
      <c r="AC8" s="199" t="str">
        <f t="shared" si="2"/>
        <v>#DIV/0!</v>
      </c>
      <c r="AD8" s="201" t="str">
        <f t="shared" si="2"/>
        <v>#DIV/0!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0.01892969449</v>
      </c>
      <c r="G9" s="123">
        <f t="shared" si="3"/>
        <v>0.03555277767</v>
      </c>
      <c r="H9" s="123">
        <f t="shared" si="3"/>
        <v>0.1201429704</v>
      </c>
      <c r="I9" s="123">
        <f t="shared" si="3"/>
        <v>0.1067020775</v>
      </c>
      <c r="J9" s="123">
        <f t="shared" si="3"/>
        <v>0.023</v>
      </c>
      <c r="K9" s="123">
        <f t="shared" si="3"/>
        <v>0.2412308714</v>
      </c>
      <c r="L9" s="123">
        <f t="shared" si="3"/>
        <v>0.09859175084</v>
      </c>
      <c r="M9" s="123">
        <f t="shared" si="3"/>
        <v>0.07372923436</v>
      </c>
      <c r="N9" s="123">
        <f t="shared" si="3"/>
        <v>27.64657905</v>
      </c>
      <c r="O9" s="123">
        <f t="shared" si="3"/>
        <v>27.87471973</v>
      </c>
      <c r="P9" s="123">
        <f t="shared" si="3"/>
        <v>18.50225212</v>
      </c>
      <c r="Q9" s="123">
        <f t="shared" si="3"/>
        <v>17.92577288</v>
      </c>
      <c r="R9" s="202"/>
      <c r="S9" s="202" t="str">
        <f t="shared" ref="S9:AD9" si="4">STDEV(S5:S7)</f>
        <v>#DIV/0!</v>
      </c>
      <c r="T9" s="202" t="str">
        <f t="shared" si="4"/>
        <v>#DIV/0!</v>
      </c>
      <c r="U9" s="202" t="str">
        <f t="shared" si="4"/>
        <v>#DIV/0!</v>
      </c>
      <c r="V9" s="202" t="str">
        <f t="shared" si="4"/>
        <v>#DIV/0!</v>
      </c>
      <c r="W9" s="202" t="str">
        <f t="shared" si="4"/>
        <v>#DIV/0!</v>
      </c>
      <c r="X9" s="202" t="str">
        <f t="shared" si="4"/>
        <v>#DIV/0!</v>
      </c>
      <c r="Y9" s="202" t="str">
        <f t="shared" si="4"/>
        <v>#DIV/0!</v>
      </c>
      <c r="Z9" s="202" t="str">
        <f t="shared" si="4"/>
        <v>#DIV/0!</v>
      </c>
      <c r="AA9" s="202" t="str">
        <f t="shared" si="4"/>
        <v>#DIV/0!</v>
      </c>
      <c r="AB9" s="202" t="str">
        <f t="shared" si="4"/>
        <v>#DIV/0!</v>
      </c>
      <c r="AC9" s="202" t="str">
        <f t="shared" si="4"/>
        <v>#DIV/0!</v>
      </c>
      <c r="AD9" s="202" t="str">
        <f t="shared" si="4"/>
        <v>#DIV/0!</v>
      </c>
    </row>
    <row r="10">
      <c r="A10" s="171" t="s">
        <v>60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0.763</v>
      </c>
      <c r="G10" s="91">
        <v>0.719</v>
      </c>
      <c r="H10" s="91">
        <v>0.698</v>
      </c>
      <c r="I10" s="91">
        <v>0.725</v>
      </c>
      <c r="J10" s="91">
        <v>0.738</v>
      </c>
      <c r="K10" s="91">
        <v>0.377</v>
      </c>
      <c r="L10" s="91">
        <v>0.75</v>
      </c>
      <c r="M10" s="91">
        <v>0.829</v>
      </c>
      <c r="N10" s="92">
        <v>53.0</v>
      </c>
      <c r="O10" s="92">
        <v>29.0</v>
      </c>
      <c r="P10" s="92">
        <v>47.0</v>
      </c>
      <c r="Q10" s="92">
        <v>141.0</v>
      </c>
      <c r="R10" s="93"/>
      <c r="S10" s="94"/>
      <c r="T10" s="95"/>
      <c r="U10" s="95"/>
      <c r="V10" s="95"/>
      <c r="W10" s="95"/>
      <c r="X10" s="94"/>
      <c r="Y10" s="94"/>
      <c r="Z10" s="94"/>
      <c r="AA10" s="96"/>
      <c r="AB10" s="97"/>
      <c r="AC10" s="97"/>
      <c r="AD10" s="98"/>
    </row>
    <row r="11">
      <c r="A11" s="7"/>
      <c r="C11" s="99" t="b">
        <v>1</v>
      </c>
      <c r="D11" s="99" t="s">
        <v>43</v>
      </c>
      <c r="E11" s="99" t="s">
        <v>45</v>
      </c>
      <c r="F11" s="100">
        <v>0.745</v>
      </c>
      <c r="G11" s="101">
        <v>0.729</v>
      </c>
      <c r="H11" s="101">
        <v>0.627</v>
      </c>
      <c r="I11" s="101">
        <v>0.709</v>
      </c>
      <c r="J11" s="101">
        <v>0.708</v>
      </c>
      <c r="K11" s="101">
        <v>0.294</v>
      </c>
      <c r="L11" s="101">
        <v>0.883</v>
      </c>
      <c r="M11" s="101">
        <v>0.765</v>
      </c>
      <c r="N11" s="102">
        <v>30.0</v>
      </c>
      <c r="O11" s="102">
        <v>51.0</v>
      </c>
      <c r="P11" s="102">
        <v>22.0</v>
      </c>
      <c r="Q11" s="102">
        <v>166.0</v>
      </c>
      <c r="R11" s="103"/>
      <c r="S11" s="104"/>
      <c r="T11" s="105"/>
      <c r="U11" s="105"/>
      <c r="V11" s="105"/>
      <c r="W11" s="105"/>
      <c r="X11" s="104"/>
      <c r="Y11" s="104"/>
      <c r="Z11" s="104"/>
      <c r="AA11" s="106"/>
      <c r="AB11" s="107"/>
      <c r="AC11" s="107"/>
      <c r="AD11" s="108"/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0.804</v>
      </c>
      <c r="G12" s="101">
        <v>0.71</v>
      </c>
      <c r="H12" s="101">
        <v>0.586</v>
      </c>
      <c r="I12" s="101">
        <v>0.675</v>
      </c>
      <c r="J12" s="101">
        <v>0.681</v>
      </c>
      <c r="K12" s="101">
        <v>0.223</v>
      </c>
      <c r="L12" s="101">
        <v>0.904</v>
      </c>
      <c r="M12" s="101">
        <v>0.738</v>
      </c>
      <c r="N12" s="110">
        <v>22.0</v>
      </c>
      <c r="O12" s="110">
        <v>60.0</v>
      </c>
      <c r="P12" s="110">
        <v>18.0</v>
      </c>
      <c r="Q12" s="110">
        <v>169.0</v>
      </c>
      <c r="R12" s="103"/>
      <c r="S12" s="104"/>
      <c r="T12" s="105"/>
      <c r="U12" s="105"/>
      <c r="V12" s="105"/>
      <c r="W12" s="105"/>
      <c r="X12" s="104"/>
      <c r="Y12" s="104"/>
      <c r="Z12" s="104"/>
      <c r="AA12" s="111"/>
      <c r="AB12" s="112"/>
      <c r="AC12" s="112"/>
      <c r="AD12" s="113"/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0.7706666667</v>
      </c>
      <c r="G13" s="115">
        <f t="shared" si="5"/>
        <v>0.7193333333</v>
      </c>
      <c r="H13" s="115">
        <f t="shared" si="5"/>
        <v>0.637</v>
      </c>
      <c r="I13" s="115">
        <f t="shared" si="5"/>
        <v>0.703</v>
      </c>
      <c r="J13" s="115">
        <f t="shared" si="5"/>
        <v>0.709</v>
      </c>
      <c r="K13" s="115">
        <f t="shared" si="5"/>
        <v>0.298</v>
      </c>
      <c r="L13" s="117">
        <f t="shared" si="5"/>
        <v>0.8456666667</v>
      </c>
      <c r="M13" s="115">
        <f t="shared" si="5"/>
        <v>0.7773333333</v>
      </c>
      <c r="N13" s="115">
        <f t="shared" si="5"/>
        <v>35</v>
      </c>
      <c r="O13" s="115">
        <f t="shared" si="5"/>
        <v>46.66666667</v>
      </c>
      <c r="P13" s="117">
        <f t="shared" si="5"/>
        <v>29</v>
      </c>
      <c r="Q13" s="117">
        <f t="shared" si="5"/>
        <v>158.6666667</v>
      </c>
      <c r="R13" s="116"/>
      <c r="S13" s="117" t="str">
        <f t="shared" ref="S13:AD13" si="6">AVERAGE(S10:S12)</f>
        <v>#DIV/0!</v>
      </c>
      <c r="T13" s="115" t="str">
        <f t="shared" si="6"/>
        <v>#DIV/0!</v>
      </c>
      <c r="U13" s="115" t="str">
        <f t="shared" si="6"/>
        <v>#DIV/0!</v>
      </c>
      <c r="V13" s="117" t="str">
        <f t="shared" si="6"/>
        <v>#DIV/0!</v>
      </c>
      <c r="W13" s="117" t="str">
        <f t="shared" si="6"/>
        <v>#DIV/0!</v>
      </c>
      <c r="X13" s="117" t="str">
        <f t="shared" si="6"/>
        <v>#DIV/0!</v>
      </c>
      <c r="Y13" s="115" t="str">
        <f t="shared" si="6"/>
        <v>#DIV/0!</v>
      </c>
      <c r="Z13" s="115" t="str">
        <f t="shared" si="6"/>
        <v>#DIV/0!</v>
      </c>
      <c r="AA13" s="115" t="str">
        <f t="shared" si="6"/>
        <v>#DIV/0!</v>
      </c>
      <c r="AB13" s="115" t="str">
        <f t="shared" si="6"/>
        <v>#DIV/0!</v>
      </c>
      <c r="AC13" s="115" t="str">
        <f t="shared" si="6"/>
        <v>#DIV/0!</v>
      </c>
      <c r="AD13" s="118" t="str">
        <f t="shared" si="6"/>
        <v>#DIV/0!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0.03023794526</v>
      </c>
      <c r="G14" s="123">
        <f t="shared" si="7"/>
        <v>0.009504384953</v>
      </c>
      <c r="H14" s="123">
        <f t="shared" si="7"/>
        <v>0.05666568627</v>
      </c>
      <c r="I14" s="123">
        <f t="shared" si="7"/>
        <v>0.02553429067</v>
      </c>
      <c r="J14" s="123">
        <f t="shared" si="7"/>
        <v>0.02851315486</v>
      </c>
      <c r="K14" s="123">
        <f t="shared" si="7"/>
        <v>0.07707788269</v>
      </c>
      <c r="L14" s="123">
        <f t="shared" si="7"/>
        <v>0.08351247412</v>
      </c>
      <c r="M14" s="123">
        <f t="shared" si="7"/>
        <v>0.04673685198</v>
      </c>
      <c r="N14" s="123">
        <f t="shared" si="7"/>
        <v>16.09347694</v>
      </c>
      <c r="O14" s="123">
        <f t="shared" si="7"/>
        <v>15.94783162</v>
      </c>
      <c r="P14" s="123">
        <f t="shared" si="7"/>
        <v>15.71623365</v>
      </c>
      <c r="Q14" s="123">
        <f t="shared" si="7"/>
        <v>15.37313674</v>
      </c>
      <c r="R14" s="123"/>
      <c r="S14" s="123" t="str">
        <f t="shared" ref="S14:AD14" si="8">STDEV(S10:S12)</f>
        <v>#DIV/0!</v>
      </c>
      <c r="T14" s="123" t="str">
        <f t="shared" si="8"/>
        <v>#DIV/0!</v>
      </c>
      <c r="U14" s="123" t="str">
        <f t="shared" si="8"/>
        <v>#DIV/0!</v>
      </c>
      <c r="V14" s="123" t="str">
        <f t="shared" si="8"/>
        <v>#DIV/0!</v>
      </c>
      <c r="W14" s="123" t="str">
        <f t="shared" si="8"/>
        <v>#DIV/0!</v>
      </c>
      <c r="X14" s="123" t="str">
        <f t="shared" si="8"/>
        <v>#DIV/0!</v>
      </c>
      <c r="Y14" s="123" t="str">
        <f t="shared" si="8"/>
        <v>#DIV/0!</v>
      </c>
      <c r="Z14" s="123" t="str">
        <f t="shared" si="8"/>
        <v>#DIV/0!</v>
      </c>
      <c r="AA14" s="123" t="str">
        <f t="shared" si="8"/>
        <v>#DIV/0!</v>
      </c>
      <c r="AB14" s="123" t="str">
        <f t="shared" si="8"/>
        <v>#DIV/0!</v>
      </c>
      <c r="AC14" s="123" t="str">
        <f t="shared" si="8"/>
        <v>#DIV/0!</v>
      </c>
      <c r="AD14" s="123" t="str">
        <f t="shared" si="8"/>
        <v>#DIV/0!</v>
      </c>
    </row>
    <row r="15">
      <c r="A15" s="171" t="s">
        <v>60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0.767</v>
      </c>
      <c r="G15" s="91">
        <v>0.733</v>
      </c>
      <c r="H15" s="91">
        <v>0.719</v>
      </c>
      <c r="I15" s="91">
        <v>0.74</v>
      </c>
      <c r="J15" s="91">
        <v>0.755</v>
      </c>
      <c r="K15" s="91">
        <v>0.416</v>
      </c>
      <c r="L15" s="91">
        <v>0.755</v>
      </c>
      <c r="M15" s="91">
        <v>0.845</v>
      </c>
      <c r="N15" s="92">
        <v>56.0</v>
      </c>
      <c r="O15" s="92">
        <v>26.0</v>
      </c>
      <c r="P15" s="92">
        <v>46.0</v>
      </c>
      <c r="Q15" s="92">
        <v>142.0</v>
      </c>
      <c r="R15" s="93"/>
      <c r="S15" s="94"/>
      <c r="T15" s="95"/>
      <c r="U15" s="95"/>
      <c r="V15" s="95"/>
      <c r="W15" s="95"/>
      <c r="X15" s="94"/>
      <c r="Y15" s="94"/>
      <c r="Z15" s="94"/>
      <c r="AA15" s="96"/>
      <c r="AB15" s="97"/>
      <c r="AC15" s="97"/>
      <c r="AD15" s="98"/>
    </row>
    <row r="16">
      <c r="A16" s="7"/>
      <c r="C16" s="99" t="b">
        <v>1</v>
      </c>
      <c r="D16" s="99" t="s">
        <v>43</v>
      </c>
      <c r="E16" s="99" t="s">
        <v>45</v>
      </c>
      <c r="F16" s="100">
        <v>0.754</v>
      </c>
      <c r="G16" s="101">
        <v>0.721</v>
      </c>
      <c r="H16" s="101">
        <v>0.604</v>
      </c>
      <c r="I16" s="101">
        <v>0.692</v>
      </c>
      <c r="J16" s="101">
        <v>0.696</v>
      </c>
      <c r="K16" s="101">
        <v>0.257</v>
      </c>
      <c r="L16" s="101">
        <v>0.899</v>
      </c>
      <c r="M16" s="101">
        <v>0.751</v>
      </c>
      <c r="N16" s="102">
        <v>25.0</v>
      </c>
      <c r="O16" s="102">
        <v>56.0</v>
      </c>
      <c r="P16" s="102">
        <v>19.0</v>
      </c>
      <c r="Q16" s="102">
        <v>169.0</v>
      </c>
      <c r="R16" s="103"/>
      <c r="S16" s="104"/>
      <c r="T16" s="105"/>
      <c r="U16" s="105"/>
      <c r="V16" s="105"/>
      <c r="W16" s="105"/>
      <c r="X16" s="104"/>
      <c r="Y16" s="104"/>
      <c r="Z16" s="104"/>
      <c r="AA16" s="106"/>
      <c r="AB16" s="107"/>
      <c r="AC16" s="107"/>
      <c r="AD16" s="108"/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0.749</v>
      </c>
      <c r="G17" s="101">
        <v>0.695</v>
      </c>
      <c r="H17" s="101">
        <v>0.5</v>
      </c>
      <c r="I17" s="101">
        <v>0.57</v>
      </c>
      <c r="J17" s="101">
        <v>0.788</v>
      </c>
      <c r="K17" s="101">
        <v>0.0</v>
      </c>
      <c r="L17" s="101">
        <v>1.0</v>
      </c>
      <c r="M17" s="101">
        <v>0.695</v>
      </c>
      <c r="N17" s="110">
        <v>0.0</v>
      </c>
      <c r="O17" s="110">
        <v>82.0</v>
      </c>
      <c r="P17" s="110">
        <v>0.0</v>
      </c>
      <c r="Q17" s="110">
        <v>187.0</v>
      </c>
      <c r="R17" s="103"/>
      <c r="S17" s="104"/>
      <c r="T17" s="105"/>
      <c r="U17" s="105"/>
      <c r="V17" s="105"/>
      <c r="W17" s="105"/>
      <c r="X17" s="104"/>
      <c r="Y17" s="104"/>
      <c r="Z17" s="104"/>
      <c r="AA17" s="111"/>
      <c r="AB17" s="112"/>
      <c r="AC17" s="112"/>
      <c r="AD17" s="113"/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0.7566666667</v>
      </c>
      <c r="G18" s="115">
        <f t="shared" si="9"/>
        <v>0.7163333333</v>
      </c>
      <c r="H18" s="115">
        <f t="shared" si="9"/>
        <v>0.6076666667</v>
      </c>
      <c r="I18" s="115">
        <f t="shared" si="9"/>
        <v>0.6673333333</v>
      </c>
      <c r="J18" s="115">
        <f t="shared" si="9"/>
        <v>0.7463333333</v>
      </c>
      <c r="K18" s="115">
        <f t="shared" si="9"/>
        <v>0.2243333333</v>
      </c>
      <c r="L18" s="115">
        <f t="shared" si="9"/>
        <v>0.8846666667</v>
      </c>
      <c r="M18" s="115">
        <f t="shared" si="9"/>
        <v>0.7636666667</v>
      </c>
      <c r="N18" s="115">
        <f t="shared" si="9"/>
        <v>27</v>
      </c>
      <c r="O18" s="115">
        <f t="shared" si="9"/>
        <v>54.66666667</v>
      </c>
      <c r="P18" s="115">
        <f t="shared" si="9"/>
        <v>21.66666667</v>
      </c>
      <c r="Q18" s="115">
        <f t="shared" si="9"/>
        <v>166</v>
      </c>
      <c r="R18" s="116"/>
      <c r="S18" s="115" t="str">
        <f t="shared" ref="S18:AD18" si="10">AVERAGE(S15:S17)</f>
        <v>#DIV/0!</v>
      </c>
      <c r="T18" s="115" t="str">
        <f t="shared" si="10"/>
        <v>#DIV/0!</v>
      </c>
      <c r="U18" s="117" t="str">
        <f t="shared" si="10"/>
        <v>#DIV/0!</v>
      </c>
      <c r="V18" s="115" t="str">
        <f t="shared" si="10"/>
        <v>#DIV/0!</v>
      </c>
      <c r="W18" s="115" t="str">
        <f t="shared" si="10"/>
        <v>#DIV/0!</v>
      </c>
      <c r="X18" s="115" t="str">
        <f t="shared" si="10"/>
        <v>#DIV/0!</v>
      </c>
      <c r="Y18" s="115" t="str">
        <f t="shared" si="10"/>
        <v>#DIV/0!</v>
      </c>
      <c r="Z18" s="117" t="str">
        <f t="shared" si="10"/>
        <v>#DIV/0!</v>
      </c>
      <c r="AA18" s="115" t="str">
        <f t="shared" si="10"/>
        <v>#DIV/0!</v>
      </c>
      <c r="AB18" s="115" t="str">
        <f t="shared" si="10"/>
        <v>#DIV/0!</v>
      </c>
      <c r="AC18" s="115" t="str">
        <f t="shared" si="10"/>
        <v>#DIV/0!</v>
      </c>
      <c r="AD18" s="118" t="str">
        <f t="shared" si="10"/>
        <v>#DIV/0!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0.009291573243</v>
      </c>
      <c r="G19" s="123">
        <f t="shared" si="11"/>
        <v>0.01942506971</v>
      </c>
      <c r="H19" s="123">
        <f t="shared" si="11"/>
        <v>0.1095460329</v>
      </c>
      <c r="I19" s="123">
        <f t="shared" si="11"/>
        <v>0.08764321613</v>
      </c>
      <c r="J19" s="123">
        <f t="shared" si="11"/>
        <v>0.04660829683</v>
      </c>
      <c r="K19" s="123">
        <f t="shared" si="11"/>
        <v>0.2099150622</v>
      </c>
      <c r="L19" s="123">
        <f t="shared" si="11"/>
        <v>0.1231273054</v>
      </c>
      <c r="M19" s="123">
        <f t="shared" si="11"/>
        <v>0.07579797711</v>
      </c>
      <c r="N19" s="123">
        <f t="shared" si="11"/>
        <v>28.05352028</v>
      </c>
      <c r="O19" s="123">
        <f t="shared" si="11"/>
        <v>28.02379941</v>
      </c>
      <c r="P19" s="123">
        <f t="shared" si="11"/>
        <v>23.11565126</v>
      </c>
      <c r="Q19" s="123">
        <f t="shared" si="11"/>
        <v>22.64950331</v>
      </c>
      <c r="R19" s="123"/>
      <c r="S19" s="123" t="str">
        <f t="shared" ref="S19:AD19" si="12">STDEV(S15:S17)</f>
        <v>#DIV/0!</v>
      </c>
      <c r="T19" s="123" t="str">
        <f t="shared" si="12"/>
        <v>#DIV/0!</v>
      </c>
      <c r="U19" s="123" t="str">
        <f t="shared" si="12"/>
        <v>#DIV/0!</v>
      </c>
      <c r="V19" s="123" t="str">
        <f t="shared" si="12"/>
        <v>#DIV/0!</v>
      </c>
      <c r="W19" s="123" t="str">
        <f t="shared" si="12"/>
        <v>#DIV/0!</v>
      </c>
      <c r="X19" s="123" t="str">
        <f t="shared" si="12"/>
        <v>#DIV/0!</v>
      </c>
      <c r="Y19" s="123" t="str">
        <f t="shared" si="12"/>
        <v>#DIV/0!</v>
      </c>
      <c r="Z19" s="123" t="str">
        <f t="shared" si="12"/>
        <v>#DIV/0!</v>
      </c>
      <c r="AA19" s="123" t="str">
        <f t="shared" si="12"/>
        <v>#DIV/0!</v>
      </c>
      <c r="AB19" s="123" t="str">
        <f t="shared" si="12"/>
        <v>#DIV/0!</v>
      </c>
      <c r="AC19" s="123" t="str">
        <f t="shared" si="12"/>
        <v>#DIV/0!</v>
      </c>
      <c r="AD19" s="123" t="str">
        <f t="shared" si="12"/>
        <v>#DIV/0!</v>
      </c>
    </row>
    <row r="20">
      <c r="A20" s="171" t="s">
        <v>60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0.754</v>
      </c>
      <c r="G20" s="91">
        <v>0.763</v>
      </c>
      <c r="H20" s="91">
        <v>0.665</v>
      </c>
      <c r="I20" s="91">
        <v>0.744</v>
      </c>
      <c r="J20" s="91">
        <v>0.751</v>
      </c>
      <c r="K20" s="91">
        <v>0.39</v>
      </c>
      <c r="L20" s="91">
        <v>0.915</v>
      </c>
      <c r="M20" s="91">
        <v>0.782</v>
      </c>
      <c r="N20" s="92">
        <v>34.0</v>
      </c>
      <c r="O20" s="92">
        <v>48.0</v>
      </c>
      <c r="P20" s="92">
        <v>16.0</v>
      </c>
      <c r="Q20" s="92">
        <v>172.0</v>
      </c>
      <c r="R20" s="93"/>
      <c r="S20" s="94"/>
      <c r="T20" s="95"/>
      <c r="U20" s="95"/>
      <c r="V20" s="95"/>
      <c r="W20" s="95"/>
      <c r="X20" s="94"/>
      <c r="Y20" s="94"/>
      <c r="Z20" s="94"/>
      <c r="AA20" s="96"/>
      <c r="AB20" s="97"/>
      <c r="AC20" s="97"/>
      <c r="AD20" s="98"/>
    </row>
    <row r="21">
      <c r="A21" s="7"/>
      <c r="C21" s="99" t="b">
        <v>1</v>
      </c>
      <c r="D21" s="99" t="s">
        <v>43</v>
      </c>
      <c r="E21" s="99" t="s">
        <v>45</v>
      </c>
      <c r="F21" s="100">
        <v>0.74</v>
      </c>
      <c r="G21" s="101">
        <v>0.736</v>
      </c>
      <c r="H21" s="101">
        <v>0.657</v>
      </c>
      <c r="I21" s="101">
        <v>0.726</v>
      </c>
      <c r="J21" s="101">
        <v>0.723</v>
      </c>
      <c r="K21" s="101">
        <v>0.337</v>
      </c>
      <c r="L21" s="101">
        <v>0.856</v>
      </c>
      <c r="M21" s="101">
        <v>0.785</v>
      </c>
      <c r="N21" s="102">
        <v>37.0</v>
      </c>
      <c r="O21" s="102">
        <v>44.0</v>
      </c>
      <c r="P21" s="102">
        <v>27.0</v>
      </c>
      <c r="Q21" s="102">
        <v>161.0</v>
      </c>
      <c r="R21" s="103"/>
      <c r="S21" s="104"/>
      <c r="T21" s="105"/>
      <c r="U21" s="105"/>
      <c r="V21" s="105"/>
      <c r="W21" s="105"/>
      <c r="X21" s="104"/>
      <c r="Y21" s="104"/>
      <c r="Z21" s="104"/>
      <c r="AA21" s="106"/>
      <c r="AB21" s="107"/>
      <c r="AC21" s="107"/>
      <c r="AD21" s="108"/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0.761</v>
      </c>
      <c r="G22" s="101">
        <v>0.729</v>
      </c>
      <c r="H22" s="101">
        <v>0.654</v>
      </c>
      <c r="I22" s="101">
        <v>0.72</v>
      </c>
      <c r="J22" s="101">
        <v>0.717</v>
      </c>
      <c r="K22" s="101">
        <v>0.328</v>
      </c>
      <c r="L22" s="101">
        <v>0.845</v>
      </c>
      <c r="M22" s="101">
        <v>0.782</v>
      </c>
      <c r="N22" s="110">
        <v>38.0</v>
      </c>
      <c r="O22" s="110">
        <v>44.0</v>
      </c>
      <c r="P22" s="110">
        <v>29.0</v>
      </c>
      <c r="Q22" s="110">
        <v>158.0</v>
      </c>
      <c r="R22" s="103"/>
      <c r="S22" s="104"/>
      <c r="T22" s="105"/>
      <c r="U22" s="105"/>
      <c r="V22" s="105"/>
      <c r="W22" s="105"/>
      <c r="X22" s="104"/>
      <c r="Y22" s="104"/>
      <c r="Z22" s="104"/>
      <c r="AA22" s="111"/>
      <c r="AB22" s="112"/>
      <c r="AC22" s="112"/>
      <c r="AD22" s="113"/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0.7516666667</v>
      </c>
      <c r="G23" s="115">
        <f t="shared" si="13"/>
        <v>0.7426666667</v>
      </c>
      <c r="H23" s="117">
        <f t="shared" si="13"/>
        <v>0.6586666667</v>
      </c>
      <c r="I23" s="115">
        <f t="shared" si="13"/>
        <v>0.73</v>
      </c>
      <c r="J23" s="115">
        <f t="shared" si="13"/>
        <v>0.7303333333</v>
      </c>
      <c r="K23" s="117">
        <f t="shared" si="13"/>
        <v>0.3516666667</v>
      </c>
      <c r="L23" s="115">
        <f t="shared" si="13"/>
        <v>0.872</v>
      </c>
      <c r="M23" s="117">
        <f t="shared" si="13"/>
        <v>0.783</v>
      </c>
      <c r="N23" s="117">
        <f t="shared" si="13"/>
        <v>36.33333333</v>
      </c>
      <c r="O23" s="117">
        <f t="shared" si="13"/>
        <v>45.33333333</v>
      </c>
      <c r="P23" s="115">
        <f t="shared" si="13"/>
        <v>24</v>
      </c>
      <c r="Q23" s="115">
        <f t="shared" si="13"/>
        <v>163.6666667</v>
      </c>
      <c r="R23" s="116"/>
      <c r="S23" s="115" t="str">
        <f t="shared" ref="S23:AD23" si="14">AVERAGE(S20:S22)</f>
        <v>#DIV/0!</v>
      </c>
      <c r="T23" s="115" t="str">
        <f t="shared" si="14"/>
        <v>#DIV/0!</v>
      </c>
      <c r="U23" s="115" t="str">
        <f t="shared" si="14"/>
        <v>#DIV/0!</v>
      </c>
      <c r="V23" s="115" t="str">
        <f t="shared" si="14"/>
        <v>#DIV/0!</v>
      </c>
      <c r="W23" s="115" t="str">
        <f t="shared" si="14"/>
        <v>#DIV/0!</v>
      </c>
      <c r="X23" s="115" t="str">
        <f t="shared" si="14"/>
        <v>#DIV/0!</v>
      </c>
      <c r="Y23" s="115" t="str">
        <f t="shared" si="14"/>
        <v>#DIV/0!</v>
      </c>
      <c r="Z23" s="115" t="str">
        <f t="shared" si="14"/>
        <v>#DIV/0!</v>
      </c>
      <c r="AA23" s="115" t="str">
        <f t="shared" si="14"/>
        <v>#DIV/0!</v>
      </c>
      <c r="AB23" s="115" t="str">
        <f t="shared" si="14"/>
        <v>#DIV/0!</v>
      </c>
      <c r="AC23" s="115" t="str">
        <f t="shared" si="14"/>
        <v>#DIV/0!</v>
      </c>
      <c r="AD23" s="118" t="str">
        <f t="shared" si="14"/>
        <v>#DIV/0!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0.01069267662</v>
      </c>
      <c r="G24" s="123">
        <f t="shared" si="15"/>
        <v>0.01795364401</v>
      </c>
      <c r="H24" s="123">
        <f t="shared" si="15"/>
        <v>0.005686240703</v>
      </c>
      <c r="I24" s="123">
        <f t="shared" si="15"/>
        <v>0.012489996</v>
      </c>
      <c r="J24" s="123">
        <f t="shared" si="15"/>
        <v>0.01814754345</v>
      </c>
      <c r="K24" s="123">
        <f t="shared" si="15"/>
        <v>0.03350124376</v>
      </c>
      <c r="L24" s="123">
        <f t="shared" si="15"/>
        <v>0.03764306045</v>
      </c>
      <c r="M24" s="123">
        <f t="shared" si="15"/>
        <v>0.001732050808</v>
      </c>
      <c r="N24" s="123">
        <f t="shared" si="15"/>
        <v>2.081665999</v>
      </c>
      <c r="O24" s="123">
        <f t="shared" si="15"/>
        <v>2.309401077</v>
      </c>
      <c r="P24" s="123">
        <f t="shared" si="15"/>
        <v>7</v>
      </c>
      <c r="Q24" s="123">
        <f t="shared" si="15"/>
        <v>7.371114796</v>
      </c>
      <c r="R24" s="123"/>
      <c r="S24" s="123" t="str">
        <f t="shared" ref="S24:AD24" si="16">STDEV(S20:S22)</f>
        <v>#DIV/0!</v>
      </c>
      <c r="T24" s="123" t="str">
        <f t="shared" si="16"/>
        <v>#DIV/0!</v>
      </c>
      <c r="U24" s="123" t="str">
        <f t="shared" si="16"/>
        <v>#DIV/0!</v>
      </c>
      <c r="V24" s="123" t="str">
        <f t="shared" si="16"/>
        <v>#DIV/0!</v>
      </c>
      <c r="W24" s="123" t="str">
        <f t="shared" si="16"/>
        <v>#DIV/0!</v>
      </c>
      <c r="X24" s="123" t="str">
        <f t="shared" si="16"/>
        <v>#DIV/0!</v>
      </c>
      <c r="Y24" s="123" t="str">
        <f t="shared" si="16"/>
        <v>#DIV/0!</v>
      </c>
      <c r="Z24" s="123" t="str">
        <f t="shared" si="16"/>
        <v>#DIV/0!</v>
      </c>
      <c r="AA24" s="123" t="str">
        <f t="shared" si="16"/>
        <v>#DIV/0!</v>
      </c>
      <c r="AB24" s="123" t="str">
        <f t="shared" si="16"/>
        <v>#DIV/0!</v>
      </c>
      <c r="AC24" s="123" t="str">
        <f t="shared" si="16"/>
        <v>#DIV/0!</v>
      </c>
      <c r="AD24" s="123" t="str">
        <f t="shared" si="16"/>
        <v>#DIV/0!</v>
      </c>
    </row>
    <row r="25">
      <c r="A25" s="171" t="s">
        <v>60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0.805</v>
      </c>
      <c r="G25" s="91">
        <v>0.759</v>
      </c>
      <c r="H25" s="91">
        <v>0.748</v>
      </c>
      <c r="I25" s="91">
        <v>0.765</v>
      </c>
      <c r="J25" s="91">
        <v>0.779</v>
      </c>
      <c r="K25" s="91">
        <v>0.471</v>
      </c>
      <c r="L25" s="91">
        <v>0.777</v>
      </c>
      <c r="M25" s="91">
        <v>0.864</v>
      </c>
      <c r="N25" s="92">
        <v>59.0</v>
      </c>
      <c r="O25" s="92">
        <v>23.0</v>
      </c>
      <c r="P25" s="92">
        <v>42.0</v>
      </c>
      <c r="Q25" s="92">
        <v>146.0</v>
      </c>
      <c r="R25" s="93"/>
      <c r="S25" s="94"/>
      <c r="T25" s="95"/>
      <c r="U25" s="95"/>
      <c r="V25" s="95"/>
      <c r="W25" s="95"/>
      <c r="X25" s="94"/>
      <c r="Y25" s="94"/>
      <c r="Z25" s="94"/>
      <c r="AA25" s="96"/>
      <c r="AB25" s="97"/>
      <c r="AC25" s="97"/>
      <c r="AD25" s="98"/>
    </row>
    <row r="26">
      <c r="A26" s="7"/>
      <c r="C26" s="99" t="b">
        <v>1</v>
      </c>
      <c r="D26" s="99" t="s">
        <v>43</v>
      </c>
      <c r="E26" s="99" t="s">
        <v>45</v>
      </c>
      <c r="F26" s="100">
        <v>0.764</v>
      </c>
      <c r="G26" s="101">
        <v>0.74</v>
      </c>
      <c r="H26" s="101">
        <v>0.67</v>
      </c>
      <c r="I26" s="101">
        <v>0.733</v>
      </c>
      <c r="J26" s="101">
        <v>0.73</v>
      </c>
      <c r="K26" s="101">
        <v>0.357</v>
      </c>
      <c r="L26" s="101">
        <v>0.846</v>
      </c>
      <c r="M26" s="101">
        <v>0.795</v>
      </c>
      <c r="N26" s="102">
        <v>40.0</v>
      </c>
      <c r="O26" s="102">
        <v>41.0</v>
      </c>
      <c r="P26" s="102">
        <v>29.0</v>
      </c>
      <c r="Q26" s="102">
        <v>159.0</v>
      </c>
      <c r="R26" s="103"/>
      <c r="S26" s="104"/>
      <c r="T26" s="105"/>
      <c r="U26" s="105"/>
      <c r="V26" s="105"/>
      <c r="W26" s="105"/>
      <c r="X26" s="104"/>
      <c r="Y26" s="104"/>
      <c r="Z26" s="104"/>
      <c r="AA26" s="106"/>
      <c r="AB26" s="107"/>
      <c r="AC26" s="107"/>
      <c r="AD26" s="108"/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0.766</v>
      </c>
      <c r="G27" s="101">
        <v>0.729</v>
      </c>
      <c r="H27" s="101">
        <v>0.623</v>
      </c>
      <c r="I27" s="101">
        <v>0.705</v>
      </c>
      <c r="J27" s="101">
        <v>0.708</v>
      </c>
      <c r="K27" s="101">
        <v>0.294</v>
      </c>
      <c r="L27" s="101">
        <v>0.893</v>
      </c>
      <c r="M27" s="101">
        <v>0.759</v>
      </c>
      <c r="N27" s="110">
        <v>29.0</v>
      </c>
      <c r="O27" s="110">
        <v>53.0</v>
      </c>
      <c r="P27" s="110">
        <v>20.0</v>
      </c>
      <c r="Q27" s="110">
        <v>167.0</v>
      </c>
      <c r="R27" s="103"/>
      <c r="S27" s="104"/>
      <c r="T27" s="105"/>
      <c r="U27" s="105"/>
      <c r="V27" s="105"/>
      <c r="W27" s="105"/>
      <c r="X27" s="104"/>
      <c r="Y27" s="104"/>
      <c r="Z27" s="104"/>
      <c r="AA27" s="111"/>
      <c r="AB27" s="112"/>
      <c r="AC27" s="112"/>
      <c r="AD27" s="113"/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0.7783333333</v>
      </c>
      <c r="G28" s="115">
        <f t="shared" si="17"/>
        <v>0.7426666667</v>
      </c>
      <c r="H28" s="117">
        <f t="shared" si="17"/>
        <v>0.6803333333</v>
      </c>
      <c r="I28" s="117">
        <f t="shared" si="17"/>
        <v>0.7343333333</v>
      </c>
      <c r="J28" s="115">
        <f t="shared" si="17"/>
        <v>0.739</v>
      </c>
      <c r="K28" s="117">
        <f t="shared" si="17"/>
        <v>0.374</v>
      </c>
      <c r="L28" s="115">
        <f t="shared" si="17"/>
        <v>0.8386666667</v>
      </c>
      <c r="M28" s="117">
        <f t="shared" si="17"/>
        <v>0.806</v>
      </c>
      <c r="N28" s="117">
        <f t="shared" si="17"/>
        <v>42.66666667</v>
      </c>
      <c r="O28" s="117">
        <f t="shared" si="17"/>
        <v>39</v>
      </c>
      <c r="P28" s="115">
        <f t="shared" si="17"/>
        <v>30.33333333</v>
      </c>
      <c r="Q28" s="115">
        <f t="shared" si="17"/>
        <v>157.3333333</v>
      </c>
      <c r="R28" s="116"/>
      <c r="S28" s="115" t="str">
        <f t="shared" ref="S28:AD28" si="18">AVERAGE(S25:S27)</f>
        <v>#DIV/0!</v>
      </c>
      <c r="T28" s="115" t="str">
        <f t="shared" si="18"/>
        <v>#DIV/0!</v>
      </c>
      <c r="U28" s="115" t="str">
        <f t="shared" si="18"/>
        <v>#DIV/0!</v>
      </c>
      <c r="V28" s="115" t="str">
        <f t="shared" si="18"/>
        <v>#DIV/0!</v>
      </c>
      <c r="W28" s="115" t="str">
        <f t="shared" si="18"/>
        <v>#DIV/0!</v>
      </c>
      <c r="X28" s="115" t="str">
        <f t="shared" si="18"/>
        <v>#DIV/0!</v>
      </c>
      <c r="Y28" s="115" t="str">
        <f t="shared" si="18"/>
        <v>#DIV/0!</v>
      </c>
      <c r="Z28" s="115" t="str">
        <f t="shared" si="18"/>
        <v>#DIV/0!</v>
      </c>
      <c r="AA28" s="117" t="str">
        <f t="shared" si="18"/>
        <v>#DIV/0!</v>
      </c>
      <c r="AB28" s="117" t="str">
        <f t="shared" si="18"/>
        <v>#DIV/0!</v>
      </c>
      <c r="AC28" s="115" t="str">
        <f t="shared" si="18"/>
        <v>#DIV/0!</v>
      </c>
      <c r="AD28" s="118" t="str">
        <f t="shared" si="18"/>
        <v>#DIV/0!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0.02311565126</v>
      </c>
      <c r="G29" s="123">
        <f t="shared" si="19"/>
        <v>0.01517673658</v>
      </c>
      <c r="H29" s="123">
        <f t="shared" si="19"/>
        <v>0.06313741627</v>
      </c>
      <c r="I29" s="123">
        <f t="shared" si="19"/>
        <v>0.030022214</v>
      </c>
      <c r="J29" s="123">
        <f t="shared" si="19"/>
        <v>0.03634556369</v>
      </c>
      <c r="K29" s="123">
        <f t="shared" si="19"/>
        <v>0.08971621927</v>
      </c>
      <c r="L29" s="123">
        <f t="shared" si="19"/>
        <v>0.05834666514</v>
      </c>
      <c r="M29" s="123">
        <f t="shared" si="19"/>
        <v>0.05335728629</v>
      </c>
      <c r="N29" s="123">
        <f t="shared" si="19"/>
        <v>15.17673658</v>
      </c>
      <c r="O29" s="123">
        <f t="shared" si="19"/>
        <v>15.09966887</v>
      </c>
      <c r="P29" s="123">
        <f t="shared" si="19"/>
        <v>11.06044002</v>
      </c>
      <c r="Q29" s="123">
        <f t="shared" si="19"/>
        <v>10.59874206</v>
      </c>
      <c r="R29" s="123"/>
      <c r="S29" s="123" t="str">
        <f t="shared" ref="S29:AD29" si="20">STDEV(S25:S27)</f>
        <v>#DIV/0!</v>
      </c>
      <c r="T29" s="123" t="str">
        <f t="shared" si="20"/>
        <v>#DIV/0!</v>
      </c>
      <c r="U29" s="123" t="str">
        <f t="shared" si="20"/>
        <v>#DIV/0!</v>
      </c>
      <c r="V29" s="123" t="str">
        <f t="shared" si="20"/>
        <v>#DIV/0!</v>
      </c>
      <c r="W29" s="123" t="str">
        <f t="shared" si="20"/>
        <v>#DIV/0!</v>
      </c>
      <c r="X29" s="123" t="str">
        <f t="shared" si="20"/>
        <v>#DIV/0!</v>
      </c>
      <c r="Y29" s="123" t="str">
        <f t="shared" si="20"/>
        <v>#DIV/0!</v>
      </c>
      <c r="Z29" s="123" t="str">
        <f t="shared" si="20"/>
        <v>#DIV/0!</v>
      </c>
      <c r="AA29" s="123" t="str">
        <f t="shared" si="20"/>
        <v>#DIV/0!</v>
      </c>
      <c r="AB29" s="123" t="str">
        <f t="shared" si="20"/>
        <v>#DIV/0!</v>
      </c>
      <c r="AC29" s="123" t="str">
        <f t="shared" si="20"/>
        <v>#DIV/0!</v>
      </c>
      <c r="AD29" s="123" t="str">
        <f t="shared" si="20"/>
        <v>#DIV/0!</v>
      </c>
    </row>
    <row r="30">
      <c r="A30" s="171" t="s">
        <v>60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0.778</v>
      </c>
      <c r="G30" s="91">
        <v>0.744</v>
      </c>
      <c r="H30" s="91">
        <v>0.717</v>
      </c>
      <c r="I30" s="91">
        <v>0.749</v>
      </c>
      <c r="J30" s="91">
        <v>0.755</v>
      </c>
      <c r="K30" s="91">
        <v>0.42</v>
      </c>
      <c r="L30" s="91">
        <v>0.787</v>
      </c>
      <c r="M30" s="91">
        <v>0.836</v>
      </c>
      <c r="N30" s="92">
        <v>53.0</v>
      </c>
      <c r="O30" s="92">
        <v>29.0</v>
      </c>
      <c r="P30" s="92">
        <v>40.0</v>
      </c>
      <c r="Q30" s="92">
        <v>148.0</v>
      </c>
      <c r="R30" s="93"/>
      <c r="S30" s="94"/>
      <c r="T30" s="95"/>
      <c r="U30" s="95"/>
      <c r="V30" s="95"/>
      <c r="W30" s="95"/>
      <c r="X30" s="94"/>
      <c r="Y30" s="94"/>
      <c r="Z30" s="94"/>
      <c r="AA30" s="96"/>
      <c r="AB30" s="97"/>
      <c r="AC30" s="97"/>
      <c r="AD30" s="98"/>
    </row>
    <row r="31">
      <c r="A31" s="7"/>
      <c r="C31" s="99" t="b">
        <v>1</v>
      </c>
      <c r="D31" s="99" t="s">
        <v>43</v>
      </c>
      <c r="E31" s="99" t="s">
        <v>45</v>
      </c>
      <c r="F31" s="100">
        <v>0.733</v>
      </c>
      <c r="G31" s="101">
        <v>0.717</v>
      </c>
      <c r="H31" s="101">
        <v>0.657</v>
      </c>
      <c r="I31" s="101">
        <v>0.715</v>
      </c>
      <c r="J31" s="101">
        <v>0.714</v>
      </c>
      <c r="K31" s="101">
        <v>0.319</v>
      </c>
      <c r="L31" s="101">
        <v>0.809</v>
      </c>
      <c r="M31" s="101">
        <v>0.792</v>
      </c>
      <c r="N31" s="102">
        <v>41.0</v>
      </c>
      <c r="O31" s="102">
        <v>40.0</v>
      </c>
      <c r="P31" s="102">
        <v>36.0</v>
      </c>
      <c r="Q31" s="102">
        <v>152.0</v>
      </c>
      <c r="R31" s="103"/>
      <c r="S31" s="104"/>
      <c r="T31" s="105"/>
      <c r="U31" s="105"/>
      <c r="V31" s="105"/>
      <c r="W31" s="105"/>
      <c r="X31" s="104"/>
      <c r="Y31" s="104"/>
      <c r="Z31" s="104"/>
      <c r="AA31" s="106"/>
      <c r="AB31" s="107"/>
      <c r="AC31" s="107"/>
      <c r="AD31" s="108"/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0.79</v>
      </c>
      <c r="G32" s="101">
        <v>0.732</v>
      </c>
      <c r="H32" s="101">
        <v>0.66</v>
      </c>
      <c r="I32" s="101">
        <v>0.725</v>
      </c>
      <c r="J32" s="101">
        <v>0.721</v>
      </c>
      <c r="K32" s="101">
        <v>0.34</v>
      </c>
      <c r="L32" s="101">
        <v>0.845</v>
      </c>
      <c r="M32" s="101">
        <v>0.786</v>
      </c>
      <c r="N32" s="110">
        <v>39.0</v>
      </c>
      <c r="O32" s="110">
        <v>43.0</v>
      </c>
      <c r="P32" s="110">
        <v>29.0</v>
      </c>
      <c r="Q32" s="110">
        <v>158.0</v>
      </c>
      <c r="R32" s="103"/>
      <c r="S32" s="104"/>
      <c r="T32" s="105"/>
      <c r="U32" s="105"/>
      <c r="V32" s="105"/>
      <c r="W32" s="105"/>
      <c r="X32" s="104"/>
      <c r="Y32" s="104"/>
      <c r="Z32" s="104"/>
      <c r="AA32" s="111"/>
      <c r="AB32" s="112"/>
      <c r="AC32" s="112"/>
      <c r="AD32" s="113"/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0.767</v>
      </c>
      <c r="G33" s="117">
        <f t="shared" si="21"/>
        <v>0.731</v>
      </c>
      <c r="H33" s="115">
        <f t="shared" si="21"/>
        <v>0.678</v>
      </c>
      <c r="I33" s="115">
        <f t="shared" si="21"/>
        <v>0.7296666667</v>
      </c>
      <c r="J33" s="117">
        <f t="shared" si="21"/>
        <v>0.73</v>
      </c>
      <c r="K33" s="115">
        <f t="shared" si="21"/>
        <v>0.3596666667</v>
      </c>
      <c r="L33" s="117">
        <f t="shared" si="21"/>
        <v>0.8136666667</v>
      </c>
      <c r="M33" s="115">
        <f t="shared" si="21"/>
        <v>0.8046666667</v>
      </c>
      <c r="N33" s="115">
        <f t="shared" si="21"/>
        <v>44.33333333</v>
      </c>
      <c r="O33" s="115">
        <f t="shared" si="21"/>
        <v>37.33333333</v>
      </c>
      <c r="P33" s="117">
        <f t="shared" si="21"/>
        <v>35</v>
      </c>
      <c r="Q33" s="117">
        <f t="shared" si="21"/>
        <v>152.6666667</v>
      </c>
      <c r="R33" s="116"/>
      <c r="S33" s="115" t="str">
        <f t="shared" ref="S33:AD33" si="22">AVERAGE(S30:S32)</f>
        <v>#DIV/0!</v>
      </c>
      <c r="T33" s="115" t="str">
        <f t="shared" si="22"/>
        <v>#DIV/0!</v>
      </c>
      <c r="U33" s="115" t="str">
        <f t="shared" si="22"/>
        <v>#DIV/0!</v>
      </c>
      <c r="V33" s="115" t="str">
        <f t="shared" si="22"/>
        <v>#DIV/0!</v>
      </c>
      <c r="W33" s="115" t="str">
        <f t="shared" si="22"/>
        <v>#DIV/0!</v>
      </c>
      <c r="X33" s="115" t="str">
        <f t="shared" si="22"/>
        <v>#DIV/0!</v>
      </c>
      <c r="Y33" s="115" t="str">
        <f t="shared" si="22"/>
        <v>#DIV/0!</v>
      </c>
      <c r="Z33" s="115" t="str">
        <f t="shared" si="22"/>
        <v>#DIV/0!</v>
      </c>
      <c r="AA33" s="117" t="str">
        <f t="shared" si="22"/>
        <v>#DIV/0!</v>
      </c>
      <c r="AB33" s="117" t="str">
        <f t="shared" si="22"/>
        <v>#DIV/0!</v>
      </c>
      <c r="AC33" s="115" t="str">
        <f t="shared" si="22"/>
        <v>#DIV/0!</v>
      </c>
      <c r="AD33" s="118" t="str">
        <f t="shared" si="22"/>
        <v>#DIV/0!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0.0300499584</v>
      </c>
      <c r="G34" s="123">
        <f t="shared" si="23"/>
        <v>0.01352774926</v>
      </c>
      <c r="H34" s="123">
        <f t="shared" si="23"/>
        <v>0.03380828301</v>
      </c>
      <c r="I34" s="123">
        <f t="shared" si="23"/>
        <v>0.0174737899</v>
      </c>
      <c r="J34" s="123">
        <f t="shared" si="23"/>
        <v>0.0219317122</v>
      </c>
      <c r="K34" s="123">
        <f t="shared" si="23"/>
        <v>0.05329477773</v>
      </c>
      <c r="L34" s="123">
        <f t="shared" si="23"/>
        <v>0.02928025501</v>
      </c>
      <c r="M34" s="123">
        <f t="shared" si="23"/>
        <v>0.02730079364</v>
      </c>
      <c r="N34" s="123">
        <f t="shared" si="23"/>
        <v>7.571877794</v>
      </c>
      <c r="O34" s="123">
        <f t="shared" si="23"/>
        <v>7.371114796</v>
      </c>
      <c r="P34" s="123">
        <f t="shared" si="23"/>
        <v>5.567764363</v>
      </c>
      <c r="Q34" s="123">
        <f t="shared" si="23"/>
        <v>5.033222957</v>
      </c>
      <c r="R34" s="123"/>
      <c r="S34" s="123" t="str">
        <f t="shared" ref="S34:AD34" si="24">STDEV(S30:S32)</f>
        <v>#DIV/0!</v>
      </c>
      <c r="T34" s="123" t="str">
        <f t="shared" si="24"/>
        <v>#DIV/0!</v>
      </c>
      <c r="U34" s="123" t="str">
        <f t="shared" si="24"/>
        <v>#DIV/0!</v>
      </c>
      <c r="V34" s="123" t="str">
        <f t="shared" si="24"/>
        <v>#DIV/0!</v>
      </c>
      <c r="W34" s="123" t="str">
        <f t="shared" si="24"/>
        <v>#DIV/0!</v>
      </c>
      <c r="X34" s="123" t="str">
        <f t="shared" si="24"/>
        <v>#DIV/0!</v>
      </c>
      <c r="Y34" s="123" t="str">
        <f t="shared" si="24"/>
        <v>#DIV/0!</v>
      </c>
      <c r="Z34" s="123" t="str">
        <f t="shared" si="24"/>
        <v>#DIV/0!</v>
      </c>
      <c r="AA34" s="123" t="str">
        <f t="shared" si="24"/>
        <v>#DIV/0!</v>
      </c>
      <c r="AB34" s="123" t="str">
        <f t="shared" si="24"/>
        <v>#DIV/0!</v>
      </c>
      <c r="AC34" s="123" t="str">
        <f t="shared" si="24"/>
        <v>#DIV/0!</v>
      </c>
      <c r="AD34" s="123" t="str">
        <f t="shared" si="24"/>
        <v>#DIV/0!</v>
      </c>
    </row>
    <row r="35">
      <c r="A35" s="171" t="s">
        <v>60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0.784</v>
      </c>
      <c r="G35" s="91">
        <v>0.781</v>
      </c>
      <c r="H35" s="91">
        <v>0.712</v>
      </c>
      <c r="I35" s="91">
        <v>0.774</v>
      </c>
      <c r="J35" s="91">
        <v>0.773</v>
      </c>
      <c r="K35" s="91">
        <v>0.457</v>
      </c>
      <c r="L35" s="91">
        <v>0.888</v>
      </c>
      <c r="M35" s="91">
        <v>0.815</v>
      </c>
      <c r="N35" s="92">
        <v>44.0</v>
      </c>
      <c r="O35" s="92">
        <v>38.0</v>
      </c>
      <c r="P35" s="92">
        <v>21.0</v>
      </c>
      <c r="Q35" s="92">
        <v>167.0</v>
      </c>
      <c r="R35" s="93"/>
      <c r="S35" s="94"/>
      <c r="T35" s="95"/>
      <c r="U35" s="95"/>
      <c r="V35" s="95"/>
      <c r="W35" s="95"/>
      <c r="X35" s="94"/>
      <c r="Y35" s="94"/>
      <c r="Z35" s="94"/>
      <c r="AA35" s="96"/>
      <c r="AB35" s="97"/>
      <c r="AC35" s="97"/>
      <c r="AD35" s="98"/>
    </row>
    <row r="36">
      <c r="A36" s="7"/>
      <c r="C36" s="99" t="b">
        <v>1</v>
      </c>
      <c r="D36" s="99" t="s">
        <v>43</v>
      </c>
      <c r="E36" s="99" t="s">
        <v>45</v>
      </c>
      <c r="F36" s="100">
        <v>0.75</v>
      </c>
      <c r="G36" s="101">
        <v>0.717</v>
      </c>
      <c r="H36" s="101">
        <v>0.675</v>
      </c>
      <c r="I36" s="101">
        <v>0.72</v>
      </c>
      <c r="J36" s="101">
        <v>0.724</v>
      </c>
      <c r="K36" s="101">
        <v>0.343</v>
      </c>
      <c r="L36" s="101">
        <v>0.782</v>
      </c>
      <c r="M36" s="101">
        <v>0.808</v>
      </c>
      <c r="N36" s="102">
        <v>46.0</v>
      </c>
      <c r="O36" s="102">
        <v>35.0</v>
      </c>
      <c r="P36" s="102">
        <v>41.0</v>
      </c>
      <c r="Q36" s="102">
        <v>147.0</v>
      </c>
      <c r="R36" s="103"/>
      <c r="S36" s="104"/>
      <c r="T36" s="105"/>
      <c r="U36" s="105"/>
      <c r="V36" s="105"/>
      <c r="W36" s="105"/>
      <c r="X36" s="104"/>
      <c r="Y36" s="104"/>
      <c r="Z36" s="104"/>
      <c r="AA36" s="106"/>
      <c r="AB36" s="107"/>
      <c r="AC36" s="107"/>
      <c r="AD36" s="108"/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0.763</v>
      </c>
      <c r="G37" s="101">
        <v>0.695</v>
      </c>
      <c r="H37" s="101">
        <v>0.5</v>
      </c>
      <c r="I37" s="101">
        <v>0.57</v>
      </c>
      <c r="J37" s="101">
        <v>0.788</v>
      </c>
      <c r="K37" s="101">
        <v>0.0</v>
      </c>
      <c r="L37" s="101">
        <v>1.0</v>
      </c>
      <c r="M37" s="101">
        <v>0.695</v>
      </c>
      <c r="N37" s="110">
        <v>0.0</v>
      </c>
      <c r="O37" s="110">
        <v>82.0</v>
      </c>
      <c r="P37" s="110">
        <v>0.0</v>
      </c>
      <c r="Q37" s="110">
        <v>187.0</v>
      </c>
      <c r="R37" s="103"/>
      <c r="S37" s="104"/>
      <c r="T37" s="105"/>
      <c r="U37" s="105"/>
      <c r="V37" s="105"/>
      <c r="W37" s="105"/>
      <c r="X37" s="104"/>
      <c r="Y37" s="104"/>
      <c r="Z37" s="104"/>
      <c r="AA37" s="111"/>
      <c r="AB37" s="112"/>
      <c r="AC37" s="112"/>
      <c r="AD37" s="113"/>
    </row>
    <row r="38">
      <c r="A38" s="7"/>
      <c r="B38" s="114" t="s">
        <v>47</v>
      </c>
      <c r="C38" s="30"/>
      <c r="D38" s="30"/>
      <c r="E38" s="72"/>
      <c r="F38" s="117">
        <f t="shared" ref="F38:Q38" si="25">AVERAGE(F35:F37)</f>
        <v>0.7656666667</v>
      </c>
      <c r="G38" s="117">
        <f t="shared" si="25"/>
        <v>0.731</v>
      </c>
      <c r="H38" s="115">
        <f t="shared" si="25"/>
        <v>0.629</v>
      </c>
      <c r="I38" s="115">
        <f t="shared" si="25"/>
        <v>0.688</v>
      </c>
      <c r="J38" s="115">
        <f t="shared" si="25"/>
        <v>0.7616666667</v>
      </c>
      <c r="K38" s="115">
        <f t="shared" si="25"/>
        <v>0.2666666667</v>
      </c>
      <c r="L38" s="117">
        <f t="shared" si="25"/>
        <v>0.89</v>
      </c>
      <c r="M38" s="115">
        <f t="shared" si="25"/>
        <v>0.7726666667</v>
      </c>
      <c r="N38" s="115">
        <f t="shared" si="25"/>
        <v>30</v>
      </c>
      <c r="O38" s="115">
        <f t="shared" si="25"/>
        <v>51.66666667</v>
      </c>
      <c r="P38" s="117">
        <f t="shared" si="25"/>
        <v>20.66666667</v>
      </c>
      <c r="Q38" s="117">
        <f t="shared" si="25"/>
        <v>167</v>
      </c>
      <c r="R38" s="116"/>
      <c r="S38" s="115" t="str">
        <f t="shared" ref="S38:AD38" si="26">AVERAGE(S35:S37)</f>
        <v>#DIV/0!</v>
      </c>
      <c r="T38" s="115" t="str">
        <f t="shared" si="26"/>
        <v>#DIV/0!</v>
      </c>
      <c r="U38" s="115" t="str">
        <f t="shared" si="26"/>
        <v>#DIV/0!</v>
      </c>
      <c r="V38" s="115" t="str">
        <f t="shared" si="26"/>
        <v>#DIV/0!</v>
      </c>
      <c r="W38" s="115" t="str">
        <f t="shared" si="26"/>
        <v>#DIV/0!</v>
      </c>
      <c r="X38" s="115" t="str">
        <f t="shared" si="26"/>
        <v>#DIV/0!</v>
      </c>
      <c r="Y38" s="115" t="str">
        <f t="shared" si="26"/>
        <v>#DIV/0!</v>
      </c>
      <c r="Z38" s="115" t="str">
        <f t="shared" si="26"/>
        <v>#DIV/0!</v>
      </c>
      <c r="AA38" s="115" t="str">
        <f t="shared" si="26"/>
        <v>#DIV/0!</v>
      </c>
      <c r="AB38" s="115" t="str">
        <f t="shared" si="26"/>
        <v>#DIV/0!</v>
      </c>
      <c r="AC38" s="115" t="str">
        <f t="shared" si="26"/>
        <v>#DIV/0!</v>
      </c>
      <c r="AD38" s="118" t="str">
        <f t="shared" si="26"/>
        <v>#DIV/0!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0.01715614564</v>
      </c>
      <c r="G39" s="123">
        <f t="shared" si="27"/>
        <v>0.04467661581</v>
      </c>
      <c r="H39" s="123">
        <f t="shared" si="27"/>
        <v>0.113238686</v>
      </c>
      <c r="I39" s="123">
        <f t="shared" si="27"/>
        <v>0.1056976821</v>
      </c>
      <c r="J39" s="123">
        <f t="shared" si="27"/>
        <v>0.03347138081</v>
      </c>
      <c r="K39" s="123">
        <f t="shared" si="27"/>
        <v>0.2378704129</v>
      </c>
      <c r="L39" s="123">
        <f t="shared" si="27"/>
        <v>0.1090137606</v>
      </c>
      <c r="M39" s="123">
        <f t="shared" si="27"/>
        <v>0.06735230756</v>
      </c>
      <c r="N39" s="123">
        <f t="shared" si="27"/>
        <v>26</v>
      </c>
      <c r="O39" s="123">
        <f t="shared" si="27"/>
        <v>26.31222783</v>
      </c>
      <c r="P39" s="123">
        <f t="shared" si="27"/>
        <v>20.50203242</v>
      </c>
      <c r="Q39" s="123">
        <f t="shared" si="27"/>
        <v>20</v>
      </c>
      <c r="R39" s="123"/>
      <c r="S39" s="123" t="str">
        <f t="shared" ref="S39:AD39" si="28">STDEV(S35:S37)</f>
        <v>#DIV/0!</v>
      </c>
      <c r="T39" s="123" t="str">
        <f t="shared" si="28"/>
        <v>#DIV/0!</v>
      </c>
      <c r="U39" s="123" t="str">
        <f t="shared" si="28"/>
        <v>#DIV/0!</v>
      </c>
      <c r="V39" s="123" t="str">
        <f t="shared" si="28"/>
        <v>#DIV/0!</v>
      </c>
      <c r="W39" s="123" t="str">
        <f t="shared" si="28"/>
        <v>#DIV/0!</v>
      </c>
      <c r="X39" s="123" t="str">
        <f t="shared" si="28"/>
        <v>#DIV/0!</v>
      </c>
      <c r="Y39" s="123" t="str">
        <f t="shared" si="28"/>
        <v>#DIV/0!</v>
      </c>
      <c r="Z39" s="123" t="str">
        <f t="shared" si="28"/>
        <v>#DIV/0!</v>
      </c>
      <c r="AA39" s="123" t="str">
        <f t="shared" si="28"/>
        <v>#DIV/0!</v>
      </c>
      <c r="AB39" s="123" t="str">
        <f t="shared" si="28"/>
        <v>#DIV/0!</v>
      </c>
      <c r="AC39" s="123" t="str">
        <f t="shared" si="28"/>
        <v>#DIV/0!</v>
      </c>
      <c r="AD39" s="123" t="str">
        <f t="shared" si="28"/>
        <v>#DIV/0!</v>
      </c>
    </row>
    <row r="40">
      <c r="A40" s="171" t="s">
        <v>60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0.748</v>
      </c>
      <c r="G40" s="91">
        <v>0.689</v>
      </c>
      <c r="H40" s="91">
        <v>0.677</v>
      </c>
      <c r="I40" s="91">
        <v>0.699</v>
      </c>
      <c r="J40" s="91">
        <v>0.721</v>
      </c>
      <c r="K40" s="91">
        <v>0.332</v>
      </c>
      <c r="L40" s="91">
        <v>0.707</v>
      </c>
      <c r="M40" s="91">
        <v>0.821</v>
      </c>
      <c r="N40" s="92">
        <v>53.0</v>
      </c>
      <c r="O40" s="92">
        <v>29.0</v>
      </c>
      <c r="P40" s="92">
        <v>55.0</v>
      </c>
      <c r="Q40" s="92">
        <v>133.0</v>
      </c>
      <c r="R40" s="93"/>
      <c r="S40" s="94"/>
      <c r="T40" s="95"/>
      <c r="U40" s="95"/>
      <c r="V40" s="95"/>
      <c r="W40" s="95"/>
      <c r="X40" s="94"/>
      <c r="Y40" s="94"/>
      <c r="Z40" s="94"/>
      <c r="AA40" s="96"/>
      <c r="AB40" s="97"/>
      <c r="AC40" s="97"/>
      <c r="AD40" s="98"/>
    </row>
    <row r="41">
      <c r="A41" s="7"/>
      <c r="C41" s="99" t="b">
        <v>1</v>
      </c>
      <c r="D41" s="99" t="s">
        <v>43</v>
      </c>
      <c r="E41" s="99" t="s">
        <v>45</v>
      </c>
      <c r="F41" s="100">
        <v>0.764</v>
      </c>
      <c r="G41" s="101">
        <v>0.751</v>
      </c>
      <c r="H41" s="101">
        <v>0.629</v>
      </c>
      <c r="I41" s="101">
        <v>0.719</v>
      </c>
      <c r="J41" s="101">
        <v>0.739</v>
      </c>
      <c r="K41" s="101">
        <v>0.339</v>
      </c>
      <c r="L41" s="101">
        <v>0.936</v>
      </c>
      <c r="M41" s="101">
        <v>0.762</v>
      </c>
      <c r="N41" s="102">
        <v>26.0</v>
      </c>
      <c r="O41" s="102">
        <v>55.0</v>
      </c>
      <c r="P41" s="102">
        <v>12.0</v>
      </c>
      <c r="Q41" s="102">
        <v>176.0</v>
      </c>
      <c r="R41" s="103"/>
      <c r="S41" s="104"/>
      <c r="T41" s="105"/>
      <c r="U41" s="105"/>
      <c r="V41" s="105"/>
      <c r="W41" s="105"/>
      <c r="X41" s="104"/>
      <c r="Y41" s="104"/>
      <c r="Z41" s="104"/>
      <c r="AA41" s="106"/>
      <c r="AB41" s="107"/>
      <c r="AC41" s="107"/>
      <c r="AD41" s="108"/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0.78</v>
      </c>
      <c r="G42" s="101">
        <v>0.71</v>
      </c>
      <c r="H42" s="101">
        <v>0.658</v>
      </c>
      <c r="I42" s="101">
        <v>0.71</v>
      </c>
      <c r="J42" s="101">
        <v>0.71</v>
      </c>
      <c r="K42" s="101">
        <v>0.316</v>
      </c>
      <c r="L42" s="101">
        <v>0.791</v>
      </c>
      <c r="M42" s="101">
        <v>0.791</v>
      </c>
      <c r="N42" s="110">
        <v>43.0</v>
      </c>
      <c r="O42" s="110">
        <v>39.0</v>
      </c>
      <c r="P42" s="110">
        <v>39.0</v>
      </c>
      <c r="Q42" s="110">
        <v>148.0</v>
      </c>
      <c r="R42" s="103"/>
      <c r="S42" s="104"/>
      <c r="T42" s="105"/>
      <c r="U42" s="105"/>
      <c r="V42" s="105"/>
      <c r="W42" s="105"/>
      <c r="X42" s="104"/>
      <c r="Y42" s="104"/>
      <c r="Z42" s="104"/>
      <c r="AA42" s="111"/>
      <c r="AB42" s="112"/>
      <c r="AC42" s="112"/>
      <c r="AD42" s="113"/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0.764</v>
      </c>
      <c r="G43" s="115">
        <f t="shared" si="29"/>
        <v>0.7166666667</v>
      </c>
      <c r="H43" s="115">
        <f t="shared" si="29"/>
        <v>0.6546666667</v>
      </c>
      <c r="I43" s="115">
        <f t="shared" si="29"/>
        <v>0.7093333333</v>
      </c>
      <c r="J43" s="115">
        <f t="shared" si="29"/>
        <v>0.7233333333</v>
      </c>
      <c r="K43" s="115">
        <f t="shared" si="29"/>
        <v>0.329</v>
      </c>
      <c r="L43" s="115">
        <f t="shared" si="29"/>
        <v>0.8113333333</v>
      </c>
      <c r="M43" s="115">
        <f t="shared" si="29"/>
        <v>0.7913333333</v>
      </c>
      <c r="N43" s="115">
        <f t="shared" si="29"/>
        <v>40.66666667</v>
      </c>
      <c r="O43" s="115">
        <f t="shared" si="29"/>
        <v>41</v>
      </c>
      <c r="P43" s="115">
        <f t="shared" si="29"/>
        <v>35.33333333</v>
      </c>
      <c r="Q43" s="115">
        <f t="shared" si="29"/>
        <v>152.3333333</v>
      </c>
      <c r="R43" s="116"/>
      <c r="S43" s="115" t="str">
        <f t="shared" ref="S43:AD43" si="30">AVERAGE(S40:S42)</f>
        <v>#DIV/0!</v>
      </c>
      <c r="T43" s="117" t="str">
        <f t="shared" si="30"/>
        <v>#DIV/0!</v>
      </c>
      <c r="U43" s="115" t="str">
        <f t="shared" si="30"/>
        <v>#DIV/0!</v>
      </c>
      <c r="V43" s="115" t="str">
        <f t="shared" si="30"/>
        <v>#DIV/0!</v>
      </c>
      <c r="W43" s="115" t="str">
        <f t="shared" si="30"/>
        <v>#DIV/0!</v>
      </c>
      <c r="X43" s="115" t="str">
        <f t="shared" si="30"/>
        <v>#DIV/0!</v>
      </c>
      <c r="Y43" s="117" t="str">
        <f t="shared" si="30"/>
        <v>#DIV/0!</v>
      </c>
      <c r="Z43" s="115" t="str">
        <f t="shared" si="30"/>
        <v>#DIV/0!</v>
      </c>
      <c r="AA43" s="115" t="str">
        <f t="shared" si="30"/>
        <v>#DIV/0!</v>
      </c>
      <c r="AB43" s="115" t="str">
        <f t="shared" si="30"/>
        <v>#DIV/0!</v>
      </c>
      <c r="AC43" s="117" t="str">
        <f t="shared" si="30"/>
        <v>#DIV/0!</v>
      </c>
      <c r="AD43" s="162" t="str">
        <f t="shared" si="30"/>
        <v>#DIV/0!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0.016</v>
      </c>
      <c r="G44" s="123">
        <f t="shared" si="31"/>
        <v>0.03153305144</v>
      </c>
      <c r="H44" s="123">
        <f t="shared" si="31"/>
        <v>0.02417298768</v>
      </c>
      <c r="I44" s="123">
        <f t="shared" si="31"/>
        <v>0.0100166528</v>
      </c>
      <c r="J44" s="123">
        <f t="shared" si="31"/>
        <v>0.0146401275</v>
      </c>
      <c r="K44" s="123">
        <f t="shared" si="31"/>
        <v>0.01178982612</v>
      </c>
      <c r="L44" s="123">
        <f t="shared" si="31"/>
        <v>0.1158461624</v>
      </c>
      <c r="M44" s="123">
        <f t="shared" si="31"/>
        <v>0.0295014124</v>
      </c>
      <c r="N44" s="123">
        <f t="shared" si="31"/>
        <v>13.65039682</v>
      </c>
      <c r="O44" s="123">
        <f t="shared" si="31"/>
        <v>13.11487705</v>
      </c>
      <c r="P44" s="123">
        <f t="shared" si="31"/>
        <v>21.73323108</v>
      </c>
      <c r="Q44" s="123">
        <f t="shared" si="31"/>
        <v>21.82506205</v>
      </c>
      <c r="R44" s="123"/>
      <c r="S44" s="123" t="str">
        <f t="shared" ref="S44:AD44" si="32">STDEV(S40:S42)</f>
        <v>#DIV/0!</v>
      </c>
      <c r="T44" s="123" t="str">
        <f t="shared" si="32"/>
        <v>#DIV/0!</v>
      </c>
      <c r="U44" s="123" t="str">
        <f t="shared" si="32"/>
        <v>#DIV/0!</v>
      </c>
      <c r="V44" s="123" t="str">
        <f t="shared" si="32"/>
        <v>#DIV/0!</v>
      </c>
      <c r="W44" s="123" t="str">
        <f t="shared" si="32"/>
        <v>#DIV/0!</v>
      </c>
      <c r="X44" s="123" t="str">
        <f t="shared" si="32"/>
        <v>#DIV/0!</v>
      </c>
      <c r="Y44" s="123" t="str">
        <f t="shared" si="32"/>
        <v>#DIV/0!</v>
      </c>
      <c r="Z44" s="123" t="str">
        <f t="shared" si="32"/>
        <v>#DIV/0!</v>
      </c>
      <c r="AA44" s="123" t="str">
        <f t="shared" si="32"/>
        <v>#DIV/0!</v>
      </c>
      <c r="AB44" s="123" t="str">
        <f t="shared" si="32"/>
        <v>#DIV/0!</v>
      </c>
      <c r="AC44" s="123" t="str">
        <f t="shared" si="32"/>
        <v>#DIV/0!</v>
      </c>
      <c r="AD44" s="123" t="str">
        <f t="shared" si="32"/>
        <v>#DIV/0!</v>
      </c>
    </row>
    <row r="45">
      <c r="A45" s="171" t="s">
        <v>60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0.787</v>
      </c>
      <c r="G45" s="91">
        <v>0.73</v>
      </c>
      <c r="H45" s="91">
        <v>0.734</v>
      </c>
      <c r="I45" s="91">
        <v>0.739</v>
      </c>
      <c r="J45" s="91">
        <v>0.767</v>
      </c>
      <c r="K45" s="91">
        <v>0.436</v>
      </c>
      <c r="L45" s="91">
        <v>0.723</v>
      </c>
      <c r="M45" s="91">
        <v>0.866</v>
      </c>
      <c r="N45" s="92">
        <v>61.0</v>
      </c>
      <c r="O45" s="92">
        <v>21.0</v>
      </c>
      <c r="P45" s="92">
        <v>52.0</v>
      </c>
      <c r="Q45" s="92">
        <v>136.0</v>
      </c>
      <c r="R45" s="93"/>
      <c r="S45" s="94"/>
      <c r="T45" s="95"/>
      <c r="U45" s="95"/>
      <c r="V45" s="95"/>
      <c r="W45" s="95"/>
      <c r="X45" s="94"/>
      <c r="Y45" s="94"/>
      <c r="Z45" s="94"/>
      <c r="AA45" s="96"/>
      <c r="AB45" s="97"/>
      <c r="AC45" s="97"/>
      <c r="AD45" s="98"/>
    </row>
    <row r="46">
      <c r="A46" s="7"/>
      <c r="C46" s="99" t="b">
        <v>1</v>
      </c>
      <c r="D46" s="99" t="s">
        <v>43</v>
      </c>
      <c r="E46" s="99" t="s">
        <v>45</v>
      </c>
      <c r="F46" s="100">
        <v>0.725</v>
      </c>
      <c r="G46" s="101">
        <v>0.725</v>
      </c>
      <c r="H46" s="101">
        <v>0.652</v>
      </c>
      <c r="I46" s="101">
        <v>0.718</v>
      </c>
      <c r="J46" s="101">
        <v>0.714</v>
      </c>
      <c r="K46" s="101">
        <v>0.32</v>
      </c>
      <c r="L46" s="101">
        <v>0.835</v>
      </c>
      <c r="M46" s="101">
        <v>0.785</v>
      </c>
      <c r="N46" s="102">
        <v>38.0</v>
      </c>
      <c r="O46" s="102">
        <v>43.0</v>
      </c>
      <c r="P46" s="102">
        <v>31.0</v>
      </c>
      <c r="Q46" s="102">
        <v>157.0</v>
      </c>
      <c r="R46" s="103"/>
      <c r="S46" s="104"/>
      <c r="T46" s="105"/>
      <c r="U46" s="105"/>
      <c r="V46" s="105"/>
      <c r="W46" s="105"/>
      <c r="X46" s="104"/>
      <c r="Y46" s="104"/>
      <c r="Z46" s="104"/>
      <c r="AA46" s="106"/>
      <c r="AB46" s="107"/>
      <c r="AC46" s="107"/>
      <c r="AD46" s="108"/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0.804</v>
      </c>
      <c r="G47" s="101">
        <v>0.695</v>
      </c>
      <c r="H47" s="101">
        <v>0.5</v>
      </c>
      <c r="I47" s="101">
        <v>0.57</v>
      </c>
      <c r="J47" s="101">
        <v>0.788</v>
      </c>
      <c r="K47" s="101">
        <v>0.0</v>
      </c>
      <c r="L47" s="101">
        <v>1.0</v>
      </c>
      <c r="M47" s="101">
        <v>0.695</v>
      </c>
      <c r="N47" s="110">
        <v>0.0</v>
      </c>
      <c r="O47" s="110">
        <v>82.0</v>
      </c>
      <c r="P47" s="110">
        <v>0.0</v>
      </c>
      <c r="Q47" s="110">
        <v>187.0</v>
      </c>
      <c r="R47" s="103"/>
      <c r="S47" s="104"/>
      <c r="T47" s="105"/>
      <c r="U47" s="105"/>
      <c r="V47" s="105"/>
      <c r="W47" s="105"/>
      <c r="X47" s="104"/>
      <c r="Y47" s="104"/>
      <c r="Z47" s="104"/>
      <c r="AA47" s="111"/>
      <c r="AB47" s="112"/>
      <c r="AC47" s="112"/>
      <c r="AD47" s="113"/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0.772</v>
      </c>
      <c r="G48" s="117">
        <f t="shared" si="33"/>
        <v>0.7166666667</v>
      </c>
      <c r="H48" s="115">
        <f t="shared" si="33"/>
        <v>0.6286666667</v>
      </c>
      <c r="I48" s="117">
        <f t="shared" si="33"/>
        <v>0.6756666667</v>
      </c>
      <c r="J48" s="117">
        <f t="shared" si="33"/>
        <v>0.7563333333</v>
      </c>
      <c r="K48" s="115">
        <f t="shared" si="33"/>
        <v>0.252</v>
      </c>
      <c r="L48" s="115">
        <f t="shared" si="33"/>
        <v>0.8526666667</v>
      </c>
      <c r="M48" s="115">
        <f t="shared" si="33"/>
        <v>0.782</v>
      </c>
      <c r="N48" s="115">
        <f t="shared" si="33"/>
        <v>33</v>
      </c>
      <c r="O48" s="115">
        <f t="shared" si="33"/>
        <v>48.66666667</v>
      </c>
      <c r="P48" s="115">
        <f t="shared" si="33"/>
        <v>27.66666667</v>
      </c>
      <c r="Q48" s="115">
        <f t="shared" si="33"/>
        <v>160</v>
      </c>
      <c r="R48" s="116"/>
      <c r="S48" s="115" t="str">
        <f t="shared" ref="S48:AD48" si="34">AVERAGE(S45:S47)</f>
        <v>#DIV/0!</v>
      </c>
      <c r="T48" s="115" t="str">
        <f t="shared" si="34"/>
        <v>#DIV/0!</v>
      </c>
      <c r="U48" s="115" t="str">
        <f t="shared" si="34"/>
        <v>#DIV/0!</v>
      </c>
      <c r="V48" s="115" t="str">
        <f t="shared" si="34"/>
        <v>#DIV/0!</v>
      </c>
      <c r="W48" s="115" t="str">
        <f t="shared" si="34"/>
        <v>#DIV/0!</v>
      </c>
      <c r="X48" s="115" t="str">
        <f t="shared" si="34"/>
        <v>#DIV/0!</v>
      </c>
      <c r="Y48" s="115" t="str">
        <f t="shared" si="34"/>
        <v>#DIV/0!</v>
      </c>
      <c r="Z48" s="115" t="str">
        <f t="shared" si="34"/>
        <v>#DIV/0!</v>
      </c>
      <c r="AA48" s="115" t="str">
        <f t="shared" si="34"/>
        <v>#DIV/0!</v>
      </c>
      <c r="AB48" s="115" t="str">
        <f t="shared" si="34"/>
        <v>#DIV/0!</v>
      </c>
      <c r="AC48" s="115" t="str">
        <f t="shared" si="34"/>
        <v>#DIV/0!</v>
      </c>
      <c r="AD48" s="118" t="str">
        <f t="shared" si="34"/>
        <v>#DIV/0!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0.04158124577</v>
      </c>
      <c r="G49" s="123">
        <f t="shared" si="35"/>
        <v>0.01892969449</v>
      </c>
      <c r="H49" s="123">
        <f t="shared" si="35"/>
        <v>0.1187321916</v>
      </c>
      <c r="I49" s="123">
        <f t="shared" si="35"/>
        <v>0.09211044096</v>
      </c>
      <c r="J49" s="123">
        <f t="shared" si="35"/>
        <v>0.03813572254</v>
      </c>
      <c r="K49" s="123">
        <f t="shared" si="35"/>
        <v>0.2258140828</v>
      </c>
      <c r="L49" s="123">
        <f t="shared" si="35"/>
        <v>0.1393425037</v>
      </c>
      <c r="M49" s="123">
        <f t="shared" si="35"/>
        <v>0.08553946458</v>
      </c>
      <c r="N49" s="123">
        <f t="shared" si="35"/>
        <v>30.8058436</v>
      </c>
      <c r="O49" s="123">
        <f t="shared" si="35"/>
        <v>30.89228598</v>
      </c>
      <c r="P49" s="123">
        <f t="shared" si="35"/>
        <v>26.15976554</v>
      </c>
      <c r="Q49" s="123">
        <f t="shared" si="35"/>
        <v>25.63201124</v>
      </c>
      <c r="R49" s="123"/>
      <c r="S49" s="123" t="str">
        <f t="shared" ref="S49:AD49" si="36">STDEV(S45:S47)</f>
        <v>#DIV/0!</v>
      </c>
      <c r="T49" s="123" t="str">
        <f t="shared" si="36"/>
        <v>#DIV/0!</v>
      </c>
      <c r="U49" s="123" t="str">
        <f t="shared" si="36"/>
        <v>#DIV/0!</v>
      </c>
      <c r="V49" s="123" t="str">
        <f t="shared" si="36"/>
        <v>#DIV/0!</v>
      </c>
      <c r="W49" s="123" t="str">
        <f t="shared" si="36"/>
        <v>#DIV/0!</v>
      </c>
      <c r="X49" s="123" t="str">
        <f t="shared" si="36"/>
        <v>#DIV/0!</v>
      </c>
      <c r="Y49" s="123" t="str">
        <f t="shared" si="36"/>
        <v>#DIV/0!</v>
      </c>
      <c r="Z49" s="123" t="str">
        <f t="shared" si="36"/>
        <v>#DIV/0!</v>
      </c>
      <c r="AA49" s="123" t="str">
        <f t="shared" si="36"/>
        <v>#DIV/0!</v>
      </c>
      <c r="AB49" s="123" t="str">
        <f t="shared" si="36"/>
        <v>#DIV/0!</v>
      </c>
      <c r="AC49" s="123" t="str">
        <f t="shared" si="36"/>
        <v>#DIV/0!</v>
      </c>
      <c r="AD49" s="123" t="str">
        <f t="shared" si="36"/>
        <v>#DIV/0!</v>
      </c>
    </row>
    <row r="50">
      <c r="A50" s="171" t="s">
        <v>60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0.775</v>
      </c>
      <c r="G50" s="125">
        <v>0.737</v>
      </c>
      <c r="H50" s="125">
        <v>0.715</v>
      </c>
      <c r="I50" s="125">
        <v>0.743</v>
      </c>
      <c r="J50" s="125">
        <v>0.753</v>
      </c>
      <c r="K50" s="125">
        <v>0.412</v>
      </c>
      <c r="L50" s="125">
        <v>0.771</v>
      </c>
      <c r="M50" s="125">
        <v>0.838</v>
      </c>
      <c r="N50" s="126">
        <v>54.0</v>
      </c>
      <c r="O50" s="126">
        <v>28.0</v>
      </c>
      <c r="P50" s="126">
        <v>43.0</v>
      </c>
      <c r="Q50" s="126">
        <v>145.0</v>
      </c>
      <c r="R50" s="127"/>
      <c r="S50" s="128"/>
      <c r="T50" s="129"/>
      <c r="U50" s="129"/>
      <c r="V50" s="129"/>
      <c r="W50" s="129"/>
      <c r="X50" s="128"/>
      <c r="Y50" s="128"/>
      <c r="Z50" s="128"/>
      <c r="AA50" s="148"/>
      <c r="AB50" s="149"/>
      <c r="AC50" s="149"/>
      <c r="AD50" s="150"/>
    </row>
    <row r="51">
      <c r="A51" s="7"/>
      <c r="C51" s="99" t="b">
        <v>1</v>
      </c>
      <c r="D51" s="99" t="s">
        <v>43</v>
      </c>
      <c r="E51" s="99" t="s">
        <v>45</v>
      </c>
      <c r="F51" s="133">
        <v>0.758</v>
      </c>
      <c r="G51" s="134">
        <v>0.747</v>
      </c>
      <c r="H51" s="134">
        <v>0.682</v>
      </c>
      <c r="I51" s="134">
        <v>0.742</v>
      </c>
      <c r="J51" s="134">
        <v>0.739</v>
      </c>
      <c r="K51" s="134">
        <v>0.379</v>
      </c>
      <c r="L51" s="134">
        <v>0.846</v>
      </c>
      <c r="M51" s="134">
        <v>0.803</v>
      </c>
      <c r="N51" s="135">
        <v>42.0</v>
      </c>
      <c r="O51" s="135">
        <v>39.0</v>
      </c>
      <c r="P51" s="135">
        <v>29.0</v>
      </c>
      <c r="Q51" s="135">
        <v>159.0</v>
      </c>
      <c r="R51" s="136"/>
      <c r="S51" s="137"/>
      <c r="T51" s="138"/>
      <c r="U51" s="138"/>
      <c r="V51" s="138"/>
      <c r="W51" s="138"/>
      <c r="X51" s="137"/>
      <c r="Y51" s="137"/>
      <c r="Z51" s="137"/>
      <c r="AA51" s="139"/>
      <c r="AB51" s="140"/>
      <c r="AC51" s="140"/>
      <c r="AD51" s="141"/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0.785</v>
      </c>
      <c r="G52" s="143">
        <v>0.736</v>
      </c>
      <c r="H52" s="143">
        <v>0.591</v>
      </c>
      <c r="I52" s="143">
        <v>0.683</v>
      </c>
      <c r="J52" s="143">
        <v>0.732</v>
      </c>
      <c r="K52" s="143">
        <v>0.289</v>
      </c>
      <c r="L52" s="143">
        <v>0.963</v>
      </c>
      <c r="M52" s="143">
        <v>0.738</v>
      </c>
      <c r="N52" s="144">
        <v>18.0</v>
      </c>
      <c r="O52" s="144">
        <v>64.0</v>
      </c>
      <c r="P52" s="144">
        <v>7.0</v>
      </c>
      <c r="Q52" s="144">
        <v>180.0</v>
      </c>
      <c r="R52" s="145"/>
      <c r="S52" s="146"/>
      <c r="T52" s="147"/>
      <c r="U52" s="147"/>
      <c r="V52" s="147"/>
      <c r="W52" s="147"/>
      <c r="X52" s="146"/>
      <c r="Y52" s="146"/>
      <c r="Z52" s="146"/>
      <c r="AA52" s="148"/>
      <c r="AB52" s="149"/>
      <c r="AC52" s="149"/>
      <c r="AD52" s="150"/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0.7726666667</v>
      </c>
      <c r="G53" s="151">
        <f t="shared" si="37"/>
        <v>0.74</v>
      </c>
      <c r="H53" s="151">
        <f t="shared" si="37"/>
        <v>0.6626666667</v>
      </c>
      <c r="I53" s="151">
        <f t="shared" si="37"/>
        <v>0.7226666667</v>
      </c>
      <c r="J53" s="151">
        <f t="shared" si="37"/>
        <v>0.7413333333</v>
      </c>
      <c r="K53" s="151">
        <f t="shared" si="37"/>
        <v>0.36</v>
      </c>
      <c r="L53" s="151">
        <f t="shared" si="37"/>
        <v>0.86</v>
      </c>
      <c r="M53" s="151">
        <f t="shared" si="37"/>
        <v>0.793</v>
      </c>
      <c r="N53" s="151">
        <f t="shared" si="37"/>
        <v>38</v>
      </c>
      <c r="O53" s="151">
        <f t="shared" si="37"/>
        <v>43.66666667</v>
      </c>
      <c r="P53" s="151">
        <f t="shared" si="37"/>
        <v>26.33333333</v>
      </c>
      <c r="Q53" s="151">
        <f t="shared" si="37"/>
        <v>161.3333333</v>
      </c>
      <c r="R53" s="152"/>
      <c r="S53" s="151" t="str">
        <f t="shared" ref="S53:AD53" si="38">AVERAGE(S50:S52)</f>
        <v>#DIV/0!</v>
      </c>
      <c r="T53" s="151" t="str">
        <f t="shared" si="38"/>
        <v>#DIV/0!</v>
      </c>
      <c r="U53" s="151" t="str">
        <f t="shared" si="38"/>
        <v>#DIV/0!</v>
      </c>
      <c r="V53" s="151" t="str">
        <f t="shared" si="38"/>
        <v>#DIV/0!</v>
      </c>
      <c r="W53" s="151" t="str">
        <f t="shared" si="38"/>
        <v>#DIV/0!</v>
      </c>
      <c r="X53" s="151" t="str">
        <f t="shared" si="38"/>
        <v>#DIV/0!</v>
      </c>
      <c r="Y53" s="151" t="str">
        <f t="shared" si="38"/>
        <v>#DIV/0!</v>
      </c>
      <c r="Z53" s="151" t="str">
        <f t="shared" si="38"/>
        <v>#DIV/0!</v>
      </c>
      <c r="AA53" s="151" t="str">
        <f t="shared" si="38"/>
        <v>#DIV/0!</v>
      </c>
      <c r="AB53" s="151" t="str">
        <f t="shared" si="38"/>
        <v>#DIV/0!</v>
      </c>
      <c r="AC53" s="151" t="str">
        <f t="shared" si="38"/>
        <v>#DIV/0!</v>
      </c>
      <c r="AD53" s="153" t="str">
        <f t="shared" si="38"/>
        <v>#DIV/0!</v>
      </c>
    </row>
    <row r="54">
      <c r="A54" s="119"/>
      <c r="B54" s="163" t="s">
        <v>48</v>
      </c>
      <c r="C54" s="3"/>
      <c r="D54" s="3"/>
      <c r="E54" s="164"/>
      <c r="F54" s="165">
        <f t="shared" ref="F54:Q54" si="39">STDEV(F50:F52)</f>
        <v>0.01365039682</v>
      </c>
      <c r="G54" s="165">
        <f t="shared" si="39"/>
        <v>0.00608276253</v>
      </c>
      <c r="H54" s="165">
        <f t="shared" si="39"/>
        <v>0.06422097269</v>
      </c>
      <c r="I54" s="165">
        <f t="shared" si="39"/>
        <v>0.03435597959</v>
      </c>
      <c r="J54" s="165">
        <f t="shared" si="39"/>
        <v>0.01069267662</v>
      </c>
      <c r="K54" s="165">
        <f t="shared" si="39"/>
        <v>0.06366317617</v>
      </c>
      <c r="L54" s="165">
        <f t="shared" si="39"/>
        <v>0.09676259608</v>
      </c>
      <c r="M54" s="165">
        <f t="shared" si="39"/>
        <v>0.05074445783</v>
      </c>
      <c r="N54" s="165">
        <f t="shared" si="39"/>
        <v>18.33030278</v>
      </c>
      <c r="O54" s="165">
        <f t="shared" si="39"/>
        <v>18.44812547</v>
      </c>
      <c r="P54" s="165">
        <f t="shared" si="39"/>
        <v>18.14754345</v>
      </c>
      <c r="Q54" s="165">
        <f t="shared" si="39"/>
        <v>17.61628035</v>
      </c>
      <c r="R54" s="165"/>
      <c r="S54" s="165" t="str">
        <f t="shared" ref="S54:AD54" si="40">STDEV(S50:S52)</f>
        <v>#DIV/0!</v>
      </c>
      <c r="T54" s="165" t="str">
        <f t="shared" si="40"/>
        <v>#DIV/0!</v>
      </c>
      <c r="U54" s="165" t="str">
        <f t="shared" si="40"/>
        <v>#DIV/0!</v>
      </c>
      <c r="V54" s="165" t="str">
        <f t="shared" si="40"/>
        <v>#DIV/0!</v>
      </c>
      <c r="W54" s="165" t="str">
        <f t="shared" si="40"/>
        <v>#DIV/0!</v>
      </c>
      <c r="X54" s="165" t="str">
        <f t="shared" si="40"/>
        <v>#DIV/0!</v>
      </c>
      <c r="Y54" s="165" t="str">
        <f t="shared" si="40"/>
        <v>#DIV/0!</v>
      </c>
      <c r="Z54" s="165" t="str">
        <f t="shared" si="40"/>
        <v>#DIV/0!</v>
      </c>
      <c r="AA54" s="165" t="str">
        <f t="shared" si="40"/>
        <v>#DIV/0!</v>
      </c>
      <c r="AB54" s="165" t="str">
        <f t="shared" si="40"/>
        <v>#DIV/0!</v>
      </c>
      <c r="AC54" s="165" t="str">
        <f t="shared" si="40"/>
        <v>#DIV/0!</v>
      </c>
      <c r="AD54" s="165" t="str">
        <f t="shared" si="40"/>
        <v>#DIV/0!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0.7681333333</v>
      </c>
      <c r="G55" s="167">
        <f t="shared" si="41"/>
        <v>0.7291333333</v>
      </c>
      <c r="H55" s="167">
        <f t="shared" si="41"/>
        <v>0.6474</v>
      </c>
      <c r="I55" s="167">
        <f t="shared" si="41"/>
        <v>0.7052666667</v>
      </c>
      <c r="J55" s="167">
        <f t="shared" si="41"/>
        <v>0.7402333333</v>
      </c>
      <c r="K55" s="167">
        <f t="shared" si="41"/>
        <v>0.3092</v>
      </c>
      <c r="L55" s="167">
        <f t="shared" si="41"/>
        <v>0.8555</v>
      </c>
      <c r="M55" s="167">
        <f t="shared" si="41"/>
        <v>0.7852666667</v>
      </c>
      <c r="N55" s="167">
        <f t="shared" si="41"/>
        <v>35.86666667</v>
      </c>
      <c r="O55" s="167">
        <f t="shared" si="41"/>
        <v>45.8</v>
      </c>
      <c r="P55" s="167">
        <f t="shared" si="41"/>
        <v>27.13333333</v>
      </c>
      <c r="Q55" s="167">
        <f t="shared" si="41"/>
        <v>160.5333333</v>
      </c>
      <c r="R55" s="168"/>
      <c r="S55" s="168" t="str">
        <f t="shared" ref="S55:AD55" si="42">AVERAGE(S8, S13, S18, S23,S28,S33,S38,S43,S48,S53)</f>
        <v>#DIV/0!</v>
      </c>
      <c r="T55" s="168" t="str">
        <f t="shared" si="42"/>
        <v>#DIV/0!</v>
      </c>
      <c r="U55" s="168" t="str">
        <f t="shared" si="42"/>
        <v>#DIV/0!</v>
      </c>
      <c r="V55" s="168" t="str">
        <f t="shared" si="42"/>
        <v>#DIV/0!</v>
      </c>
      <c r="W55" s="168" t="str">
        <f t="shared" si="42"/>
        <v>#DIV/0!</v>
      </c>
      <c r="X55" s="168" t="str">
        <f t="shared" si="42"/>
        <v>#DIV/0!</v>
      </c>
      <c r="Y55" s="168" t="str">
        <f t="shared" si="42"/>
        <v>#DIV/0!</v>
      </c>
      <c r="Z55" s="168" t="str">
        <f t="shared" si="42"/>
        <v>#DIV/0!</v>
      </c>
      <c r="AA55" s="168" t="str">
        <f t="shared" si="42"/>
        <v>#DIV/0!</v>
      </c>
      <c r="AB55" s="168" t="str">
        <f t="shared" si="42"/>
        <v>#DIV/0!</v>
      </c>
      <c r="AC55" s="168" t="str">
        <f t="shared" si="42"/>
        <v>#DIV/0!</v>
      </c>
      <c r="AD55" s="168" t="str">
        <f t="shared" si="42"/>
        <v>#DIV/0!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 F13, F18, F23,F28,F33,F38,F43,F48,F53)</f>
        <v>0.0093349205</v>
      </c>
      <c r="G57" s="168">
        <f t="shared" si="43"/>
        <v>0.01103775787</v>
      </c>
      <c r="H57" s="168">
        <f t="shared" si="43"/>
        <v>0.02336072466</v>
      </c>
      <c r="I57" s="168">
        <f t="shared" si="43"/>
        <v>0.02391745063</v>
      </c>
      <c r="J57" s="168">
        <f t="shared" si="43"/>
        <v>0.01775070856</v>
      </c>
      <c r="K57" s="168">
        <f t="shared" si="43"/>
        <v>0.05269319538</v>
      </c>
      <c r="L57" s="168">
        <f t="shared" si="43"/>
        <v>0.02862195048</v>
      </c>
      <c r="M57" s="168">
        <f t="shared" si="43"/>
        <v>0.01352437215</v>
      </c>
      <c r="N57" s="168">
        <f t="shared" si="43"/>
        <v>5.631042708</v>
      </c>
      <c r="O57" s="168">
        <f t="shared" si="43"/>
        <v>5.631042708</v>
      </c>
      <c r="P57" s="168">
        <f t="shared" si="43"/>
        <v>5.363801858</v>
      </c>
      <c r="Q57" s="168">
        <f t="shared" si="43"/>
        <v>5.363801858</v>
      </c>
      <c r="R57" s="168"/>
      <c r="S57" s="168" t="str">
        <f t="shared" ref="S57:AD57" si="44">STDEV(S8, S13, S18, S23,S28,S33,S38,S43,S48,S53)</f>
        <v>#DIV/0!</v>
      </c>
      <c r="T57" s="168" t="str">
        <f t="shared" si="44"/>
        <v>#DIV/0!</v>
      </c>
      <c r="U57" s="168" t="str">
        <f t="shared" si="44"/>
        <v>#DIV/0!</v>
      </c>
      <c r="V57" s="168" t="str">
        <f t="shared" si="44"/>
        <v>#DIV/0!</v>
      </c>
      <c r="W57" s="168" t="str">
        <f t="shared" si="44"/>
        <v>#DIV/0!</v>
      </c>
      <c r="X57" s="168" t="str">
        <f t="shared" si="44"/>
        <v>#DIV/0!</v>
      </c>
      <c r="Y57" s="168" t="str">
        <f t="shared" si="44"/>
        <v>#DIV/0!</v>
      </c>
      <c r="Z57" s="168" t="str">
        <f t="shared" si="44"/>
        <v>#DIV/0!</v>
      </c>
      <c r="AA57" s="168" t="str">
        <f t="shared" si="44"/>
        <v>#DIV/0!</v>
      </c>
      <c r="AB57" s="168" t="str">
        <f t="shared" si="44"/>
        <v>#DIV/0!</v>
      </c>
      <c r="AC57" s="168" t="str">
        <f t="shared" si="44"/>
        <v>#DIV/0!</v>
      </c>
      <c r="AD57" s="168" t="str">
        <f t="shared" si="44"/>
        <v>#DIV/0!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61</v>
      </c>
      <c r="O2" s="77" t="s">
        <v>3</v>
      </c>
      <c r="P2" s="77" t="s">
        <v>4</v>
      </c>
      <c r="Q2" s="77" t="s">
        <v>62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63</v>
      </c>
      <c r="AB2" s="77" t="s">
        <v>3</v>
      </c>
      <c r="AC2" s="77" t="s">
        <v>4</v>
      </c>
      <c r="AD2" s="78" t="s">
        <v>64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65</v>
      </c>
      <c r="B5" s="88">
        <v>1.0</v>
      </c>
      <c r="C5" s="89" t="b">
        <v>1</v>
      </c>
      <c r="D5" s="89" t="s">
        <v>43</v>
      </c>
      <c r="E5" s="89" t="s">
        <v>44</v>
      </c>
      <c r="F5" s="172">
        <v>0.77</v>
      </c>
      <c r="G5" s="173">
        <v>0.756</v>
      </c>
      <c r="H5" s="173">
        <v>0.697</v>
      </c>
      <c r="I5" s="173">
        <v>0.752</v>
      </c>
      <c r="J5" s="173">
        <v>0.75</v>
      </c>
      <c r="K5" s="173">
        <v>0.407</v>
      </c>
      <c r="L5" s="173">
        <v>0.846</v>
      </c>
      <c r="M5" s="173">
        <v>0.811</v>
      </c>
      <c r="N5" s="178">
        <v>45.0</v>
      </c>
      <c r="O5" s="179">
        <v>37.0</v>
      </c>
      <c r="P5" s="179">
        <v>29.0</v>
      </c>
      <c r="Q5" s="180">
        <v>159.0</v>
      </c>
      <c r="R5" s="175"/>
      <c r="S5" s="176">
        <v>0.779</v>
      </c>
      <c r="T5" s="177">
        <v>0.767</v>
      </c>
      <c r="U5" s="177">
        <v>0.674</v>
      </c>
      <c r="V5" s="177">
        <v>0.75</v>
      </c>
      <c r="W5" s="177">
        <v>0.755</v>
      </c>
      <c r="X5" s="176">
        <v>0.404</v>
      </c>
      <c r="Y5" s="176">
        <v>0.91</v>
      </c>
      <c r="Z5" s="176">
        <v>0.788</v>
      </c>
      <c r="AA5" s="178">
        <v>36.0</v>
      </c>
      <c r="AB5" s="179">
        <v>46.0</v>
      </c>
      <c r="AC5" s="179">
        <v>17.0</v>
      </c>
      <c r="AD5" s="180">
        <v>171.0</v>
      </c>
    </row>
    <row r="6">
      <c r="A6" s="7"/>
      <c r="C6" s="99" t="b">
        <v>1</v>
      </c>
      <c r="D6" s="99" t="s">
        <v>43</v>
      </c>
      <c r="E6" s="99" t="s">
        <v>45</v>
      </c>
      <c r="F6" s="181">
        <v>0.744</v>
      </c>
      <c r="G6" s="182">
        <v>0.747</v>
      </c>
      <c r="H6" s="182">
        <v>0.686</v>
      </c>
      <c r="I6" s="182">
        <v>0.743</v>
      </c>
      <c r="J6" s="182">
        <v>0.741</v>
      </c>
      <c r="K6" s="182">
        <v>0.383</v>
      </c>
      <c r="L6" s="182">
        <v>0.84</v>
      </c>
      <c r="M6" s="182">
        <v>0.806</v>
      </c>
      <c r="N6" s="183">
        <v>43.0</v>
      </c>
      <c r="O6" s="183">
        <v>38.0</v>
      </c>
      <c r="P6" s="183">
        <v>30.0</v>
      </c>
      <c r="Q6" s="183">
        <v>158.0</v>
      </c>
      <c r="R6" s="184"/>
      <c r="S6" s="185">
        <v>0.739</v>
      </c>
      <c r="T6" s="186">
        <v>0.743</v>
      </c>
      <c r="U6" s="186">
        <v>0.648</v>
      </c>
      <c r="V6" s="186">
        <v>0.726</v>
      </c>
      <c r="W6" s="186">
        <v>0.727</v>
      </c>
      <c r="X6" s="185">
        <v>0.339</v>
      </c>
      <c r="Y6" s="185">
        <v>0.888</v>
      </c>
      <c r="Z6" s="185">
        <v>0.777</v>
      </c>
      <c r="AA6" s="187">
        <v>33.0</v>
      </c>
      <c r="AB6" s="188">
        <v>48.0</v>
      </c>
      <c r="AC6" s="188">
        <v>21.0</v>
      </c>
      <c r="AD6" s="189">
        <v>167.0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90">
        <v>0.584</v>
      </c>
      <c r="G7" s="191">
        <v>0.703</v>
      </c>
      <c r="H7" s="191">
        <v>0.519</v>
      </c>
      <c r="I7" s="191">
        <v>0.599</v>
      </c>
      <c r="J7" s="191">
        <v>0.692</v>
      </c>
      <c r="K7" s="191">
        <v>0.119</v>
      </c>
      <c r="L7" s="191">
        <v>0.989</v>
      </c>
      <c r="M7" s="191">
        <v>0.703</v>
      </c>
      <c r="N7" s="192">
        <v>4.0</v>
      </c>
      <c r="O7" s="192">
        <v>78.0</v>
      </c>
      <c r="P7" s="192">
        <v>2.0</v>
      </c>
      <c r="Q7" s="192">
        <v>185.0</v>
      </c>
      <c r="R7" s="193"/>
      <c r="S7" s="194">
        <v>0.771</v>
      </c>
      <c r="T7" s="195">
        <v>0.743</v>
      </c>
      <c r="U7" s="195">
        <v>0.644</v>
      </c>
      <c r="V7" s="195">
        <v>0.723</v>
      </c>
      <c r="W7" s="195">
        <v>0.727</v>
      </c>
      <c r="X7" s="194">
        <v>0.339</v>
      </c>
      <c r="Y7" s="194">
        <v>0.898</v>
      </c>
      <c r="Z7" s="194">
        <v>0.771</v>
      </c>
      <c r="AA7" s="196">
        <v>32.0</v>
      </c>
      <c r="AB7" s="197">
        <v>50.0</v>
      </c>
      <c r="AC7" s="197">
        <v>19.0</v>
      </c>
      <c r="AD7" s="198">
        <v>168.0</v>
      </c>
    </row>
    <row r="8">
      <c r="A8" s="7"/>
      <c r="B8" s="114" t="s">
        <v>47</v>
      </c>
      <c r="C8" s="30"/>
      <c r="D8" s="30"/>
      <c r="E8" s="72"/>
      <c r="F8" s="199">
        <f t="shared" ref="F8:Q8" si="1">AVERAGE(F5:F7)</f>
        <v>0.6993333333</v>
      </c>
      <c r="G8" s="199">
        <f t="shared" si="1"/>
        <v>0.7353333333</v>
      </c>
      <c r="H8" s="199">
        <f t="shared" si="1"/>
        <v>0.634</v>
      </c>
      <c r="I8" s="199">
        <f t="shared" si="1"/>
        <v>0.698</v>
      </c>
      <c r="J8" s="199">
        <f t="shared" si="1"/>
        <v>0.7276666667</v>
      </c>
      <c r="K8" s="199">
        <f t="shared" si="1"/>
        <v>0.303</v>
      </c>
      <c r="L8" s="199">
        <f t="shared" si="1"/>
        <v>0.8916666667</v>
      </c>
      <c r="M8" s="199">
        <f t="shared" si="1"/>
        <v>0.7733333333</v>
      </c>
      <c r="N8" s="199">
        <f t="shared" si="1"/>
        <v>30.66666667</v>
      </c>
      <c r="O8" s="199">
        <f t="shared" si="1"/>
        <v>51</v>
      </c>
      <c r="P8" s="199">
        <f t="shared" si="1"/>
        <v>20.33333333</v>
      </c>
      <c r="Q8" s="199">
        <f t="shared" si="1"/>
        <v>167.3333333</v>
      </c>
      <c r="R8" s="200"/>
      <c r="S8" s="199">
        <f t="shared" ref="S8:AD8" si="2">AVERAGE(S5:S7)</f>
        <v>0.763</v>
      </c>
      <c r="T8" s="117">
        <f t="shared" si="2"/>
        <v>0.751</v>
      </c>
      <c r="U8" s="199">
        <f t="shared" si="2"/>
        <v>0.6553333333</v>
      </c>
      <c r="V8" s="199">
        <f t="shared" si="2"/>
        <v>0.733</v>
      </c>
      <c r="W8" s="199">
        <f t="shared" si="2"/>
        <v>0.7363333333</v>
      </c>
      <c r="X8" s="199">
        <f t="shared" si="2"/>
        <v>0.3606666667</v>
      </c>
      <c r="Y8" s="199">
        <f t="shared" si="2"/>
        <v>0.8986666667</v>
      </c>
      <c r="Z8" s="199">
        <f t="shared" si="2"/>
        <v>0.7786666667</v>
      </c>
      <c r="AA8" s="199">
        <f t="shared" si="2"/>
        <v>33.66666667</v>
      </c>
      <c r="AB8" s="199">
        <f t="shared" si="2"/>
        <v>48</v>
      </c>
      <c r="AC8" s="199">
        <f t="shared" si="2"/>
        <v>19</v>
      </c>
      <c r="AD8" s="201">
        <f t="shared" si="2"/>
        <v>168.6666667</v>
      </c>
    </row>
    <row r="9">
      <c r="A9" s="119"/>
      <c r="B9" s="120" t="s">
        <v>48</v>
      </c>
      <c r="C9" s="121"/>
      <c r="D9" s="121"/>
      <c r="E9" s="122"/>
      <c r="F9" s="202">
        <f t="shared" ref="F9:Q9" si="3">STDEV(F5:F7)</f>
        <v>0.1007240455</v>
      </c>
      <c r="G9" s="202">
        <f t="shared" si="3"/>
        <v>0.02836077103</v>
      </c>
      <c r="H9" s="202">
        <f t="shared" si="3"/>
        <v>0.09974467404</v>
      </c>
      <c r="I9" s="202">
        <f t="shared" si="3"/>
        <v>0.08585452813</v>
      </c>
      <c r="J9" s="202">
        <f t="shared" si="3"/>
        <v>0.03121431296</v>
      </c>
      <c r="K9" s="202">
        <f t="shared" si="3"/>
        <v>0.1597998748</v>
      </c>
      <c r="L9" s="202">
        <f t="shared" si="3"/>
        <v>0.08434650753</v>
      </c>
      <c r="M9" s="202">
        <f t="shared" si="3"/>
        <v>0.06096173663</v>
      </c>
      <c r="N9" s="202">
        <f t="shared" si="3"/>
        <v>23.11565126</v>
      </c>
      <c r="O9" s="202">
        <f t="shared" si="3"/>
        <v>23.38803113</v>
      </c>
      <c r="P9" s="202">
        <f t="shared" si="3"/>
        <v>15.88500341</v>
      </c>
      <c r="Q9" s="202">
        <f t="shared" si="3"/>
        <v>15.30795</v>
      </c>
      <c r="R9" s="202"/>
      <c r="S9" s="202">
        <f t="shared" ref="S9:AD9" si="4">STDEV(S5:S7)</f>
        <v>0.02116601049</v>
      </c>
      <c r="T9" s="202">
        <f t="shared" si="4"/>
        <v>0.01385640646</v>
      </c>
      <c r="U9" s="202">
        <f t="shared" si="4"/>
        <v>0.01628905563</v>
      </c>
      <c r="V9" s="202">
        <f t="shared" si="4"/>
        <v>0.01479864859</v>
      </c>
      <c r="W9" s="202">
        <f t="shared" si="4"/>
        <v>0.01616580754</v>
      </c>
      <c r="X9" s="202">
        <f t="shared" si="4"/>
        <v>0.0375277675</v>
      </c>
      <c r="Y9" s="202">
        <f t="shared" si="4"/>
        <v>0.01101514109</v>
      </c>
      <c r="Z9" s="202">
        <f t="shared" si="4"/>
        <v>0.008621678104</v>
      </c>
      <c r="AA9" s="202">
        <f t="shared" si="4"/>
        <v>2.081665999</v>
      </c>
      <c r="AB9" s="202">
        <f t="shared" si="4"/>
        <v>2</v>
      </c>
      <c r="AC9" s="202">
        <f t="shared" si="4"/>
        <v>2</v>
      </c>
      <c r="AD9" s="202">
        <f t="shared" si="4"/>
        <v>2.081665999</v>
      </c>
    </row>
    <row r="10">
      <c r="A10" s="171" t="s">
        <v>65</v>
      </c>
      <c r="B10" s="88">
        <v>10.0</v>
      </c>
      <c r="C10" s="89" t="b">
        <v>1</v>
      </c>
      <c r="D10" s="89" t="s">
        <v>43</v>
      </c>
      <c r="E10" s="89" t="s">
        <v>44</v>
      </c>
      <c r="F10" s="172">
        <v>0.774</v>
      </c>
      <c r="G10" s="173">
        <v>0.726</v>
      </c>
      <c r="H10" s="173">
        <v>0.693</v>
      </c>
      <c r="I10" s="173">
        <v>0.73</v>
      </c>
      <c r="J10" s="173">
        <v>0.736</v>
      </c>
      <c r="K10" s="173">
        <v>0.375</v>
      </c>
      <c r="L10" s="173">
        <v>0.777</v>
      </c>
      <c r="M10" s="173">
        <v>0.82</v>
      </c>
      <c r="N10" s="174">
        <v>50.0</v>
      </c>
      <c r="O10" s="174">
        <v>32.0</v>
      </c>
      <c r="P10" s="174">
        <v>42.0</v>
      </c>
      <c r="Q10" s="174">
        <v>146.0</v>
      </c>
      <c r="R10" s="175"/>
      <c r="S10" s="176">
        <v>0.777</v>
      </c>
      <c r="T10" s="177">
        <v>0.763</v>
      </c>
      <c r="U10" s="177">
        <v>0.734</v>
      </c>
      <c r="V10" s="177">
        <v>0.766</v>
      </c>
      <c r="W10" s="177">
        <v>0.77</v>
      </c>
      <c r="X10" s="176">
        <v>0.456</v>
      </c>
      <c r="Y10" s="176">
        <v>0.809</v>
      </c>
      <c r="Z10" s="176">
        <v>0.844</v>
      </c>
      <c r="AA10" s="178">
        <v>54.0</v>
      </c>
      <c r="AB10" s="179">
        <v>28.0</v>
      </c>
      <c r="AC10" s="179">
        <v>36.0</v>
      </c>
      <c r="AD10" s="180">
        <v>152.0</v>
      </c>
    </row>
    <row r="11">
      <c r="A11" s="7"/>
      <c r="C11" s="99" t="b">
        <v>1</v>
      </c>
      <c r="D11" s="99" t="s">
        <v>43</v>
      </c>
      <c r="E11" s="99" t="s">
        <v>45</v>
      </c>
      <c r="F11" s="181">
        <v>0.761</v>
      </c>
      <c r="G11" s="182">
        <v>0.747</v>
      </c>
      <c r="H11" s="182">
        <v>0.629</v>
      </c>
      <c r="I11" s="182">
        <v>0.718</v>
      </c>
      <c r="J11" s="182">
        <v>0.732</v>
      </c>
      <c r="K11" s="182">
        <v>0.33</v>
      </c>
      <c r="L11" s="182">
        <v>0.926</v>
      </c>
      <c r="M11" s="182">
        <v>0.763</v>
      </c>
      <c r="N11" s="183">
        <v>27.0</v>
      </c>
      <c r="O11" s="183">
        <v>54.0</v>
      </c>
      <c r="P11" s="183">
        <v>14.0</v>
      </c>
      <c r="Q11" s="183">
        <v>174.0</v>
      </c>
      <c r="R11" s="184"/>
      <c r="S11" s="185">
        <v>0.75</v>
      </c>
      <c r="T11" s="186">
        <v>0.699</v>
      </c>
      <c r="U11" s="186">
        <v>0.693</v>
      </c>
      <c r="V11" s="186">
        <v>0.709</v>
      </c>
      <c r="W11" s="186">
        <v>0.735</v>
      </c>
      <c r="X11" s="185">
        <v>0.361</v>
      </c>
      <c r="Y11" s="185">
        <v>0.707</v>
      </c>
      <c r="Z11" s="185">
        <v>0.836</v>
      </c>
      <c r="AA11" s="187">
        <v>55.0</v>
      </c>
      <c r="AB11" s="188">
        <v>26.0</v>
      </c>
      <c r="AC11" s="188">
        <v>55.0</v>
      </c>
      <c r="AD11" s="189">
        <v>133.0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90">
        <v>0.801</v>
      </c>
      <c r="G12" s="191">
        <v>0.747</v>
      </c>
      <c r="H12" s="191">
        <v>0.657</v>
      </c>
      <c r="I12" s="191">
        <v>0.732</v>
      </c>
      <c r="J12" s="191">
        <v>0.732</v>
      </c>
      <c r="K12" s="191">
        <v>0.357</v>
      </c>
      <c r="L12" s="191">
        <v>0.888</v>
      </c>
      <c r="M12" s="191">
        <v>0.779</v>
      </c>
      <c r="N12" s="192">
        <v>35.0</v>
      </c>
      <c r="O12" s="192">
        <v>47.0</v>
      </c>
      <c r="P12" s="192">
        <v>21.0</v>
      </c>
      <c r="Q12" s="192">
        <v>166.0</v>
      </c>
      <c r="R12" s="193"/>
      <c r="S12" s="194">
        <v>0.748</v>
      </c>
      <c r="T12" s="195">
        <v>0.71</v>
      </c>
      <c r="U12" s="195">
        <v>0.61</v>
      </c>
      <c r="V12" s="195">
        <v>0.69</v>
      </c>
      <c r="W12" s="195">
        <v>0.688</v>
      </c>
      <c r="X12" s="194">
        <v>0.253</v>
      </c>
      <c r="Y12" s="194">
        <v>0.866</v>
      </c>
      <c r="Z12" s="194">
        <v>0.753</v>
      </c>
      <c r="AA12" s="196">
        <v>29.0</v>
      </c>
      <c r="AB12" s="197">
        <v>53.0</v>
      </c>
      <c r="AC12" s="197">
        <v>25.0</v>
      </c>
      <c r="AD12" s="198">
        <v>162.0</v>
      </c>
    </row>
    <row r="13">
      <c r="A13" s="7"/>
      <c r="B13" s="114" t="s">
        <v>47</v>
      </c>
      <c r="C13" s="30"/>
      <c r="D13" s="30"/>
      <c r="E13" s="72"/>
      <c r="F13" s="161">
        <f t="shared" ref="F13:Q13" si="5">AVERAGE(F10:F12)</f>
        <v>0.7786666667</v>
      </c>
      <c r="G13" s="161">
        <f t="shared" si="5"/>
        <v>0.74</v>
      </c>
      <c r="H13" s="199">
        <f t="shared" si="5"/>
        <v>0.6596666667</v>
      </c>
      <c r="I13" s="199">
        <f t="shared" si="5"/>
        <v>0.7266666667</v>
      </c>
      <c r="J13" s="199">
        <f t="shared" si="5"/>
        <v>0.7333333333</v>
      </c>
      <c r="K13" s="199">
        <f t="shared" si="5"/>
        <v>0.354</v>
      </c>
      <c r="L13" s="199">
        <f t="shared" si="5"/>
        <v>0.8636666667</v>
      </c>
      <c r="M13" s="199">
        <f t="shared" si="5"/>
        <v>0.7873333333</v>
      </c>
      <c r="N13" s="199">
        <f t="shared" si="5"/>
        <v>37.33333333</v>
      </c>
      <c r="O13" s="199">
        <f t="shared" si="5"/>
        <v>44.33333333</v>
      </c>
      <c r="P13" s="199">
        <f t="shared" si="5"/>
        <v>25.66666667</v>
      </c>
      <c r="Q13" s="199">
        <f t="shared" si="5"/>
        <v>162</v>
      </c>
      <c r="R13" s="200"/>
      <c r="S13" s="117">
        <f t="shared" ref="S13:AD13" si="6">AVERAGE(S10:S12)</f>
        <v>0.7583333333</v>
      </c>
      <c r="T13" s="199">
        <f t="shared" si="6"/>
        <v>0.724</v>
      </c>
      <c r="U13" s="199">
        <f t="shared" si="6"/>
        <v>0.679</v>
      </c>
      <c r="V13" s="117">
        <f t="shared" si="6"/>
        <v>0.7216666667</v>
      </c>
      <c r="W13" s="199">
        <f t="shared" si="6"/>
        <v>0.731</v>
      </c>
      <c r="X13" s="199">
        <f t="shared" si="6"/>
        <v>0.3566666667</v>
      </c>
      <c r="Y13" s="199">
        <f t="shared" si="6"/>
        <v>0.794</v>
      </c>
      <c r="Z13" s="199">
        <f t="shared" si="6"/>
        <v>0.811</v>
      </c>
      <c r="AA13" s="199">
        <f t="shared" si="6"/>
        <v>46</v>
      </c>
      <c r="AB13" s="199">
        <f t="shared" si="6"/>
        <v>35.66666667</v>
      </c>
      <c r="AC13" s="199">
        <f t="shared" si="6"/>
        <v>38.66666667</v>
      </c>
      <c r="AD13" s="201">
        <f t="shared" si="6"/>
        <v>149</v>
      </c>
    </row>
    <row r="14">
      <c r="A14" s="119"/>
      <c r="B14" s="120" t="s">
        <v>48</v>
      </c>
      <c r="C14" s="121"/>
      <c r="D14" s="121"/>
      <c r="E14" s="122"/>
      <c r="F14" s="202">
        <f t="shared" ref="F14:Q14" si="7">STDEV(F10:F12)</f>
        <v>0.02040424792</v>
      </c>
      <c r="G14" s="202">
        <f t="shared" si="7"/>
        <v>0.01212435565</v>
      </c>
      <c r="H14" s="202">
        <f t="shared" si="7"/>
        <v>0.03208322511</v>
      </c>
      <c r="I14" s="202">
        <f t="shared" si="7"/>
        <v>0.007571877794</v>
      </c>
      <c r="J14" s="202">
        <f t="shared" si="7"/>
        <v>0.002309401077</v>
      </c>
      <c r="K14" s="202">
        <f t="shared" si="7"/>
        <v>0.02264950331</v>
      </c>
      <c r="L14" s="202">
        <f t="shared" si="7"/>
        <v>0.07742308011</v>
      </c>
      <c r="M14" s="202">
        <f t="shared" si="7"/>
        <v>0.02939954648</v>
      </c>
      <c r="N14" s="202">
        <f t="shared" si="7"/>
        <v>11.67618659</v>
      </c>
      <c r="O14" s="202">
        <f t="shared" si="7"/>
        <v>11.2398102</v>
      </c>
      <c r="P14" s="202">
        <f t="shared" si="7"/>
        <v>14.571662</v>
      </c>
      <c r="Q14" s="202">
        <f t="shared" si="7"/>
        <v>14.4222051</v>
      </c>
      <c r="R14" s="202"/>
      <c r="S14" s="202">
        <f t="shared" ref="S14:AD14" si="8">STDEV(S10:S12)</f>
        <v>0.01619670748</v>
      </c>
      <c r="T14" s="202">
        <f t="shared" si="8"/>
        <v>0.03421987726</v>
      </c>
      <c r="U14" s="202">
        <f t="shared" si="8"/>
        <v>0.06317436189</v>
      </c>
      <c r="V14" s="202">
        <f t="shared" si="8"/>
        <v>0.03955165399</v>
      </c>
      <c r="W14" s="202">
        <f t="shared" si="8"/>
        <v>0.04114608122</v>
      </c>
      <c r="X14" s="202">
        <f t="shared" si="8"/>
        <v>0.1015693523</v>
      </c>
      <c r="Y14" s="202">
        <f t="shared" si="8"/>
        <v>0.08055432949</v>
      </c>
      <c r="Z14" s="202">
        <f t="shared" si="8"/>
        <v>0.05038849075</v>
      </c>
      <c r="AA14" s="202">
        <f t="shared" si="8"/>
        <v>14.73091986</v>
      </c>
      <c r="AB14" s="202">
        <f t="shared" si="8"/>
        <v>15.0443788</v>
      </c>
      <c r="AC14" s="202">
        <f t="shared" si="8"/>
        <v>15.17673658</v>
      </c>
      <c r="AD14" s="202">
        <f t="shared" si="8"/>
        <v>14.73091986</v>
      </c>
    </row>
    <row r="15">
      <c r="A15" s="171" t="s">
        <v>65</v>
      </c>
      <c r="B15" s="88">
        <v>100.0</v>
      </c>
      <c r="C15" s="89" t="b">
        <v>1</v>
      </c>
      <c r="D15" s="89" t="s">
        <v>43</v>
      </c>
      <c r="E15" s="89" t="s">
        <v>44</v>
      </c>
      <c r="F15" s="172">
        <v>0.755</v>
      </c>
      <c r="G15" s="173">
        <v>0.741</v>
      </c>
      <c r="H15" s="173">
        <v>0.649</v>
      </c>
      <c r="I15" s="173">
        <v>0.725</v>
      </c>
      <c r="J15" s="173">
        <v>0.725</v>
      </c>
      <c r="K15" s="173">
        <v>0.338</v>
      </c>
      <c r="L15" s="173">
        <v>0.883</v>
      </c>
      <c r="M15" s="173">
        <v>0.776</v>
      </c>
      <c r="N15" s="174">
        <v>34.0</v>
      </c>
      <c r="O15" s="174">
        <v>48.0</v>
      </c>
      <c r="P15" s="174">
        <v>22.0</v>
      </c>
      <c r="Q15" s="174">
        <v>166.0</v>
      </c>
      <c r="R15" s="175"/>
      <c r="S15" s="176">
        <v>0.784</v>
      </c>
      <c r="T15" s="177">
        <v>0.711</v>
      </c>
      <c r="U15" s="177">
        <v>0.71</v>
      </c>
      <c r="V15" s="177">
        <v>0.721</v>
      </c>
      <c r="W15" s="177">
        <v>0.748</v>
      </c>
      <c r="X15" s="176">
        <v>0.392</v>
      </c>
      <c r="Y15" s="176">
        <v>0.713</v>
      </c>
      <c r="Z15" s="176">
        <v>0.848</v>
      </c>
      <c r="AA15" s="178">
        <v>58.0</v>
      </c>
      <c r="AB15" s="179">
        <v>24.0</v>
      </c>
      <c r="AC15" s="179">
        <v>54.0</v>
      </c>
      <c r="AD15" s="180">
        <v>134.0</v>
      </c>
    </row>
    <row r="16">
      <c r="A16" s="7"/>
      <c r="C16" s="99" t="b">
        <v>1</v>
      </c>
      <c r="D16" s="99" t="s">
        <v>43</v>
      </c>
      <c r="E16" s="99" t="s">
        <v>45</v>
      </c>
      <c r="F16" s="181">
        <v>0.75</v>
      </c>
      <c r="G16" s="182">
        <v>0.743</v>
      </c>
      <c r="H16" s="182">
        <v>0.637</v>
      </c>
      <c r="I16" s="182">
        <v>0.721</v>
      </c>
      <c r="J16" s="182">
        <v>0.726</v>
      </c>
      <c r="K16" s="182">
        <v>0.329</v>
      </c>
      <c r="L16" s="182">
        <v>0.904</v>
      </c>
      <c r="M16" s="182">
        <v>0.769</v>
      </c>
      <c r="N16" s="183">
        <v>30.0</v>
      </c>
      <c r="O16" s="183">
        <v>51.0</v>
      </c>
      <c r="P16" s="183">
        <v>18.0</v>
      </c>
      <c r="Q16" s="183">
        <v>170.0</v>
      </c>
      <c r="R16" s="184"/>
      <c r="S16" s="185">
        <v>0.713</v>
      </c>
      <c r="T16" s="186">
        <v>0.677</v>
      </c>
      <c r="U16" s="186">
        <v>0.653</v>
      </c>
      <c r="V16" s="186">
        <v>0.686</v>
      </c>
      <c r="W16" s="186">
        <v>0.702</v>
      </c>
      <c r="X16" s="185">
        <v>0.289</v>
      </c>
      <c r="Y16" s="185">
        <v>0.713</v>
      </c>
      <c r="Z16" s="185">
        <v>0.802</v>
      </c>
      <c r="AA16" s="187">
        <v>48.0</v>
      </c>
      <c r="AB16" s="188">
        <v>33.0</v>
      </c>
      <c r="AC16" s="188">
        <v>54.0</v>
      </c>
      <c r="AD16" s="189">
        <v>134.0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90">
        <v>0.712</v>
      </c>
      <c r="G17" s="191">
        <v>0.706</v>
      </c>
      <c r="H17" s="191">
        <v>0.518</v>
      </c>
      <c r="I17" s="191">
        <v>0.595</v>
      </c>
      <c r="J17" s="191">
        <v>0.794</v>
      </c>
      <c r="K17" s="191">
        <v>0.16</v>
      </c>
      <c r="L17" s="191">
        <v>1.0</v>
      </c>
      <c r="M17" s="191">
        <v>0.703</v>
      </c>
      <c r="N17" s="192">
        <v>3.0</v>
      </c>
      <c r="O17" s="192">
        <v>79.0</v>
      </c>
      <c r="P17" s="192">
        <v>0.0</v>
      </c>
      <c r="Q17" s="192">
        <v>187.0</v>
      </c>
      <c r="R17" s="193"/>
      <c r="S17" s="194">
        <v>0.786</v>
      </c>
      <c r="T17" s="195">
        <v>0.725</v>
      </c>
      <c r="U17" s="195">
        <v>0.665</v>
      </c>
      <c r="V17" s="195">
        <v>0.722</v>
      </c>
      <c r="W17" s="195">
        <v>0.72</v>
      </c>
      <c r="X17" s="194">
        <v>0.338</v>
      </c>
      <c r="Y17" s="194">
        <v>0.818</v>
      </c>
      <c r="Z17" s="194">
        <v>0.793</v>
      </c>
      <c r="AA17" s="196">
        <v>42.0</v>
      </c>
      <c r="AB17" s="197">
        <v>40.0</v>
      </c>
      <c r="AC17" s="197">
        <v>34.0</v>
      </c>
      <c r="AD17" s="198">
        <v>153.0</v>
      </c>
    </row>
    <row r="18">
      <c r="A18" s="7"/>
      <c r="B18" s="114" t="s">
        <v>47</v>
      </c>
      <c r="C18" s="30"/>
      <c r="D18" s="30"/>
      <c r="E18" s="72"/>
      <c r="F18" s="199">
        <f t="shared" ref="F18:Q18" si="9">AVERAGE(F15:F17)</f>
        <v>0.739</v>
      </c>
      <c r="G18" s="199">
        <f t="shared" si="9"/>
        <v>0.73</v>
      </c>
      <c r="H18" s="199">
        <f t="shared" si="9"/>
        <v>0.6013333333</v>
      </c>
      <c r="I18" s="199">
        <f t="shared" si="9"/>
        <v>0.6803333333</v>
      </c>
      <c r="J18" s="161">
        <f t="shared" si="9"/>
        <v>0.7483333333</v>
      </c>
      <c r="K18" s="199">
        <f t="shared" si="9"/>
        <v>0.2756666667</v>
      </c>
      <c r="L18" s="161">
        <f t="shared" si="9"/>
        <v>0.929</v>
      </c>
      <c r="M18" s="199">
        <f t="shared" si="9"/>
        <v>0.7493333333</v>
      </c>
      <c r="N18" s="199">
        <f t="shared" si="9"/>
        <v>22.33333333</v>
      </c>
      <c r="O18" s="199">
        <f t="shared" si="9"/>
        <v>59.33333333</v>
      </c>
      <c r="P18" s="161">
        <f t="shared" si="9"/>
        <v>13.33333333</v>
      </c>
      <c r="Q18" s="161">
        <f t="shared" si="9"/>
        <v>174.3333333</v>
      </c>
      <c r="R18" s="200"/>
      <c r="S18" s="199">
        <f t="shared" ref="S18:AD18" si="10">AVERAGE(S15:S17)</f>
        <v>0.761</v>
      </c>
      <c r="T18" s="199">
        <f t="shared" si="10"/>
        <v>0.7043333333</v>
      </c>
      <c r="U18" s="199">
        <f t="shared" si="10"/>
        <v>0.676</v>
      </c>
      <c r="V18" s="199">
        <f t="shared" si="10"/>
        <v>0.7096666667</v>
      </c>
      <c r="W18" s="199">
        <f t="shared" si="10"/>
        <v>0.7233333333</v>
      </c>
      <c r="X18" s="199">
        <f t="shared" si="10"/>
        <v>0.3396666667</v>
      </c>
      <c r="Y18" s="199">
        <f t="shared" si="10"/>
        <v>0.748</v>
      </c>
      <c r="Z18" s="199">
        <f t="shared" si="10"/>
        <v>0.8143333333</v>
      </c>
      <c r="AA18" s="199">
        <f t="shared" si="10"/>
        <v>49.33333333</v>
      </c>
      <c r="AB18" s="199">
        <f t="shared" si="10"/>
        <v>32.33333333</v>
      </c>
      <c r="AC18" s="199">
        <f t="shared" si="10"/>
        <v>47.33333333</v>
      </c>
      <c r="AD18" s="201">
        <f t="shared" si="10"/>
        <v>140.3333333</v>
      </c>
    </row>
    <row r="19">
      <c r="A19" s="119"/>
      <c r="B19" s="120" t="s">
        <v>48</v>
      </c>
      <c r="C19" s="121"/>
      <c r="D19" s="121"/>
      <c r="E19" s="122"/>
      <c r="F19" s="202">
        <f t="shared" ref="F19:Q19" si="11">STDEV(F15:F17)</f>
        <v>0.02351595203</v>
      </c>
      <c r="G19" s="202">
        <f t="shared" si="11"/>
        <v>0.02080865205</v>
      </c>
      <c r="H19" s="202">
        <f t="shared" si="11"/>
        <v>0.07241776946</v>
      </c>
      <c r="I19" s="202">
        <f t="shared" si="11"/>
        <v>0.0739278928</v>
      </c>
      <c r="J19" s="202">
        <f t="shared" si="11"/>
        <v>0.03955165399</v>
      </c>
      <c r="K19" s="202">
        <f t="shared" si="11"/>
        <v>0.1002712987</v>
      </c>
      <c r="L19" s="202">
        <f t="shared" si="11"/>
        <v>0.0623778807</v>
      </c>
      <c r="M19" s="202">
        <f t="shared" si="11"/>
        <v>0.04027819923</v>
      </c>
      <c r="N19" s="202">
        <f t="shared" si="11"/>
        <v>16.86218649</v>
      </c>
      <c r="O19" s="202">
        <f t="shared" si="11"/>
        <v>17.09775814</v>
      </c>
      <c r="P19" s="202">
        <f t="shared" si="11"/>
        <v>11.71893055</v>
      </c>
      <c r="Q19" s="202">
        <f t="shared" si="11"/>
        <v>11.15048579</v>
      </c>
      <c r="R19" s="202"/>
      <c r="S19" s="202">
        <f t="shared" ref="S19:AD19" si="12">STDEV(S15:S17)</f>
        <v>0.04158124577</v>
      </c>
      <c r="T19" s="202">
        <f t="shared" si="12"/>
        <v>0.02468467811</v>
      </c>
      <c r="U19" s="202">
        <f t="shared" si="12"/>
        <v>0.0300499584</v>
      </c>
      <c r="V19" s="202">
        <f t="shared" si="12"/>
        <v>0.02050203242</v>
      </c>
      <c r="W19" s="202">
        <f t="shared" si="12"/>
        <v>0.02318045153</v>
      </c>
      <c r="X19" s="202">
        <f t="shared" si="12"/>
        <v>0.05152022257</v>
      </c>
      <c r="Y19" s="202">
        <f t="shared" si="12"/>
        <v>0.06062177826</v>
      </c>
      <c r="Z19" s="202">
        <f t="shared" si="12"/>
        <v>0.0295014124</v>
      </c>
      <c r="AA19" s="202">
        <f t="shared" si="12"/>
        <v>8.082903769</v>
      </c>
      <c r="AB19" s="202">
        <f t="shared" si="12"/>
        <v>8.020806277</v>
      </c>
      <c r="AC19" s="202">
        <f t="shared" si="12"/>
        <v>11.54700538</v>
      </c>
      <c r="AD19" s="202">
        <f t="shared" si="12"/>
        <v>10.96965511</v>
      </c>
    </row>
    <row r="20">
      <c r="A20" s="171" t="s">
        <v>65</v>
      </c>
      <c r="B20" s="88">
        <v>2025.0</v>
      </c>
      <c r="C20" s="89" t="b">
        <v>1</v>
      </c>
      <c r="D20" s="89" t="s">
        <v>43</v>
      </c>
      <c r="E20" s="89" t="s">
        <v>44</v>
      </c>
      <c r="F20" s="172">
        <v>0.755</v>
      </c>
      <c r="G20" s="173">
        <v>0.681</v>
      </c>
      <c r="H20" s="173">
        <v>0.685</v>
      </c>
      <c r="I20" s="173">
        <v>0.693</v>
      </c>
      <c r="J20" s="173">
        <v>0.728</v>
      </c>
      <c r="K20" s="173">
        <v>0.344</v>
      </c>
      <c r="L20" s="173">
        <v>0.676</v>
      </c>
      <c r="M20" s="173">
        <v>0.836</v>
      </c>
      <c r="N20" s="174">
        <v>57.0</v>
      </c>
      <c r="O20" s="174">
        <v>25.0</v>
      </c>
      <c r="P20" s="174">
        <v>61.0</v>
      </c>
      <c r="Q20" s="174">
        <v>127.0</v>
      </c>
      <c r="R20" s="175"/>
      <c r="S20" s="176">
        <v>0.758</v>
      </c>
      <c r="T20" s="177">
        <v>0.737</v>
      </c>
      <c r="U20" s="177">
        <v>0.653</v>
      </c>
      <c r="V20" s="177">
        <v>0.725</v>
      </c>
      <c r="W20" s="177">
        <v>0.722</v>
      </c>
      <c r="X20" s="176">
        <v>0.337</v>
      </c>
      <c r="Y20" s="176">
        <v>0.867</v>
      </c>
      <c r="Z20" s="176">
        <v>0.78</v>
      </c>
      <c r="AA20" s="178">
        <v>36.0</v>
      </c>
      <c r="AB20" s="179">
        <v>46.0</v>
      </c>
      <c r="AC20" s="179">
        <v>25.0</v>
      </c>
      <c r="AD20" s="180">
        <v>163.0</v>
      </c>
    </row>
    <row r="21">
      <c r="A21" s="7"/>
      <c r="C21" s="99" t="b">
        <v>1</v>
      </c>
      <c r="D21" s="99" t="s">
        <v>43</v>
      </c>
      <c r="E21" s="99" t="s">
        <v>45</v>
      </c>
      <c r="F21" s="181">
        <v>0.726</v>
      </c>
      <c r="G21" s="182">
        <v>0.743</v>
      </c>
      <c r="H21" s="182">
        <v>0.634</v>
      </c>
      <c r="I21" s="182">
        <v>0.719</v>
      </c>
      <c r="J21" s="182">
        <v>0.726</v>
      </c>
      <c r="K21" s="182">
        <v>0.326</v>
      </c>
      <c r="L21" s="182">
        <v>0.91</v>
      </c>
      <c r="M21" s="182">
        <v>0.767</v>
      </c>
      <c r="N21" s="183">
        <v>29.0</v>
      </c>
      <c r="O21" s="183">
        <v>52.0</v>
      </c>
      <c r="P21" s="183">
        <v>17.0</v>
      </c>
      <c r="Q21" s="183">
        <v>171.0</v>
      </c>
      <c r="R21" s="184"/>
      <c r="S21" s="185">
        <v>0.736</v>
      </c>
      <c r="T21" s="186">
        <v>0.688</v>
      </c>
      <c r="U21" s="186">
        <v>0.661</v>
      </c>
      <c r="V21" s="186">
        <v>0.695</v>
      </c>
      <c r="W21" s="186">
        <v>0.709</v>
      </c>
      <c r="X21" s="185">
        <v>0.306</v>
      </c>
      <c r="Y21" s="185">
        <v>0.729</v>
      </c>
      <c r="Z21" s="185">
        <v>0.806</v>
      </c>
      <c r="AA21" s="187">
        <v>48.0</v>
      </c>
      <c r="AB21" s="188">
        <v>33.0</v>
      </c>
      <c r="AC21" s="188">
        <v>51.0</v>
      </c>
      <c r="AD21" s="189">
        <v>137.0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90">
        <v>0.792</v>
      </c>
      <c r="G22" s="191">
        <v>0.703</v>
      </c>
      <c r="H22" s="191">
        <v>0.557</v>
      </c>
      <c r="I22" s="191">
        <v>0.648</v>
      </c>
      <c r="J22" s="191">
        <v>0.665</v>
      </c>
      <c r="K22" s="191">
        <v>0.171</v>
      </c>
      <c r="L22" s="191">
        <v>0.93</v>
      </c>
      <c r="M22" s="191">
        <v>0.722</v>
      </c>
      <c r="N22" s="192">
        <v>15.0</v>
      </c>
      <c r="O22" s="192">
        <v>67.0</v>
      </c>
      <c r="P22" s="192">
        <v>13.0</v>
      </c>
      <c r="Q22" s="192">
        <v>174.0</v>
      </c>
      <c r="R22" s="193"/>
      <c r="S22" s="194">
        <v>0.778</v>
      </c>
      <c r="T22" s="195">
        <v>0.721</v>
      </c>
      <c r="U22" s="195">
        <v>0.686</v>
      </c>
      <c r="V22" s="195">
        <v>0.725</v>
      </c>
      <c r="W22" s="195">
        <v>0.73</v>
      </c>
      <c r="X22" s="194">
        <v>0.363</v>
      </c>
      <c r="Y22" s="194">
        <v>0.775</v>
      </c>
      <c r="Z22" s="194">
        <v>0.815</v>
      </c>
      <c r="AA22" s="196">
        <v>49.0</v>
      </c>
      <c r="AB22" s="197">
        <v>33.0</v>
      </c>
      <c r="AC22" s="197">
        <v>42.0</v>
      </c>
      <c r="AD22" s="198">
        <v>145.0</v>
      </c>
    </row>
    <row r="23">
      <c r="A23" s="7"/>
      <c r="B23" s="114" t="s">
        <v>47</v>
      </c>
      <c r="C23" s="30"/>
      <c r="D23" s="30"/>
      <c r="E23" s="72"/>
      <c r="F23" s="199">
        <f t="shared" ref="F23:Q23" si="13">AVERAGE(F20:F22)</f>
        <v>0.7576666667</v>
      </c>
      <c r="G23" s="199">
        <f t="shared" si="13"/>
        <v>0.709</v>
      </c>
      <c r="H23" s="199">
        <f t="shared" si="13"/>
        <v>0.6253333333</v>
      </c>
      <c r="I23" s="199">
        <f t="shared" si="13"/>
        <v>0.6866666667</v>
      </c>
      <c r="J23" s="199">
        <f t="shared" si="13"/>
        <v>0.7063333333</v>
      </c>
      <c r="K23" s="199">
        <f t="shared" si="13"/>
        <v>0.2803333333</v>
      </c>
      <c r="L23" s="199">
        <f t="shared" si="13"/>
        <v>0.8386666667</v>
      </c>
      <c r="M23" s="199">
        <f t="shared" si="13"/>
        <v>0.775</v>
      </c>
      <c r="N23" s="199">
        <f t="shared" si="13"/>
        <v>33.66666667</v>
      </c>
      <c r="O23" s="199">
        <f t="shared" si="13"/>
        <v>48</v>
      </c>
      <c r="P23" s="199">
        <f t="shared" si="13"/>
        <v>30.33333333</v>
      </c>
      <c r="Q23" s="199">
        <f t="shared" si="13"/>
        <v>157.3333333</v>
      </c>
      <c r="R23" s="200"/>
      <c r="S23" s="199">
        <f t="shared" ref="S23:AD23" si="14">AVERAGE(S20:S22)</f>
        <v>0.7573333333</v>
      </c>
      <c r="T23" s="199">
        <f t="shared" si="14"/>
        <v>0.7153333333</v>
      </c>
      <c r="U23" s="199">
        <f t="shared" si="14"/>
        <v>0.6666666667</v>
      </c>
      <c r="V23" s="199">
        <f t="shared" si="14"/>
        <v>0.715</v>
      </c>
      <c r="W23" s="199">
        <f t="shared" si="14"/>
        <v>0.7203333333</v>
      </c>
      <c r="X23" s="199">
        <f t="shared" si="14"/>
        <v>0.3353333333</v>
      </c>
      <c r="Y23" s="199">
        <f t="shared" si="14"/>
        <v>0.7903333333</v>
      </c>
      <c r="Z23" s="199">
        <f t="shared" si="14"/>
        <v>0.8003333333</v>
      </c>
      <c r="AA23" s="199">
        <f t="shared" si="14"/>
        <v>44.33333333</v>
      </c>
      <c r="AB23" s="199">
        <f t="shared" si="14"/>
        <v>37.33333333</v>
      </c>
      <c r="AC23" s="199">
        <f t="shared" si="14"/>
        <v>39.33333333</v>
      </c>
      <c r="AD23" s="201">
        <f t="shared" si="14"/>
        <v>148.3333333</v>
      </c>
    </row>
    <row r="24">
      <c r="A24" s="119"/>
      <c r="B24" s="120" t="s">
        <v>48</v>
      </c>
      <c r="C24" s="121"/>
      <c r="D24" s="121"/>
      <c r="E24" s="122"/>
      <c r="F24" s="202">
        <f t="shared" ref="F24:Q24" si="15">STDEV(F20:F22)</f>
        <v>0.03308070938</v>
      </c>
      <c r="G24" s="202">
        <f t="shared" si="15"/>
        <v>0.03143246729</v>
      </c>
      <c r="H24" s="202">
        <f t="shared" si="15"/>
        <v>0.06443860127</v>
      </c>
      <c r="I24" s="202">
        <f t="shared" si="15"/>
        <v>0.03592121008</v>
      </c>
      <c r="J24" s="202">
        <f t="shared" si="15"/>
        <v>0.03580968212</v>
      </c>
      <c r="K24" s="202">
        <f t="shared" si="15"/>
        <v>0.09511221443</v>
      </c>
      <c r="L24" s="202">
        <f t="shared" si="15"/>
        <v>0.1412279481</v>
      </c>
      <c r="M24" s="202">
        <f t="shared" si="15"/>
        <v>0.05741950888</v>
      </c>
      <c r="N24" s="202">
        <f t="shared" si="15"/>
        <v>21.38535324</v>
      </c>
      <c r="O24" s="202">
        <f t="shared" si="15"/>
        <v>21.28379665</v>
      </c>
      <c r="P24" s="202">
        <f t="shared" si="15"/>
        <v>26.63331247</v>
      </c>
      <c r="Q24" s="202">
        <f t="shared" si="15"/>
        <v>26.31222783</v>
      </c>
      <c r="R24" s="202"/>
      <c r="S24" s="202">
        <f t="shared" ref="S24:AD24" si="16">STDEV(S20:S22)</f>
        <v>0.02100793501</v>
      </c>
      <c r="T24" s="202">
        <f t="shared" si="16"/>
        <v>0.02498666311</v>
      </c>
      <c r="U24" s="202">
        <f t="shared" si="16"/>
        <v>0.01721433511</v>
      </c>
      <c r="V24" s="202">
        <f t="shared" si="16"/>
        <v>0.01732050808</v>
      </c>
      <c r="W24" s="202">
        <f t="shared" si="16"/>
        <v>0.01059874206</v>
      </c>
      <c r="X24" s="202">
        <f t="shared" si="16"/>
        <v>0.0285365263</v>
      </c>
      <c r="Y24" s="202">
        <f t="shared" si="16"/>
        <v>0.07026616066</v>
      </c>
      <c r="Z24" s="202">
        <f t="shared" si="16"/>
        <v>0.01817507451</v>
      </c>
      <c r="AA24" s="202">
        <f t="shared" si="16"/>
        <v>7.234178138</v>
      </c>
      <c r="AB24" s="202">
        <f t="shared" si="16"/>
        <v>7.505553499</v>
      </c>
      <c r="AC24" s="202">
        <f t="shared" si="16"/>
        <v>13.20353488</v>
      </c>
      <c r="AD24" s="202">
        <f t="shared" si="16"/>
        <v>13.31665624</v>
      </c>
    </row>
    <row r="25">
      <c r="A25" s="171" t="s">
        <v>65</v>
      </c>
      <c r="B25" s="88">
        <v>21.0</v>
      </c>
      <c r="C25" s="89" t="b">
        <v>1</v>
      </c>
      <c r="D25" s="89" t="s">
        <v>43</v>
      </c>
      <c r="E25" s="89" t="s">
        <v>44</v>
      </c>
      <c r="F25" s="172">
        <v>0.732</v>
      </c>
      <c r="G25" s="173">
        <v>0.719</v>
      </c>
      <c r="H25" s="173">
        <v>0.557</v>
      </c>
      <c r="I25" s="173">
        <v>0.649</v>
      </c>
      <c r="J25" s="173">
        <v>0.705</v>
      </c>
      <c r="K25" s="173">
        <v>0.211</v>
      </c>
      <c r="L25" s="173">
        <v>0.968</v>
      </c>
      <c r="M25" s="173">
        <v>0.722</v>
      </c>
      <c r="N25" s="174">
        <v>12.0</v>
      </c>
      <c r="O25" s="174">
        <v>70.0</v>
      </c>
      <c r="P25" s="174">
        <v>6.0</v>
      </c>
      <c r="Q25" s="174">
        <v>182.0</v>
      </c>
      <c r="R25" s="175"/>
      <c r="S25" s="176">
        <v>0.748</v>
      </c>
      <c r="T25" s="177">
        <v>0.678</v>
      </c>
      <c r="U25" s="177">
        <v>0.669</v>
      </c>
      <c r="V25" s="177">
        <v>0.689</v>
      </c>
      <c r="W25" s="177">
        <v>0.714</v>
      </c>
      <c r="X25" s="176">
        <v>0.316</v>
      </c>
      <c r="Y25" s="176">
        <v>0.691</v>
      </c>
      <c r="Z25" s="176">
        <v>0.818</v>
      </c>
      <c r="AA25" s="178">
        <v>53.0</v>
      </c>
      <c r="AB25" s="179">
        <v>29.0</v>
      </c>
      <c r="AC25" s="179">
        <v>58.0</v>
      </c>
      <c r="AD25" s="180">
        <v>130.0</v>
      </c>
    </row>
    <row r="26">
      <c r="A26" s="7"/>
      <c r="C26" s="99" t="b">
        <v>1</v>
      </c>
      <c r="D26" s="99" t="s">
        <v>43</v>
      </c>
      <c r="E26" s="99" t="s">
        <v>45</v>
      </c>
      <c r="F26" s="181">
        <v>0.74</v>
      </c>
      <c r="G26" s="182">
        <v>0.736</v>
      </c>
      <c r="H26" s="182">
        <v>0.674</v>
      </c>
      <c r="I26" s="182">
        <v>0.733</v>
      </c>
      <c r="J26" s="182">
        <v>0.73</v>
      </c>
      <c r="K26" s="182">
        <v>0.358</v>
      </c>
      <c r="L26" s="182">
        <v>0.83</v>
      </c>
      <c r="M26" s="182">
        <v>0.8</v>
      </c>
      <c r="N26" s="183">
        <v>42.0</v>
      </c>
      <c r="O26" s="183">
        <v>39.0</v>
      </c>
      <c r="P26" s="183">
        <v>32.0</v>
      </c>
      <c r="Q26" s="183">
        <v>156.0</v>
      </c>
      <c r="R26" s="184"/>
      <c r="S26" s="185">
        <v>0.741</v>
      </c>
      <c r="T26" s="186">
        <v>0.71</v>
      </c>
      <c r="U26" s="186">
        <v>0.641</v>
      </c>
      <c r="V26" s="186">
        <v>0.706</v>
      </c>
      <c r="W26" s="186">
        <v>0.702</v>
      </c>
      <c r="X26" s="185">
        <v>0.292</v>
      </c>
      <c r="Y26" s="185">
        <v>0.814</v>
      </c>
      <c r="Z26" s="185">
        <v>0.781</v>
      </c>
      <c r="AA26" s="187">
        <v>38.0</v>
      </c>
      <c r="AB26" s="188">
        <v>43.0</v>
      </c>
      <c r="AC26" s="188">
        <v>35.0</v>
      </c>
      <c r="AD26" s="189">
        <v>153.0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90">
        <v>0.784</v>
      </c>
      <c r="G27" s="191">
        <v>0.736</v>
      </c>
      <c r="H27" s="191">
        <v>0.653</v>
      </c>
      <c r="I27" s="191">
        <v>0.724</v>
      </c>
      <c r="J27" s="191">
        <v>0.721</v>
      </c>
      <c r="K27" s="191">
        <v>0.336</v>
      </c>
      <c r="L27" s="191">
        <v>0.866</v>
      </c>
      <c r="M27" s="191">
        <v>0.779</v>
      </c>
      <c r="N27" s="192">
        <v>36.0</v>
      </c>
      <c r="O27" s="192">
        <v>46.0</v>
      </c>
      <c r="P27" s="192">
        <v>25.0</v>
      </c>
      <c r="Q27" s="192">
        <v>162.0</v>
      </c>
      <c r="R27" s="193"/>
      <c r="S27" s="194">
        <v>0.782</v>
      </c>
      <c r="T27" s="195">
        <v>0.74</v>
      </c>
      <c r="U27" s="195">
        <v>0.683</v>
      </c>
      <c r="V27" s="195">
        <v>0.737</v>
      </c>
      <c r="W27" s="195">
        <v>0.735</v>
      </c>
      <c r="X27" s="194">
        <v>0.374</v>
      </c>
      <c r="Y27" s="194">
        <v>0.829</v>
      </c>
      <c r="Z27" s="194">
        <v>0.803</v>
      </c>
      <c r="AA27" s="196">
        <v>44.0</v>
      </c>
      <c r="AB27" s="197">
        <v>38.0</v>
      </c>
      <c r="AC27" s="197">
        <v>32.0</v>
      </c>
      <c r="AD27" s="198">
        <v>155.0</v>
      </c>
    </row>
    <row r="28">
      <c r="A28" s="7"/>
      <c r="B28" s="114" t="s">
        <v>47</v>
      </c>
      <c r="C28" s="30"/>
      <c r="D28" s="30"/>
      <c r="E28" s="72"/>
      <c r="F28" s="199">
        <f t="shared" ref="F28:Q28" si="17">AVERAGE(F25:F27)</f>
        <v>0.752</v>
      </c>
      <c r="G28" s="199">
        <f t="shared" si="17"/>
        <v>0.7303333333</v>
      </c>
      <c r="H28" s="117">
        <f t="shared" si="17"/>
        <v>0.628</v>
      </c>
      <c r="I28" s="117">
        <f t="shared" si="17"/>
        <v>0.702</v>
      </c>
      <c r="J28" s="115">
        <f t="shared" si="17"/>
        <v>0.7186666667</v>
      </c>
      <c r="K28" s="117">
        <f t="shared" si="17"/>
        <v>0.3016666667</v>
      </c>
      <c r="L28" s="115">
        <f t="shared" si="17"/>
        <v>0.888</v>
      </c>
      <c r="M28" s="117">
        <f t="shared" si="17"/>
        <v>0.767</v>
      </c>
      <c r="N28" s="117">
        <f t="shared" si="17"/>
        <v>30</v>
      </c>
      <c r="O28" s="117">
        <f t="shared" si="17"/>
        <v>51.66666667</v>
      </c>
      <c r="P28" s="199">
        <f t="shared" si="17"/>
        <v>21</v>
      </c>
      <c r="Q28" s="199">
        <f t="shared" si="17"/>
        <v>166.6666667</v>
      </c>
      <c r="R28" s="200"/>
      <c r="S28" s="199">
        <f t="shared" ref="S28:AD28" si="18">AVERAGE(S25:S27)</f>
        <v>0.757</v>
      </c>
      <c r="T28" s="199">
        <f t="shared" si="18"/>
        <v>0.7093333333</v>
      </c>
      <c r="U28" s="199">
        <f t="shared" si="18"/>
        <v>0.6643333333</v>
      </c>
      <c r="V28" s="199">
        <f t="shared" si="18"/>
        <v>0.7106666667</v>
      </c>
      <c r="W28" s="199">
        <f t="shared" si="18"/>
        <v>0.717</v>
      </c>
      <c r="X28" s="199">
        <f t="shared" si="18"/>
        <v>0.3273333333</v>
      </c>
      <c r="Y28" s="199">
        <f t="shared" si="18"/>
        <v>0.778</v>
      </c>
      <c r="Z28" s="199">
        <f t="shared" si="18"/>
        <v>0.8006666667</v>
      </c>
      <c r="AA28" s="199">
        <f t="shared" si="18"/>
        <v>45</v>
      </c>
      <c r="AB28" s="199">
        <f t="shared" si="18"/>
        <v>36.66666667</v>
      </c>
      <c r="AC28" s="199">
        <f t="shared" si="18"/>
        <v>41.66666667</v>
      </c>
      <c r="AD28" s="201">
        <f t="shared" si="18"/>
        <v>146</v>
      </c>
    </row>
    <row r="29">
      <c r="A29" s="119"/>
      <c r="B29" s="120" t="s">
        <v>48</v>
      </c>
      <c r="C29" s="121"/>
      <c r="D29" s="121"/>
      <c r="E29" s="122"/>
      <c r="F29" s="202">
        <f t="shared" ref="F29:Q29" si="19">STDEV(F25:F27)</f>
        <v>0.028</v>
      </c>
      <c r="G29" s="202">
        <f t="shared" si="19"/>
        <v>0.009814954576</v>
      </c>
      <c r="H29" s="202">
        <f t="shared" si="19"/>
        <v>0.0623778807</v>
      </c>
      <c r="I29" s="202">
        <f t="shared" si="19"/>
        <v>0.04611941023</v>
      </c>
      <c r="J29" s="202">
        <f t="shared" si="19"/>
        <v>0.01266227994</v>
      </c>
      <c r="K29" s="202">
        <f t="shared" si="19"/>
        <v>0.07928640068</v>
      </c>
      <c r="L29" s="202">
        <f t="shared" si="19"/>
        <v>0.07158212067</v>
      </c>
      <c r="M29" s="202">
        <f t="shared" si="19"/>
        <v>0.04036087214</v>
      </c>
      <c r="N29" s="202">
        <f t="shared" si="19"/>
        <v>15.87450787</v>
      </c>
      <c r="O29" s="202">
        <f t="shared" si="19"/>
        <v>16.2583312</v>
      </c>
      <c r="P29" s="202">
        <f t="shared" si="19"/>
        <v>13.45362405</v>
      </c>
      <c r="Q29" s="202">
        <f t="shared" si="19"/>
        <v>13.61371857</v>
      </c>
      <c r="R29" s="202"/>
      <c r="S29" s="202">
        <f t="shared" ref="S29:AD29" si="20">STDEV(S25:S27)</f>
        <v>0.0219317122</v>
      </c>
      <c r="T29" s="202">
        <f t="shared" si="20"/>
        <v>0.03100537588</v>
      </c>
      <c r="U29" s="202">
        <f t="shared" si="20"/>
        <v>0.02138535324</v>
      </c>
      <c r="V29" s="202">
        <f t="shared" si="20"/>
        <v>0.02433789912</v>
      </c>
      <c r="W29" s="202">
        <f t="shared" si="20"/>
        <v>0.01670329309</v>
      </c>
      <c r="X29" s="202">
        <f t="shared" si="20"/>
        <v>0.04215843134</v>
      </c>
      <c r="Y29" s="202">
        <f t="shared" si="20"/>
        <v>0.07571657678</v>
      </c>
      <c r="Z29" s="202">
        <f t="shared" si="20"/>
        <v>0.01861003314</v>
      </c>
      <c r="AA29" s="202">
        <f t="shared" si="20"/>
        <v>7.549834435</v>
      </c>
      <c r="AB29" s="202">
        <f t="shared" si="20"/>
        <v>7.094598885</v>
      </c>
      <c r="AC29" s="202">
        <f t="shared" si="20"/>
        <v>14.2243922</v>
      </c>
      <c r="AD29" s="202">
        <f t="shared" si="20"/>
        <v>13.89244399</v>
      </c>
    </row>
    <row r="30">
      <c r="A30" s="171" t="s">
        <v>65</v>
      </c>
      <c r="B30" s="88">
        <v>336.0</v>
      </c>
      <c r="C30" s="89" t="b">
        <v>1</v>
      </c>
      <c r="D30" s="89" t="s">
        <v>43</v>
      </c>
      <c r="E30" s="89" t="s">
        <v>44</v>
      </c>
      <c r="F30" s="172">
        <v>0.741</v>
      </c>
      <c r="G30" s="173">
        <v>0.73</v>
      </c>
      <c r="H30" s="173">
        <v>0.696</v>
      </c>
      <c r="I30" s="173">
        <v>0.733</v>
      </c>
      <c r="J30" s="173">
        <v>0.739</v>
      </c>
      <c r="K30" s="173">
        <v>0.381</v>
      </c>
      <c r="L30" s="173">
        <v>0.782</v>
      </c>
      <c r="M30" s="173">
        <v>0.821</v>
      </c>
      <c r="N30" s="174">
        <v>50.0</v>
      </c>
      <c r="O30" s="174">
        <v>32.0</v>
      </c>
      <c r="P30" s="174">
        <v>41.0</v>
      </c>
      <c r="Q30" s="174">
        <v>147.0</v>
      </c>
      <c r="R30" s="175"/>
      <c r="S30" s="176">
        <v>0.774</v>
      </c>
      <c r="T30" s="177">
        <v>0.73</v>
      </c>
      <c r="U30" s="177">
        <v>0.706</v>
      </c>
      <c r="V30" s="177">
        <v>0.735</v>
      </c>
      <c r="W30" s="177">
        <v>0.746</v>
      </c>
      <c r="X30" s="176">
        <v>0.395</v>
      </c>
      <c r="Y30" s="176">
        <v>0.766</v>
      </c>
      <c r="Z30" s="176">
        <v>0.832</v>
      </c>
      <c r="AA30" s="178">
        <v>53.0</v>
      </c>
      <c r="AB30" s="179">
        <v>29.0</v>
      </c>
      <c r="AC30" s="179">
        <v>44.0</v>
      </c>
      <c r="AD30" s="180">
        <v>144.0</v>
      </c>
    </row>
    <row r="31">
      <c r="A31" s="7"/>
      <c r="C31" s="99" t="b">
        <v>1</v>
      </c>
      <c r="D31" s="99" t="s">
        <v>43</v>
      </c>
      <c r="E31" s="99" t="s">
        <v>45</v>
      </c>
      <c r="F31" s="181">
        <v>0.736</v>
      </c>
      <c r="G31" s="182">
        <v>0.732</v>
      </c>
      <c r="H31" s="182">
        <v>0.657</v>
      </c>
      <c r="I31" s="182">
        <v>0.724</v>
      </c>
      <c r="J31" s="182">
        <v>0.721</v>
      </c>
      <c r="K31" s="182">
        <v>0.334</v>
      </c>
      <c r="L31" s="182">
        <v>0.846</v>
      </c>
      <c r="M31" s="182">
        <v>0.787</v>
      </c>
      <c r="N31" s="183">
        <v>38.0</v>
      </c>
      <c r="O31" s="183">
        <v>43.0</v>
      </c>
      <c r="P31" s="183">
        <v>29.0</v>
      </c>
      <c r="Q31" s="183">
        <v>159.0</v>
      </c>
      <c r="R31" s="184"/>
      <c r="S31" s="185">
        <v>0.721</v>
      </c>
      <c r="T31" s="186">
        <v>0.721</v>
      </c>
      <c r="U31" s="186">
        <v>0.646</v>
      </c>
      <c r="V31" s="186">
        <v>0.714</v>
      </c>
      <c r="W31" s="186">
        <v>0.71</v>
      </c>
      <c r="X31" s="185">
        <v>0.308</v>
      </c>
      <c r="Y31" s="185">
        <v>0.835</v>
      </c>
      <c r="Z31" s="185">
        <v>0.781</v>
      </c>
      <c r="AA31" s="187">
        <v>37.0</v>
      </c>
      <c r="AB31" s="188">
        <v>44.0</v>
      </c>
      <c r="AC31" s="188">
        <v>31.0</v>
      </c>
      <c r="AD31" s="189">
        <v>157.0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90">
        <v>0.786</v>
      </c>
      <c r="G32" s="191">
        <v>0.74</v>
      </c>
      <c r="H32" s="191">
        <v>0.638</v>
      </c>
      <c r="I32" s="191">
        <v>0.718</v>
      </c>
      <c r="J32" s="191">
        <v>0.722</v>
      </c>
      <c r="K32" s="191">
        <v>0.327</v>
      </c>
      <c r="L32" s="191">
        <v>0.898</v>
      </c>
      <c r="M32" s="191">
        <v>0.767</v>
      </c>
      <c r="N32" s="192">
        <v>31.0</v>
      </c>
      <c r="O32" s="192">
        <v>51.0</v>
      </c>
      <c r="P32" s="192">
        <v>19.0</v>
      </c>
      <c r="Q32" s="192">
        <v>168.0</v>
      </c>
      <c r="R32" s="193"/>
      <c r="S32" s="194">
        <v>0.782</v>
      </c>
      <c r="T32" s="195">
        <v>0.732</v>
      </c>
      <c r="U32" s="195">
        <v>0.671</v>
      </c>
      <c r="V32" s="195">
        <v>0.728</v>
      </c>
      <c r="W32" s="195">
        <v>0.726</v>
      </c>
      <c r="X32" s="194">
        <v>0.352</v>
      </c>
      <c r="Y32" s="194">
        <v>0.829</v>
      </c>
      <c r="Z32" s="194">
        <v>0.795</v>
      </c>
      <c r="AA32" s="196">
        <v>42.0</v>
      </c>
      <c r="AB32" s="197">
        <v>40.0</v>
      </c>
      <c r="AC32" s="197">
        <v>32.0</v>
      </c>
      <c r="AD32" s="198">
        <v>155.0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0.7543333333</v>
      </c>
      <c r="G33" s="115">
        <f t="shared" si="21"/>
        <v>0.734</v>
      </c>
      <c r="H33" s="115">
        <f t="shared" si="21"/>
        <v>0.6636666667</v>
      </c>
      <c r="I33" s="115">
        <f t="shared" si="21"/>
        <v>0.725</v>
      </c>
      <c r="J33" s="117">
        <f t="shared" si="21"/>
        <v>0.7273333333</v>
      </c>
      <c r="K33" s="199">
        <f t="shared" si="21"/>
        <v>0.3473333333</v>
      </c>
      <c r="L33" s="199">
        <f t="shared" si="21"/>
        <v>0.842</v>
      </c>
      <c r="M33" s="199">
        <f t="shared" si="21"/>
        <v>0.7916666667</v>
      </c>
      <c r="N33" s="199">
        <f t="shared" si="21"/>
        <v>39.66666667</v>
      </c>
      <c r="O33" s="199">
        <f t="shared" si="21"/>
        <v>42</v>
      </c>
      <c r="P33" s="199">
        <f t="shared" si="21"/>
        <v>29.66666667</v>
      </c>
      <c r="Q33" s="199">
        <f t="shared" si="21"/>
        <v>158</v>
      </c>
      <c r="R33" s="200"/>
      <c r="S33" s="199">
        <f t="shared" ref="S33:AD33" si="22">AVERAGE(S30:S32)</f>
        <v>0.759</v>
      </c>
      <c r="T33" s="199">
        <f t="shared" si="22"/>
        <v>0.7276666667</v>
      </c>
      <c r="U33" s="199">
        <f t="shared" si="22"/>
        <v>0.6743333333</v>
      </c>
      <c r="V33" s="199">
        <f t="shared" si="22"/>
        <v>0.7256666667</v>
      </c>
      <c r="W33" s="199">
        <f t="shared" si="22"/>
        <v>0.7273333333</v>
      </c>
      <c r="X33" s="199">
        <f t="shared" si="22"/>
        <v>0.3516666667</v>
      </c>
      <c r="Y33" s="199">
        <f t="shared" si="22"/>
        <v>0.81</v>
      </c>
      <c r="Z33" s="199">
        <f t="shared" si="22"/>
        <v>0.8026666667</v>
      </c>
      <c r="AA33" s="117">
        <f t="shared" si="22"/>
        <v>44</v>
      </c>
      <c r="AB33" s="117">
        <f t="shared" si="22"/>
        <v>37.66666667</v>
      </c>
      <c r="AC33" s="199">
        <f t="shared" si="22"/>
        <v>35.66666667</v>
      </c>
      <c r="AD33" s="201">
        <f t="shared" si="22"/>
        <v>152</v>
      </c>
    </row>
    <row r="34">
      <c r="A34" s="119"/>
      <c r="B34" s="120" t="s">
        <v>48</v>
      </c>
      <c r="C34" s="121"/>
      <c r="D34" s="121"/>
      <c r="E34" s="122"/>
      <c r="F34" s="202">
        <f t="shared" ref="F34:Q34" si="23">STDEV(F30:F32)</f>
        <v>0.02753785274</v>
      </c>
      <c r="G34" s="202">
        <f t="shared" si="23"/>
        <v>0.005291502622</v>
      </c>
      <c r="H34" s="202">
        <f t="shared" si="23"/>
        <v>0.02956912804</v>
      </c>
      <c r="I34" s="202">
        <f t="shared" si="23"/>
        <v>0.007549834435</v>
      </c>
      <c r="J34" s="202">
        <f t="shared" si="23"/>
        <v>0.01011599394</v>
      </c>
      <c r="K34" s="202">
        <f t="shared" si="23"/>
        <v>0.02936551265</v>
      </c>
      <c r="L34" s="202">
        <f t="shared" si="23"/>
        <v>0.05810335619</v>
      </c>
      <c r="M34" s="202">
        <f t="shared" si="23"/>
        <v>0.02730079364</v>
      </c>
      <c r="N34" s="202">
        <f t="shared" si="23"/>
        <v>9.609023537</v>
      </c>
      <c r="O34" s="202">
        <f t="shared" si="23"/>
        <v>9.539392014</v>
      </c>
      <c r="P34" s="202">
        <f t="shared" si="23"/>
        <v>11.01514109</v>
      </c>
      <c r="Q34" s="202">
        <f t="shared" si="23"/>
        <v>10.53565375</v>
      </c>
      <c r="R34" s="202"/>
      <c r="S34" s="202">
        <f t="shared" ref="S34:AD34" si="24">STDEV(S30:S32)</f>
        <v>0.03315116891</v>
      </c>
      <c r="T34" s="202">
        <f t="shared" si="24"/>
        <v>0.005859465277</v>
      </c>
      <c r="U34" s="202">
        <f t="shared" si="24"/>
        <v>0.03013856887</v>
      </c>
      <c r="V34" s="202">
        <f t="shared" si="24"/>
        <v>0.01069267662</v>
      </c>
      <c r="W34" s="202">
        <f t="shared" si="24"/>
        <v>0.01803699901</v>
      </c>
      <c r="X34" s="202">
        <f t="shared" si="24"/>
        <v>0.04350095784</v>
      </c>
      <c r="Y34" s="202">
        <f t="shared" si="24"/>
        <v>0.03822302971</v>
      </c>
      <c r="Z34" s="202">
        <f t="shared" si="24"/>
        <v>0.02635020557</v>
      </c>
      <c r="AA34" s="202">
        <f t="shared" si="24"/>
        <v>8.185352772</v>
      </c>
      <c r="AB34" s="202">
        <f t="shared" si="24"/>
        <v>7.767453465</v>
      </c>
      <c r="AC34" s="202">
        <f t="shared" si="24"/>
        <v>7.234178138</v>
      </c>
      <c r="AD34" s="202">
        <f t="shared" si="24"/>
        <v>7</v>
      </c>
    </row>
    <row r="35">
      <c r="A35" s="171" t="s">
        <v>65</v>
      </c>
      <c r="B35" s="88">
        <v>43.0</v>
      </c>
      <c r="C35" s="89" t="b">
        <v>1</v>
      </c>
      <c r="D35" s="89" t="s">
        <v>43</v>
      </c>
      <c r="E35" s="89" t="s">
        <v>44</v>
      </c>
      <c r="F35" s="172">
        <v>0.773</v>
      </c>
      <c r="G35" s="173">
        <v>0.73</v>
      </c>
      <c r="H35" s="173">
        <v>0.706</v>
      </c>
      <c r="I35" s="173">
        <v>0.735</v>
      </c>
      <c r="J35" s="173">
        <v>0.746</v>
      </c>
      <c r="K35" s="173">
        <v>0.395</v>
      </c>
      <c r="L35" s="173">
        <v>0.766</v>
      </c>
      <c r="M35" s="173">
        <v>0.832</v>
      </c>
      <c r="N35" s="174">
        <v>53.0</v>
      </c>
      <c r="O35" s="174">
        <v>29.0</v>
      </c>
      <c r="P35" s="174">
        <v>44.0</v>
      </c>
      <c r="Q35" s="174">
        <v>144.0</v>
      </c>
      <c r="R35" s="175"/>
      <c r="S35" s="176">
        <v>0.708</v>
      </c>
      <c r="T35" s="177">
        <v>0.73</v>
      </c>
      <c r="U35" s="177">
        <v>0.613</v>
      </c>
      <c r="V35" s="177">
        <v>0.7</v>
      </c>
      <c r="W35" s="177">
        <v>0.708</v>
      </c>
      <c r="X35" s="176">
        <v>0.285</v>
      </c>
      <c r="Y35" s="176">
        <v>0.91</v>
      </c>
      <c r="Z35" s="176">
        <v>0.753</v>
      </c>
      <c r="AA35" s="178">
        <v>26.0</v>
      </c>
      <c r="AB35" s="179">
        <v>56.0</v>
      </c>
      <c r="AC35" s="179">
        <v>17.0</v>
      </c>
      <c r="AD35" s="180">
        <v>171.0</v>
      </c>
    </row>
    <row r="36">
      <c r="A36" s="7"/>
      <c r="C36" s="99" t="b">
        <v>1</v>
      </c>
      <c r="D36" s="99" t="s">
        <v>43</v>
      </c>
      <c r="E36" s="99" t="s">
        <v>45</v>
      </c>
      <c r="F36" s="181">
        <v>0.731</v>
      </c>
      <c r="G36" s="182">
        <v>0.725</v>
      </c>
      <c r="H36" s="182">
        <v>0.691</v>
      </c>
      <c r="I36" s="182">
        <v>0.729</v>
      </c>
      <c r="J36" s="182">
        <v>0.735</v>
      </c>
      <c r="K36" s="182">
        <v>0.37</v>
      </c>
      <c r="L36" s="182">
        <v>0.777</v>
      </c>
      <c r="M36" s="182">
        <v>0.82</v>
      </c>
      <c r="N36" s="183">
        <v>49.0</v>
      </c>
      <c r="O36" s="183">
        <v>32.0</v>
      </c>
      <c r="P36" s="183">
        <v>42.0</v>
      </c>
      <c r="Q36" s="183">
        <v>146.0</v>
      </c>
      <c r="R36" s="184"/>
      <c r="S36" s="185">
        <v>0.7</v>
      </c>
      <c r="T36" s="186">
        <v>0.71</v>
      </c>
      <c r="U36" s="186">
        <v>0.652</v>
      </c>
      <c r="V36" s="186">
        <v>0.709</v>
      </c>
      <c r="W36" s="186">
        <v>0.708</v>
      </c>
      <c r="X36" s="185">
        <v>0.306</v>
      </c>
      <c r="Y36" s="185">
        <v>0.798</v>
      </c>
      <c r="Z36" s="185">
        <v>0.789</v>
      </c>
      <c r="AA36" s="187">
        <v>41.0</v>
      </c>
      <c r="AB36" s="188">
        <v>40.0</v>
      </c>
      <c r="AC36" s="188">
        <v>38.0</v>
      </c>
      <c r="AD36" s="189">
        <v>150.0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90">
        <v>0.783</v>
      </c>
      <c r="G37" s="191">
        <v>0.725</v>
      </c>
      <c r="H37" s="191">
        <v>0.689</v>
      </c>
      <c r="I37" s="191">
        <v>0.728</v>
      </c>
      <c r="J37" s="191">
        <v>0.733</v>
      </c>
      <c r="K37" s="191">
        <v>0.369</v>
      </c>
      <c r="L37" s="191">
        <v>0.781</v>
      </c>
      <c r="M37" s="191">
        <v>0.816</v>
      </c>
      <c r="N37" s="192">
        <v>49.0</v>
      </c>
      <c r="O37" s="192">
        <v>33.0</v>
      </c>
      <c r="P37" s="192">
        <v>41.0</v>
      </c>
      <c r="Q37" s="192">
        <v>146.0</v>
      </c>
      <c r="R37" s="193"/>
      <c r="S37" s="194">
        <v>0.783</v>
      </c>
      <c r="T37" s="195">
        <v>0.725</v>
      </c>
      <c r="U37" s="195">
        <v>0.638</v>
      </c>
      <c r="V37" s="195">
        <v>0.711</v>
      </c>
      <c r="W37" s="195">
        <v>0.708</v>
      </c>
      <c r="X37" s="194">
        <v>0.305</v>
      </c>
      <c r="Y37" s="194">
        <v>0.861</v>
      </c>
      <c r="Z37" s="194">
        <v>0.77</v>
      </c>
      <c r="AA37" s="196">
        <v>34.0</v>
      </c>
      <c r="AB37" s="197">
        <v>48.0</v>
      </c>
      <c r="AC37" s="197">
        <v>26.0</v>
      </c>
      <c r="AD37" s="198">
        <v>161.0</v>
      </c>
    </row>
    <row r="38">
      <c r="A38" s="7"/>
      <c r="B38" s="114" t="s">
        <v>47</v>
      </c>
      <c r="C38" s="30"/>
      <c r="D38" s="30"/>
      <c r="E38" s="72"/>
      <c r="F38" s="199">
        <f t="shared" ref="F38:Q38" si="25">AVERAGE(F35:F37)</f>
        <v>0.7623333333</v>
      </c>
      <c r="G38" s="117">
        <f t="shared" si="25"/>
        <v>0.7266666667</v>
      </c>
      <c r="H38" s="161">
        <f t="shared" si="25"/>
        <v>0.6953333333</v>
      </c>
      <c r="I38" s="161">
        <f t="shared" si="25"/>
        <v>0.7306666667</v>
      </c>
      <c r="J38" s="115">
        <f t="shared" si="25"/>
        <v>0.738</v>
      </c>
      <c r="K38" s="161">
        <f t="shared" si="25"/>
        <v>0.378</v>
      </c>
      <c r="L38" s="117">
        <f t="shared" si="25"/>
        <v>0.7746666667</v>
      </c>
      <c r="M38" s="161">
        <f t="shared" si="25"/>
        <v>0.8226666667</v>
      </c>
      <c r="N38" s="161">
        <f t="shared" si="25"/>
        <v>50.33333333</v>
      </c>
      <c r="O38" s="161">
        <f t="shared" si="25"/>
        <v>31.33333333</v>
      </c>
      <c r="P38" s="117">
        <f t="shared" si="25"/>
        <v>42.33333333</v>
      </c>
      <c r="Q38" s="117">
        <f t="shared" si="25"/>
        <v>145.3333333</v>
      </c>
      <c r="R38" s="200"/>
      <c r="S38" s="199">
        <f t="shared" ref="S38:AD38" si="26">AVERAGE(S35:S37)</f>
        <v>0.7303333333</v>
      </c>
      <c r="T38" s="199">
        <f t="shared" si="26"/>
        <v>0.7216666667</v>
      </c>
      <c r="U38" s="199">
        <f t="shared" si="26"/>
        <v>0.6343333333</v>
      </c>
      <c r="V38" s="199">
        <f t="shared" si="26"/>
        <v>0.7066666667</v>
      </c>
      <c r="W38" s="199">
        <f t="shared" si="26"/>
        <v>0.708</v>
      </c>
      <c r="X38" s="199">
        <f t="shared" si="26"/>
        <v>0.2986666667</v>
      </c>
      <c r="Y38" s="199">
        <f t="shared" si="26"/>
        <v>0.8563333333</v>
      </c>
      <c r="Z38" s="199">
        <f t="shared" si="26"/>
        <v>0.7706666667</v>
      </c>
      <c r="AA38" s="199">
        <f t="shared" si="26"/>
        <v>33.66666667</v>
      </c>
      <c r="AB38" s="199">
        <f t="shared" si="26"/>
        <v>48</v>
      </c>
      <c r="AC38" s="199">
        <f t="shared" si="26"/>
        <v>27</v>
      </c>
      <c r="AD38" s="201">
        <f t="shared" si="26"/>
        <v>160.6666667</v>
      </c>
    </row>
    <row r="39">
      <c r="A39" s="119"/>
      <c r="B39" s="120" t="s">
        <v>48</v>
      </c>
      <c r="C39" s="121"/>
      <c r="D39" s="121"/>
      <c r="E39" s="122"/>
      <c r="F39" s="202">
        <f t="shared" ref="F39:Q39" si="27">STDEV(F35:F37)</f>
        <v>0.02759226945</v>
      </c>
      <c r="G39" s="202">
        <f t="shared" si="27"/>
        <v>0.002886751346</v>
      </c>
      <c r="H39" s="202">
        <f t="shared" si="27"/>
        <v>0.009291573243</v>
      </c>
      <c r="I39" s="202">
        <f t="shared" si="27"/>
        <v>0.003785938897</v>
      </c>
      <c r="J39" s="202">
        <f t="shared" si="27"/>
        <v>0.007</v>
      </c>
      <c r="K39" s="202">
        <f t="shared" si="27"/>
        <v>0.01473091986</v>
      </c>
      <c r="L39" s="202">
        <f t="shared" si="27"/>
        <v>0.007767453465</v>
      </c>
      <c r="M39" s="202">
        <f t="shared" si="27"/>
        <v>0.008326663998</v>
      </c>
      <c r="N39" s="202">
        <f t="shared" si="27"/>
        <v>2.309401077</v>
      </c>
      <c r="O39" s="202">
        <f t="shared" si="27"/>
        <v>2.081665999</v>
      </c>
      <c r="P39" s="202">
        <f t="shared" si="27"/>
        <v>1.527525232</v>
      </c>
      <c r="Q39" s="202">
        <f t="shared" si="27"/>
        <v>1.154700538</v>
      </c>
      <c r="R39" s="202"/>
      <c r="S39" s="202">
        <f t="shared" ref="S39:AD39" si="28">STDEV(S35:S37)</f>
        <v>0.04578573286</v>
      </c>
      <c r="T39" s="202">
        <f t="shared" si="28"/>
        <v>0.01040833</v>
      </c>
      <c r="U39" s="202">
        <f t="shared" si="28"/>
        <v>0.01975685535</v>
      </c>
      <c r="V39" s="202">
        <f t="shared" si="28"/>
        <v>0.005859465277</v>
      </c>
      <c r="W39" s="202">
        <f t="shared" si="28"/>
        <v>0</v>
      </c>
      <c r="X39" s="202">
        <f t="shared" si="28"/>
        <v>0.0118462371</v>
      </c>
      <c r="Y39" s="202">
        <f t="shared" si="28"/>
        <v>0.05614564394</v>
      </c>
      <c r="Z39" s="202">
        <f t="shared" si="28"/>
        <v>0.01800925688</v>
      </c>
      <c r="AA39" s="202">
        <f t="shared" si="28"/>
        <v>7.505553499</v>
      </c>
      <c r="AB39" s="202">
        <f t="shared" si="28"/>
        <v>8</v>
      </c>
      <c r="AC39" s="202">
        <f t="shared" si="28"/>
        <v>10.53565375</v>
      </c>
      <c r="AD39" s="202">
        <f t="shared" si="28"/>
        <v>10.5039675</v>
      </c>
    </row>
    <row r="40">
      <c r="A40" s="171" t="s">
        <v>65</v>
      </c>
      <c r="B40" s="88">
        <v>50.0</v>
      </c>
      <c r="C40" s="89" t="b">
        <v>1</v>
      </c>
      <c r="D40" s="89" t="s">
        <v>43</v>
      </c>
      <c r="E40" s="89" t="s">
        <v>44</v>
      </c>
      <c r="F40" s="172">
        <v>0.761</v>
      </c>
      <c r="G40" s="173">
        <v>0.756</v>
      </c>
      <c r="H40" s="173">
        <v>0.732</v>
      </c>
      <c r="I40" s="173">
        <v>0.76</v>
      </c>
      <c r="J40" s="173">
        <v>0.767</v>
      </c>
      <c r="K40" s="173">
        <v>0.447</v>
      </c>
      <c r="L40" s="173">
        <v>0.793</v>
      </c>
      <c r="M40" s="173">
        <v>0.847</v>
      </c>
      <c r="N40" s="174">
        <v>55.0</v>
      </c>
      <c r="O40" s="174">
        <v>27.0</v>
      </c>
      <c r="P40" s="174">
        <v>39.0</v>
      </c>
      <c r="Q40" s="174">
        <v>149.0</v>
      </c>
      <c r="R40" s="175"/>
      <c r="S40" s="176">
        <v>0.753</v>
      </c>
      <c r="T40" s="177">
        <v>0.737</v>
      </c>
      <c r="U40" s="177">
        <v>0.687</v>
      </c>
      <c r="V40" s="177">
        <v>0.737</v>
      </c>
      <c r="W40" s="177">
        <v>0.736</v>
      </c>
      <c r="X40" s="176">
        <v>0.376</v>
      </c>
      <c r="Y40" s="176">
        <v>0.814</v>
      </c>
      <c r="Z40" s="176">
        <v>0.81</v>
      </c>
      <c r="AA40" s="178">
        <v>46.0</v>
      </c>
      <c r="AB40" s="179">
        <v>36.0</v>
      </c>
      <c r="AC40" s="179">
        <v>35.0</v>
      </c>
      <c r="AD40" s="180">
        <v>153.0</v>
      </c>
    </row>
    <row r="41">
      <c r="A41" s="7"/>
      <c r="C41" s="99" t="b">
        <v>1</v>
      </c>
      <c r="D41" s="99" t="s">
        <v>43</v>
      </c>
      <c r="E41" s="99" t="s">
        <v>45</v>
      </c>
      <c r="F41" s="181">
        <v>0.738</v>
      </c>
      <c r="G41" s="182">
        <v>0.699</v>
      </c>
      <c r="H41" s="182">
        <v>0.662</v>
      </c>
      <c r="I41" s="182">
        <v>0.704</v>
      </c>
      <c r="J41" s="182">
        <v>0.711</v>
      </c>
      <c r="K41" s="182">
        <v>0.313</v>
      </c>
      <c r="L41" s="182">
        <v>0.755</v>
      </c>
      <c r="M41" s="182">
        <v>0.802</v>
      </c>
      <c r="N41" s="183">
        <v>46.0</v>
      </c>
      <c r="O41" s="183">
        <v>35.0</v>
      </c>
      <c r="P41" s="183">
        <v>46.0</v>
      </c>
      <c r="Q41" s="183">
        <v>142.0</v>
      </c>
      <c r="R41" s="184"/>
      <c r="S41" s="185">
        <v>0.721</v>
      </c>
      <c r="T41" s="186">
        <v>0.677</v>
      </c>
      <c r="U41" s="186">
        <v>0.646</v>
      </c>
      <c r="V41" s="186">
        <v>0.684</v>
      </c>
      <c r="W41" s="186">
        <v>0.697</v>
      </c>
      <c r="X41" s="185">
        <v>0.278</v>
      </c>
      <c r="Y41" s="185">
        <v>0.723</v>
      </c>
      <c r="Z41" s="185">
        <v>0.795</v>
      </c>
      <c r="AA41" s="187">
        <v>46.0</v>
      </c>
      <c r="AB41" s="188">
        <v>35.0</v>
      </c>
      <c r="AC41" s="188">
        <v>52.0</v>
      </c>
      <c r="AD41" s="189">
        <v>136.0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90">
        <v>0.748</v>
      </c>
      <c r="G42" s="191">
        <v>0.717</v>
      </c>
      <c r="H42" s="191">
        <v>0.571</v>
      </c>
      <c r="I42" s="191">
        <v>0.663</v>
      </c>
      <c r="J42" s="191">
        <v>0.694</v>
      </c>
      <c r="K42" s="191">
        <v>0.221</v>
      </c>
      <c r="L42" s="191">
        <v>0.947</v>
      </c>
      <c r="M42" s="191">
        <v>0.728</v>
      </c>
      <c r="N42" s="192">
        <v>16.0</v>
      </c>
      <c r="O42" s="192">
        <v>66.0</v>
      </c>
      <c r="P42" s="192">
        <v>10.0</v>
      </c>
      <c r="Q42" s="192">
        <v>177.0</v>
      </c>
      <c r="R42" s="193"/>
      <c r="S42" s="194">
        <v>0.707</v>
      </c>
      <c r="T42" s="195">
        <v>0.706</v>
      </c>
      <c r="U42" s="195">
        <v>0.642</v>
      </c>
      <c r="V42" s="195">
        <v>0.702</v>
      </c>
      <c r="W42" s="195">
        <v>0.7</v>
      </c>
      <c r="X42" s="194">
        <v>0.291</v>
      </c>
      <c r="Y42" s="194">
        <v>0.807</v>
      </c>
      <c r="Z42" s="194">
        <v>0.778</v>
      </c>
      <c r="AA42" s="196">
        <v>39.0</v>
      </c>
      <c r="AB42" s="197">
        <v>43.0</v>
      </c>
      <c r="AC42" s="197">
        <v>36.0</v>
      </c>
      <c r="AD42" s="198">
        <v>151.0</v>
      </c>
    </row>
    <row r="43">
      <c r="A43" s="7"/>
      <c r="B43" s="114" t="s">
        <v>47</v>
      </c>
      <c r="C43" s="30"/>
      <c r="D43" s="30"/>
      <c r="E43" s="72"/>
      <c r="F43" s="199">
        <f t="shared" ref="F43:Q43" si="29">AVERAGE(F40:F42)</f>
        <v>0.749</v>
      </c>
      <c r="G43" s="199">
        <f t="shared" si="29"/>
        <v>0.724</v>
      </c>
      <c r="H43" s="199">
        <f t="shared" si="29"/>
        <v>0.655</v>
      </c>
      <c r="I43" s="199">
        <f t="shared" si="29"/>
        <v>0.709</v>
      </c>
      <c r="J43" s="199">
        <f t="shared" si="29"/>
        <v>0.724</v>
      </c>
      <c r="K43" s="199">
        <f t="shared" si="29"/>
        <v>0.327</v>
      </c>
      <c r="L43" s="199">
        <f t="shared" si="29"/>
        <v>0.8316666667</v>
      </c>
      <c r="M43" s="199">
        <f t="shared" si="29"/>
        <v>0.7923333333</v>
      </c>
      <c r="N43" s="199">
        <f t="shared" si="29"/>
        <v>39</v>
      </c>
      <c r="O43" s="199">
        <f t="shared" si="29"/>
        <v>42.66666667</v>
      </c>
      <c r="P43" s="199">
        <f t="shared" si="29"/>
        <v>31.66666667</v>
      </c>
      <c r="Q43" s="199">
        <f t="shared" si="29"/>
        <v>156</v>
      </c>
      <c r="R43" s="200"/>
      <c r="S43" s="199">
        <f t="shared" ref="S43:AD43" si="30">AVERAGE(S40:S42)</f>
        <v>0.727</v>
      </c>
      <c r="T43" s="199">
        <f t="shared" si="30"/>
        <v>0.7066666667</v>
      </c>
      <c r="U43" s="199">
        <f t="shared" si="30"/>
        <v>0.6583333333</v>
      </c>
      <c r="V43" s="199">
        <f t="shared" si="30"/>
        <v>0.7076666667</v>
      </c>
      <c r="W43" s="199">
        <f t="shared" si="30"/>
        <v>0.711</v>
      </c>
      <c r="X43" s="199">
        <f t="shared" si="30"/>
        <v>0.315</v>
      </c>
      <c r="Y43" s="117">
        <f t="shared" si="30"/>
        <v>0.7813333333</v>
      </c>
      <c r="Z43" s="115">
        <f t="shared" si="30"/>
        <v>0.7943333333</v>
      </c>
      <c r="AA43" s="115">
        <f t="shared" si="30"/>
        <v>43.66666667</v>
      </c>
      <c r="AB43" s="115">
        <f t="shared" si="30"/>
        <v>38</v>
      </c>
      <c r="AC43" s="117">
        <f t="shared" si="30"/>
        <v>41</v>
      </c>
      <c r="AD43" s="162">
        <f t="shared" si="30"/>
        <v>146.6666667</v>
      </c>
    </row>
    <row r="44">
      <c r="A44" s="119"/>
      <c r="B44" s="120" t="s">
        <v>48</v>
      </c>
      <c r="C44" s="121"/>
      <c r="D44" s="121"/>
      <c r="E44" s="122"/>
      <c r="F44" s="202">
        <f t="shared" ref="F44:Q44" si="31">STDEV(F40:F42)</f>
        <v>0.01153256259</v>
      </c>
      <c r="G44" s="202">
        <f t="shared" si="31"/>
        <v>0.02913760457</v>
      </c>
      <c r="H44" s="202">
        <f t="shared" si="31"/>
        <v>0.08072793816</v>
      </c>
      <c r="I44" s="202">
        <f t="shared" si="31"/>
        <v>0.0486929153</v>
      </c>
      <c r="J44" s="202">
        <f t="shared" si="31"/>
        <v>0.03819685851</v>
      </c>
      <c r="K44" s="202">
        <f t="shared" si="31"/>
        <v>0.1136485812</v>
      </c>
      <c r="L44" s="202">
        <f t="shared" si="31"/>
        <v>0.1016726774</v>
      </c>
      <c r="M44" s="202">
        <f t="shared" si="31"/>
        <v>0.06008604941</v>
      </c>
      <c r="N44" s="202">
        <f t="shared" si="31"/>
        <v>20.42057786</v>
      </c>
      <c r="O44" s="202">
        <f t="shared" si="31"/>
        <v>20.59935274</v>
      </c>
      <c r="P44" s="202">
        <f t="shared" si="31"/>
        <v>19.08751774</v>
      </c>
      <c r="Q44" s="202">
        <f t="shared" si="31"/>
        <v>18.52025918</v>
      </c>
      <c r="R44" s="202"/>
      <c r="S44" s="202">
        <f t="shared" ref="S44:AD44" si="32">STDEV(S40:S42)</f>
        <v>0.02357965225</v>
      </c>
      <c r="T44" s="202">
        <f t="shared" si="32"/>
        <v>0.03000555504</v>
      </c>
      <c r="U44" s="202">
        <f t="shared" si="32"/>
        <v>0.02490649179</v>
      </c>
      <c r="V44" s="202">
        <f t="shared" si="32"/>
        <v>0.02695057204</v>
      </c>
      <c r="W44" s="202">
        <f t="shared" si="32"/>
        <v>0.02170253441</v>
      </c>
      <c r="X44" s="202">
        <f t="shared" si="32"/>
        <v>0.05322593353</v>
      </c>
      <c r="Y44" s="202">
        <f t="shared" si="32"/>
        <v>0.05063924697</v>
      </c>
      <c r="Z44" s="202">
        <f t="shared" si="32"/>
        <v>0.01601041328</v>
      </c>
      <c r="AA44" s="202">
        <f t="shared" si="32"/>
        <v>4.041451884</v>
      </c>
      <c r="AB44" s="202">
        <f t="shared" si="32"/>
        <v>4.358898944</v>
      </c>
      <c r="AC44" s="202">
        <f t="shared" si="32"/>
        <v>9.539392014</v>
      </c>
      <c r="AD44" s="202">
        <f t="shared" si="32"/>
        <v>9.291573243</v>
      </c>
    </row>
    <row r="45">
      <c r="A45" s="171" t="s">
        <v>65</v>
      </c>
      <c r="B45" s="88">
        <v>6.0</v>
      </c>
      <c r="C45" s="89" t="b">
        <v>1</v>
      </c>
      <c r="D45" s="89" t="s">
        <v>43</v>
      </c>
      <c r="E45" s="89" t="s">
        <v>44</v>
      </c>
      <c r="F45" s="172">
        <v>0.777</v>
      </c>
      <c r="G45" s="173">
        <v>0.763</v>
      </c>
      <c r="H45" s="173">
        <v>0.723</v>
      </c>
      <c r="I45" s="173">
        <v>0.764</v>
      </c>
      <c r="J45" s="173">
        <v>0.765</v>
      </c>
      <c r="K45" s="173">
        <v>0.443</v>
      </c>
      <c r="L45" s="173">
        <v>0.824</v>
      </c>
      <c r="M45" s="173">
        <v>0.833</v>
      </c>
      <c r="N45" s="174">
        <v>51.0</v>
      </c>
      <c r="O45" s="174">
        <v>31.0</v>
      </c>
      <c r="P45" s="174">
        <v>31.0</v>
      </c>
      <c r="Q45" s="174">
        <v>155.0</v>
      </c>
      <c r="R45" s="175"/>
      <c r="S45" s="176">
        <v>0.75</v>
      </c>
      <c r="T45" s="177">
        <v>0.752</v>
      </c>
      <c r="U45" s="177">
        <v>0.688</v>
      </c>
      <c r="V45" s="177">
        <v>0.746</v>
      </c>
      <c r="W45" s="177">
        <v>0.744</v>
      </c>
      <c r="X45" s="176">
        <v>0.392</v>
      </c>
      <c r="Y45" s="176">
        <v>0.851</v>
      </c>
      <c r="Z45" s="176">
        <v>0.804</v>
      </c>
      <c r="AA45" s="178">
        <v>43.0</v>
      </c>
      <c r="AB45" s="179">
        <v>39.0</v>
      </c>
      <c r="AC45" s="179">
        <v>28.0</v>
      </c>
      <c r="AD45" s="180">
        <v>160.0</v>
      </c>
    </row>
    <row r="46">
      <c r="A46" s="7"/>
      <c r="C46" s="99" t="b">
        <v>1</v>
      </c>
      <c r="D46" s="99" t="s">
        <v>43</v>
      </c>
      <c r="E46" s="99" t="s">
        <v>45</v>
      </c>
      <c r="F46" s="181">
        <v>0.729</v>
      </c>
      <c r="G46" s="182">
        <v>0.706</v>
      </c>
      <c r="H46" s="182">
        <v>0.625</v>
      </c>
      <c r="I46" s="182">
        <v>0.697</v>
      </c>
      <c r="J46" s="182">
        <v>0.692</v>
      </c>
      <c r="K46" s="182">
        <v>0.266</v>
      </c>
      <c r="L46" s="182">
        <v>0.83</v>
      </c>
      <c r="M46" s="182">
        <v>0.768</v>
      </c>
      <c r="N46" s="183">
        <v>34.0</v>
      </c>
      <c r="O46" s="183">
        <v>47.0</v>
      </c>
      <c r="P46" s="183">
        <v>32.0</v>
      </c>
      <c r="Q46" s="183">
        <v>156.0</v>
      </c>
      <c r="R46" s="184"/>
      <c r="S46" s="185">
        <v>0.688</v>
      </c>
      <c r="T46" s="186">
        <v>0.677</v>
      </c>
      <c r="U46" s="186">
        <v>0.635</v>
      </c>
      <c r="V46" s="186">
        <v>0.682</v>
      </c>
      <c r="W46" s="186">
        <v>0.69</v>
      </c>
      <c r="X46" s="185">
        <v>0.261</v>
      </c>
      <c r="Y46" s="185">
        <v>0.739</v>
      </c>
      <c r="Z46" s="185">
        <v>0.785</v>
      </c>
      <c r="AA46" s="187">
        <v>43.0</v>
      </c>
      <c r="AB46" s="188">
        <v>38.0</v>
      </c>
      <c r="AC46" s="188">
        <v>49.0</v>
      </c>
      <c r="AD46" s="189">
        <v>139.0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90">
        <v>0.714</v>
      </c>
      <c r="G47" s="191">
        <v>0.703</v>
      </c>
      <c r="H47" s="191">
        <v>0.519</v>
      </c>
      <c r="I47" s="191">
        <v>0.599</v>
      </c>
      <c r="J47" s="191">
        <v>0.692</v>
      </c>
      <c r="K47" s="191">
        <v>0.119</v>
      </c>
      <c r="L47" s="191">
        <v>0.989</v>
      </c>
      <c r="M47" s="191">
        <v>0.703</v>
      </c>
      <c r="N47" s="192">
        <v>4.0</v>
      </c>
      <c r="O47" s="192">
        <v>78.0</v>
      </c>
      <c r="P47" s="192">
        <v>2.0</v>
      </c>
      <c r="Q47" s="192">
        <v>185.0</v>
      </c>
      <c r="R47" s="193"/>
      <c r="S47" s="194">
        <v>0.772</v>
      </c>
      <c r="T47" s="195">
        <v>0.714</v>
      </c>
      <c r="U47" s="195">
        <v>0.674</v>
      </c>
      <c r="V47" s="195">
        <v>0.717</v>
      </c>
      <c r="W47" s="195">
        <v>0.721</v>
      </c>
      <c r="X47" s="194">
        <v>0.341</v>
      </c>
      <c r="Y47" s="194">
        <v>0.775</v>
      </c>
      <c r="Z47" s="194">
        <v>0.806</v>
      </c>
      <c r="AA47" s="196">
        <v>47.0</v>
      </c>
      <c r="AB47" s="197">
        <v>35.0</v>
      </c>
      <c r="AC47" s="197">
        <v>42.0</v>
      </c>
      <c r="AD47" s="198">
        <v>145.0</v>
      </c>
    </row>
    <row r="48">
      <c r="A48" s="7"/>
      <c r="B48" s="114" t="s">
        <v>47</v>
      </c>
      <c r="C48" s="30"/>
      <c r="D48" s="30"/>
      <c r="E48" s="72"/>
      <c r="F48" s="199">
        <f t="shared" ref="F48:Q48" si="33">AVERAGE(F45:F47)</f>
        <v>0.74</v>
      </c>
      <c r="G48" s="199">
        <f t="shared" si="33"/>
        <v>0.724</v>
      </c>
      <c r="H48" s="199">
        <f t="shared" si="33"/>
        <v>0.6223333333</v>
      </c>
      <c r="I48" s="199">
        <f t="shared" si="33"/>
        <v>0.6866666667</v>
      </c>
      <c r="J48" s="199">
        <f t="shared" si="33"/>
        <v>0.7163333333</v>
      </c>
      <c r="K48" s="199">
        <f t="shared" si="33"/>
        <v>0.276</v>
      </c>
      <c r="L48" s="199">
        <f t="shared" si="33"/>
        <v>0.881</v>
      </c>
      <c r="M48" s="199">
        <f t="shared" si="33"/>
        <v>0.768</v>
      </c>
      <c r="N48" s="199">
        <f t="shared" si="33"/>
        <v>29.66666667</v>
      </c>
      <c r="O48" s="199">
        <f t="shared" si="33"/>
        <v>52</v>
      </c>
      <c r="P48" s="199">
        <f t="shared" si="33"/>
        <v>21.66666667</v>
      </c>
      <c r="Q48" s="199">
        <f t="shared" si="33"/>
        <v>165.3333333</v>
      </c>
      <c r="R48" s="200"/>
      <c r="S48" s="199">
        <f t="shared" ref="S48:AD48" si="34">AVERAGE(S45:S47)</f>
        <v>0.7366666667</v>
      </c>
      <c r="T48" s="199">
        <f t="shared" si="34"/>
        <v>0.7143333333</v>
      </c>
      <c r="U48" s="199">
        <f t="shared" si="34"/>
        <v>0.6656666667</v>
      </c>
      <c r="V48" s="199">
        <f t="shared" si="34"/>
        <v>0.715</v>
      </c>
      <c r="W48" s="199">
        <f t="shared" si="34"/>
        <v>0.7183333333</v>
      </c>
      <c r="X48" s="199">
        <f t="shared" si="34"/>
        <v>0.3313333333</v>
      </c>
      <c r="Y48" s="199">
        <f t="shared" si="34"/>
        <v>0.7883333333</v>
      </c>
      <c r="Z48" s="199">
        <f t="shared" si="34"/>
        <v>0.7983333333</v>
      </c>
      <c r="AA48" s="199">
        <f t="shared" si="34"/>
        <v>44.33333333</v>
      </c>
      <c r="AB48" s="199">
        <f t="shared" si="34"/>
        <v>37.33333333</v>
      </c>
      <c r="AC48" s="199">
        <f t="shared" si="34"/>
        <v>39.66666667</v>
      </c>
      <c r="AD48" s="201">
        <f t="shared" si="34"/>
        <v>148</v>
      </c>
    </row>
    <row r="49">
      <c r="A49" s="119"/>
      <c r="B49" s="120" t="s">
        <v>48</v>
      </c>
      <c r="C49" s="121"/>
      <c r="D49" s="121"/>
      <c r="E49" s="122"/>
      <c r="F49" s="202">
        <f t="shared" ref="F49:Q49" si="35">STDEV(F45:F47)</f>
        <v>0.03290896534</v>
      </c>
      <c r="G49" s="202">
        <f t="shared" si="35"/>
        <v>0.03380828301</v>
      </c>
      <c r="H49" s="202">
        <f t="shared" si="35"/>
        <v>0.1020261404</v>
      </c>
      <c r="I49" s="202">
        <f t="shared" si="35"/>
        <v>0.08298393419</v>
      </c>
      <c r="J49" s="202">
        <f t="shared" si="35"/>
        <v>0.04214656965</v>
      </c>
      <c r="K49" s="202">
        <f t="shared" si="35"/>
        <v>0.1622313163</v>
      </c>
      <c r="L49" s="202">
        <f t="shared" si="35"/>
        <v>0.09357884376</v>
      </c>
      <c r="M49" s="202">
        <f t="shared" si="35"/>
        <v>0.065</v>
      </c>
      <c r="N49" s="202">
        <f t="shared" si="35"/>
        <v>23.797759</v>
      </c>
      <c r="O49" s="202">
        <f t="shared" si="35"/>
        <v>23.89560629</v>
      </c>
      <c r="P49" s="202">
        <f t="shared" si="35"/>
        <v>17.03917056</v>
      </c>
      <c r="Q49" s="202">
        <f t="shared" si="35"/>
        <v>17.03917056</v>
      </c>
      <c r="R49" s="202"/>
      <c r="S49" s="202">
        <f t="shared" ref="S49:AD49" si="36">STDEV(S45:S47)</f>
        <v>0.04355838993</v>
      </c>
      <c r="T49" s="202">
        <f t="shared" si="36"/>
        <v>0.03750111109</v>
      </c>
      <c r="U49" s="202">
        <f t="shared" si="36"/>
        <v>0.02746512941</v>
      </c>
      <c r="V49" s="202">
        <f t="shared" si="36"/>
        <v>0.03204684072</v>
      </c>
      <c r="W49" s="202">
        <f t="shared" si="36"/>
        <v>0.02709858545</v>
      </c>
      <c r="X49" s="202">
        <f t="shared" si="36"/>
        <v>0.06603282012</v>
      </c>
      <c r="Y49" s="202">
        <f t="shared" si="36"/>
        <v>0.05717808438</v>
      </c>
      <c r="Z49" s="202">
        <f t="shared" si="36"/>
        <v>0.01159022577</v>
      </c>
      <c r="AA49" s="202">
        <f t="shared" si="36"/>
        <v>2.309401077</v>
      </c>
      <c r="AB49" s="202">
        <f t="shared" si="36"/>
        <v>2.081665999</v>
      </c>
      <c r="AC49" s="202">
        <f t="shared" si="36"/>
        <v>10.69267662</v>
      </c>
      <c r="AD49" s="202">
        <f t="shared" si="36"/>
        <v>10.81665383</v>
      </c>
    </row>
    <row r="50">
      <c r="A50" s="171" t="s">
        <v>65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0.772</v>
      </c>
      <c r="G50" s="125">
        <v>0.733</v>
      </c>
      <c r="H50" s="125">
        <v>0.595</v>
      </c>
      <c r="I50" s="125">
        <v>0.688</v>
      </c>
      <c r="J50" s="125">
        <v>0.719</v>
      </c>
      <c r="K50" s="125">
        <v>0.279</v>
      </c>
      <c r="L50" s="125">
        <v>0.947</v>
      </c>
      <c r="M50" s="125">
        <v>0.742</v>
      </c>
      <c r="N50" s="126">
        <v>20.0</v>
      </c>
      <c r="O50" s="126">
        <v>62.0</v>
      </c>
      <c r="P50" s="126">
        <v>10.0</v>
      </c>
      <c r="Q50" s="126">
        <v>178.0</v>
      </c>
      <c r="R50" s="127"/>
      <c r="S50" s="128">
        <v>0.728</v>
      </c>
      <c r="T50" s="129">
        <v>0.748</v>
      </c>
      <c r="U50" s="129">
        <v>0.606</v>
      </c>
      <c r="V50" s="129">
        <v>0.699</v>
      </c>
      <c r="W50" s="129">
        <v>0.753</v>
      </c>
      <c r="X50" s="128">
        <v>0.33</v>
      </c>
      <c r="Y50" s="128">
        <v>0.968</v>
      </c>
      <c r="Z50" s="128">
        <v>0.746</v>
      </c>
      <c r="AA50" s="148">
        <v>20.0</v>
      </c>
      <c r="AB50" s="149">
        <v>62.0</v>
      </c>
      <c r="AC50" s="149">
        <v>6.0</v>
      </c>
      <c r="AD50" s="150">
        <v>182.0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0.743</v>
      </c>
      <c r="G51" s="134">
        <v>0.643</v>
      </c>
      <c r="H51" s="134">
        <v>0.674</v>
      </c>
      <c r="I51" s="134">
        <v>0.658</v>
      </c>
      <c r="J51" s="134">
        <v>0.727</v>
      </c>
      <c r="K51" s="134">
        <v>0.32</v>
      </c>
      <c r="L51" s="134">
        <v>0.596</v>
      </c>
      <c r="M51" s="134">
        <v>0.848</v>
      </c>
      <c r="N51" s="135">
        <v>61.0</v>
      </c>
      <c r="O51" s="135">
        <v>20.0</v>
      </c>
      <c r="P51" s="135">
        <v>76.0</v>
      </c>
      <c r="Q51" s="135">
        <v>112.0</v>
      </c>
      <c r="R51" s="136"/>
      <c r="S51" s="137">
        <v>0.741</v>
      </c>
      <c r="T51" s="138">
        <v>0.729</v>
      </c>
      <c r="U51" s="138">
        <v>0.567</v>
      </c>
      <c r="V51" s="138">
        <v>0.662</v>
      </c>
      <c r="W51" s="138">
        <v>0.727</v>
      </c>
      <c r="X51" s="137">
        <v>0.246</v>
      </c>
      <c r="Y51" s="137">
        <v>0.973</v>
      </c>
      <c r="Z51" s="137">
        <v>0.729</v>
      </c>
      <c r="AA51" s="139">
        <v>13.0</v>
      </c>
      <c r="AB51" s="140">
        <v>68.0</v>
      </c>
      <c r="AC51" s="140">
        <v>5.0</v>
      </c>
      <c r="AD51" s="141">
        <v>183.0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0.722</v>
      </c>
      <c r="G52" s="143">
        <v>0.662</v>
      </c>
      <c r="H52" s="143">
        <v>0.651</v>
      </c>
      <c r="I52" s="143">
        <v>0.673</v>
      </c>
      <c r="J52" s="143">
        <v>0.699</v>
      </c>
      <c r="K52" s="143">
        <v>0.282</v>
      </c>
      <c r="L52" s="143">
        <v>0.679</v>
      </c>
      <c r="M52" s="143">
        <v>0.804</v>
      </c>
      <c r="N52" s="144">
        <v>51.0</v>
      </c>
      <c r="O52" s="144">
        <v>31.0</v>
      </c>
      <c r="P52" s="144">
        <v>60.0</v>
      </c>
      <c r="Q52" s="144">
        <v>127.0</v>
      </c>
      <c r="R52" s="145"/>
      <c r="S52" s="146">
        <v>0.747</v>
      </c>
      <c r="T52" s="147">
        <v>0.703</v>
      </c>
      <c r="U52" s="147">
        <v>0.666</v>
      </c>
      <c r="V52" s="147">
        <v>0.707</v>
      </c>
      <c r="W52" s="147">
        <v>0.713</v>
      </c>
      <c r="X52" s="146">
        <v>0.323</v>
      </c>
      <c r="Y52" s="146">
        <v>0.759</v>
      </c>
      <c r="Z52" s="146">
        <v>0.802</v>
      </c>
      <c r="AA52" s="148">
        <v>47.0</v>
      </c>
      <c r="AB52" s="149">
        <v>35.0</v>
      </c>
      <c r="AC52" s="149">
        <v>45.0</v>
      </c>
      <c r="AD52" s="150">
        <v>142.0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0.7456666667</v>
      </c>
      <c r="G53" s="151">
        <f t="shared" si="37"/>
        <v>0.6793333333</v>
      </c>
      <c r="H53" s="151">
        <f t="shared" si="37"/>
        <v>0.64</v>
      </c>
      <c r="I53" s="151">
        <f t="shared" si="37"/>
        <v>0.673</v>
      </c>
      <c r="J53" s="151">
        <f t="shared" si="37"/>
        <v>0.715</v>
      </c>
      <c r="K53" s="151">
        <f t="shared" si="37"/>
        <v>0.2936666667</v>
      </c>
      <c r="L53" s="151">
        <f t="shared" si="37"/>
        <v>0.7406666667</v>
      </c>
      <c r="M53" s="151">
        <f t="shared" si="37"/>
        <v>0.798</v>
      </c>
      <c r="N53" s="151">
        <f t="shared" si="37"/>
        <v>44</v>
      </c>
      <c r="O53" s="151">
        <f t="shared" si="37"/>
        <v>37.66666667</v>
      </c>
      <c r="P53" s="151">
        <f t="shared" si="37"/>
        <v>48.66666667</v>
      </c>
      <c r="Q53" s="151">
        <f t="shared" si="37"/>
        <v>139</v>
      </c>
      <c r="R53" s="152"/>
      <c r="S53" s="151">
        <f t="shared" ref="S53:AD53" si="38">AVERAGE(S50:S52)</f>
        <v>0.7386666667</v>
      </c>
      <c r="T53" s="151">
        <f t="shared" si="38"/>
        <v>0.7266666667</v>
      </c>
      <c r="U53" s="151">
        <f t="shared" si="38"/>
        <v>0.613</v>
      </c>
      <c r="V53" s="151">
        <f t="shared" si="38"/>
        <v>0.6893333333</v>
      </c>
      <c r="W53" s="151">
        <f t="shared" si="38"/>
        <v>0.731</v>
      </c>
      <c r="X53" s="151">
        <f t="shared" si="38"/>
        <v>0.2996666667</v>
      </c>
      <c r="Y53" s="151">
        <f t="shared" si="38"/>
        <v>0.9</v>
      </c>
      <c r="Z53" s="151">
        <f t="shared" si="38"/>
        <v>0.759</v>
      </c>
      <c r="AA53" s="151">
        <f t="shared" si="38"/>
        <v>26.66666667</v>
      </c>
      <c r="AB53" s="151">
        <f t="shared" si="38"/>
        <v>55</v>
      </c>
      <c r="AC53" s="151">
        <f t="shared" si="38"/>
        <v>18.66666667</v>
      </c>
      <c r="AD53" s="153">
        <f t="shared" si="38"/>
        <v>169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0.02510644008</v>
      </c>
      <c r="G54" s="154">
        <f t="shared" si="39"/>
        <v>0.04743767841</v>
      </c>
      <c r="H54" s="154">
        <f t="shared" si="39"/>
        <v>0.04063249931</v>
      </c>
      <c r="I54" s="154">
        <f t="shared" si="39"/>
        <v>0.015</v>
      </c>
      <c r="J54" s="154">
        <f t="shared" si="39"/>
        <v>0.0144222051</v>
      </c>
      <c r="K54" s="154">
        <f t="shared" si="39"/>
        <v>0.02285461296</v>
      </c>
      <c r="L54" s="154">
        <f t="shared" si="39"/>
        <v>0.1834457231</v>
      </c>
      <c r="M54" s="154">
        <f t="shared" si="39"/>
        <v>0.05325410782</v>
      </c>
      <c r="N54" s="154">
        <f t="shared" si="39"/>
        <v>21.37755833</v>
      </c>
      <c r="O54" s="154">
        <f t="shared" si="39"/>
        <v>21.77919497</v>
      </c>
      <c r="P54" s="154">
        <f t="shared" si="39"/>
        <v>34.42867022</v>
      </c>
      <c r="Q54" s="154">
        <f t="shared" si="39"/>
        <v>34.59768778</v>
      </c>
      <c r="R54" s="154"/>
      <c r="S54" s="154">
        <f t="shared" ref="S54:AD54" si="40">STDEV(S50:S52)</f>
        <v>0.009712534856</v>
      </c>
      <c r="T54" s="154">
        <f t="shared" si="40"/>
        <v>0.0225905585</v>
      </c>
      <c r="U54" s="154">
        <f t="shared" si="40"/>
        <v>0.04986983056</v>
      </c>
      <c r="V54" s="154">
        <f t="shared" si="40"/>
        <v>0.02400694344</v>
      </c>
      <c r="W54" s="154">
        <f t="shared" si="40"/>
        <v>0.02029778313</v>
      </c>
      <c r="X54" s="154">
        <f t="shared" si="40"/>
        <v>0.04660829683</v>
      </c>
      <c r="Y54" s="154">
        <f t="shared" si="40"/>
        <v>0.122135171</v>
      </c>
      <c r="Z54" s="154">
        <f t="shared" si="40"/>
        <v>0.03819685851</v>
      </c>
      <c r="AA54" s="154">
        <f t="shared" si="40"/>
        <v>17.95364401</v>
      </c>
      <c r="AB54" s="154">
        <f t="shared" si="40"/>
        <v>17.57839583</v>
      </c>
      <c r="AC54" s="154">
        <f t="shared" si="40"/>
        <v>22.81081615</v>
      </c>
      <c r="AD54" s="154">
        <f t="shared" si="40"/>
        <v>23.38803113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0.7478</v>
      </c>
      <c r="G55" s="167">
        <f t="shared" si="41"/>
        <v>0.7232666667</v>
      </c>
      <c r="H55" s="167">
        <f t="shared" si="41"/>
        <v>0.6424666667</v>
      </c>
      <c r="I55" s="167">
        <f t="shared" si="41"/>
        <v>0.7018</v>
      </c>
      <c r="J55" s="167">
        <f t="shared" si="41"/>
        <v>0.7255</v>
      </c>
      <c r="K55" s="167">
        <f t="shared" si="41"/>
        <v>0.3136666667</v>
      </c>
      <c r="L55" s="167">
        <f t="shared" si="41"/>
        <v>0.8481</v>
      </c>
      <c r="M55" s="167">
        <f t="shared" si="41"/>
        <v>0.7824666667</v>
      </c>
      <c r="N55" s="167">
        <f t="shared" si="41"/>
        <v>35.66666667</v>
      </c>
      <c r="O55" s="167">
        <f t="shared" si="41"/>
        <v>46</v>
      </c>
      <c r="P55" s="167">
        <f t="shared" si="41"/>
        <v>28.46666667</v>
      </c>
      <c r="Q55" s="167">
        <f t="shared" si="41"/>
        <v>159.1333333</v>
      </c>
      <c r="R55" s="168"/>
      <c r="S55" s="167">
        <f t="shared" ref="S55:AD55" si="42">AVERAGE(S8, S13, S18, S23,S28,S33,S38,S43,S48,S53)</f>
        <v>0.7488333333</v>
      </c>
      <c r="T55" s="167">
        <f t="shared" si="42"/>
        <v>0.7201</v>
      </c>
      <c r="U55" s="167">
        <f t="shared" si="42"/>
        <v>0.6587</v>
      </c>
      <c r="V55" s="167">
        <f t="shared" si="42"/>
        <v>0.7134333333</v>
      </c>
      <c r="W55" s="167">
        <f t="shared" si="42"/>
        <v>0.7223666667</v>
      </c>
      <c r="X55" s="167">
        <f t="shared" si="42"/>
        <v>0.3316</v>
      </c>
      <c r="Y55" s="167">
        <f t="shared" si="42"/>
        <v>0.8145</v>
      </c>
      <c r="Z55" s="167">
        <f t="shared" si="42"/>
        <v>0.793</v>
      </c>
      <c r="AA55" s="167">
        <f t="shared" si="42"/>
        <v>41.06666667</v>
      </c>
      <c r="AB55" s="167">
        <f t="shared" si="42"/>
        <v>40.6</v>
      </c>
      <c r="AC55" s="167">
        <f t="shared" si="42"/>
        <v>34.8</v>
      </c>
      <c r="AD55" s="167">
        <f t="shared" si="42"/>
        <v>152.8666667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STDEV(F8,F13,F18,F23,F28,F33,F38,F43,F48,F53)</f>
        <v>0.0205883822</v>
      </c>
      <c r="G57" s="168">
        <f t="shared" si="43"/>
        <v>0.0175828199</v>
      </c>
      <c r="H57" s="168">
        <f t="shared" si="43"/>
        <v>0.02661485708</v>
      </c>
      <c r="I57" s="168">
        <f t="shared" si="43"/>
        <v>0.02056017966</v>
      </c>
      <c r="J57" s="168">
        <f t="shared" si="43"/>
        <v>0.01228192489</v>
      </c>
      <c r="K57" s="168">
        <f t="shared" si="43"/>
        <v>0.03606852189</v>
      </c>
      <c r="L57" s="168">
        <f t="shared" si="43"/>
        <v>0.05646063853</v>
      </c>
      <c r="M57" s="168">
        <f t="shared" si="43"/>
        <v>0.02040830139</v>
      </c>
      <c r="N57" s="168">
        <f t="shared" si="43"/>
        <v>8.092062869</v>
      </c>
      <c r="O57" s="168">
        <f t="shared" si="43"/>
        <v>8.092062869</v>
      </c>
      <c r="P57" s="168">
        <f t="shared" si="43"/>
        <v>10.64836393</v>
      </c>
      <c r="Q57" s="168">
        <f t="shared" si="43"/>
        <v>10.60305104</v>
      </c>
      <c r="R57" s="168"/>
      <c r="S57" s="168">
        <f t="shared" ref="S57:AD57" si="44">STDEV(S8,S13,S18,S23,S28,S33,S38,S43,S48,S53)</f>
        <v>0.01395075112</v>
      </c>
      <c r="T57" s="168">
        <f t="shared" si="44"/>
        <v>0.0136373217</v>
      </c>
      <c r="U57" s="168">
        <f t="shared" si="44"/>
        <v>0.02052968342</v>
      </c>
      <c r="V57" s="168">
        <f t="shared" si="44"/>
        <v>0.01195779616</v>
      </c>
      <c r="W57" s="168">
        <f t="shared" si="44"/>
        <v>0.009156324132</v>
      </c>
      <c r="X57" s="168">
        <f t="shared" si="44"/>
        <v>0.02199259135</v>
      </c>
      <c r="Y57" s="168">
        <f t="shared" si="44"/>
        <v>0.0523959875</v>
      </c>
      <c r="Z57" s="168">
        <f t="shared" si="44"/>
        <v>0.0178747356</v>
      </c>
      <c r="AA57" s="168">
        <f t="shared" si="44"/>
        <v>7.162660379</v>
      </c>
      <c r="AB57" s="168">
        <f t="shared" si="44"/>
        <v>7.162660379</v>
      </c>
      <c r="AC57" s="168">
        <f t="shared" si="44"/>
        <v>9.850988545</v>
      </c>
      <c r="AD57" s="168">
        <f t="shared" si="44"/>
        <v>9.850988545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66</v>
      </c>
      <c r="O2" s="77" t="s">
        <v>3</v>
      </c>
      <c r="P2" s="77" t="s">
        <v>4</v>
      </c>
      <c r="Q2" s="77" t="s">
        <v>67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68</v>
      </c>
      <c r="AB2" s="77" t="s">
        <v>3</v>
      </c>
      <c r="AC2" s="77" t="s">
        <v>4</v>
      </c>
      <c r="AD2" s="78" t="s">
        <v>69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65</v>
      </c>
      <c r="B5" s="88">
        <v>1.0</v>
      </c>
      <c r="C5" s="89" t="b">
        <v>1</v>
      </c>
      <c r="D5" s="89" t="s">
        <v>43</v>
      </c>
      <c r="E5" s="89" t="s">
        <v>44</v>
      </c>
      <c r="F5" s="172">
        <v>0.775</v>
      </c>
      <c r="G5" s="173">
        <v>0.759</v>
      </c>
      <c r="H5" s="173">
        <v>0.69</v>
      </c>
      <c r="I5" s="173">
        <v>0.752</v>
      </c>
      <c r="J5" s="173">
        <v>0.749</v>
      </c>
      <c r="K5" s="173">
        <v>0.404</v>
      </c>
      <c r="L5" s="173">
        <v>0.867</v>
      </c>
      <c r="M5" s="173">
        <v>0.803</v>
      </c>
      <c r="N5" s="178">
        <v>42.0</v>
      </c>
      <c r="O5" s="179">
        <v>40.0</v>
      </c>
      <c r="P5" s="179">
        <v>25.0</v>
      </c>
      <c r="Q5" s="180">
        <v>163.0</v>
      </c>
      <c r="R5" s="175"/>
      <c r="S5" s="176"/>
      <c r="T5" s="177"/>
      <c r="U5" s="177"/>
      <c r="V5" s="177"/>
      <c r="W5" s="177"/>
      <c r="X5" s="176"/>
      <c r="Y5" s="176"/>
      <c r="Z5" s="176"/>
      <c r="AA5" s="178"/>
      <c r="AB5" s="179"/>
      <c r="AC5" s="179"/>
      <c r="AD5" s="180"/>
    </row>
    <row r="6">
      <c r="A6" s="7"/>
      <c r="C6" s="99" t="b">
        <v>1</v>
      </c>
      <c r="D6" s="99" t="s">
        <v>43</v>
      </c>
      <c r="E6" s="99" t="s">
        <v>45</v>
      </c>
      <c r="F6" s="181">
        <v>0.734</v>
      </c>
      <c r="G6" s="182">
        <v>0.721</v>
      </c>
      <c r="H6" s="182">
        <v>0.653</v>
      </c>
      <c r="I6" s="182">
        <v>0.716</v>
      </c>
      <c r="J6" s="182">
        <v>0.713</v>
      </c>
      <c r="K6" s="182">
        <v>0.317</v>
      </c>
      <c r="L6" s="182">
        <v>0.824</v>
      </c>
      <c r="M6" s="182">
        <v>0.787</v>
      </c>
      <c r="N6" s="183">
        <v>39.0</v>
      </c>
      <c r="O6" s="183">
        <v>42.0</v>
      </c>
      <c r="P6" s="183">
        <v>33.0</v>
      </c>
      <c r="Q6" s="183">
        <v>155.0</v>
      </c>
      <c r="R6" s="184"/>
      <c r="S6" s="185"/>
      <c r="T6" s="186"/>
      <c r="U6" s="186"/>
      <c r="V6" s="186"/>
      <c r="W6" s="186"/>
      <c r="X6" s="185"/>
      <c r="Y6" s="185"/>
      <c r="Z6" s="185"/>
      <c r="AA6" s="187"/>
      <c r="AB6" s="188"/>
      <c r="AC6" s="188"/>
      <c r="AD6" s="189"/>
    </row>
    <row r="7">
      <c r="A7" s="7"/>
      <c r="B7" s="109"/>
      <c r="C7" s="99" t="b">
        <v>1</v>
      </c>
      <c r="D7" s="99" t="s">
        <v>43</v>
      </c>
      <c r="E7" s="99" t="s">
        <v>46</v>
      </c>
      <c r="F7" s="190">
        <v>0.759</v>
      </c>
      <c r="G7" s="191">
        <v>0.717</v>
      </c>
      <c r="H7" s="191">
        <v>0.619</v>
      </c>
      <c r="I7" s="191">
        <v>0.698</v>
      </c>
      <c r="J7" s="191">
        <v>0.696</v>
      </c>
      <c r="K7" s="191">
        <v>0.273</v>
      </c>
      <c r="L7" s="191">
        <v>0.872</v>
      </c>
      <c r="M7" s="191">
        <v>0.758</v>
      </c>
      <c r="N7" s="192">
        <v>30.0</v>
      </c>
      <c r="O7" s="192">
        <v>52.0</v>
      </c>
      <c r="P7" s="192">
        <v>24.0</v>
      </c>
      <c r="Q7" s="192">
        <v>163.0</v>
      </c>
      <c r="R7" s="193"/>
      <c r="S7" s="194"/>
      <c r="T7" s="195"/>
      <c r="U7" s="195"/>
      <c r="V7" s="195"/>
      <c r="W7" s="195"/>
      <c r="X7" s="194"/>
      <c r="Y7" s="194"/>
      <c r="Z7" s="194"/>
      <c r="AA7" s="196"/>
      <c r="AB7" s="197"/>
      <c r="AC7" s="197"/>
      <c r="AD7" s="198"/>
    </row>
    <row r="8">
      <c r="A8" s="7"/>
      <c r="B8" s="114" t="s">
        <v>47</v>
      </c>
      <c r="C8" s="30"/>
      <c r="D8" s="30"/>
      <c r="E8" s="72"/>
      <c r="F8" s="199">
        <f t="shared" ref="F8:Q8" si="1">AVERAGE(F5:F7)</f>
        <v>0.756</v>
      </c>
      <c r="G8" s="199">
        <f t="shared" si="1"/>
        <v>0.7323333333</v>
      </c>
      <c r="H8" s="199">
        <f t="shared" si="1"/>
        <v>0.654</v>
      </c>
      <c r="I8" s="199">
        <f t="shared" si="1"/>
        <v>0.722</v>
      </c>
      <c r="J8" s="199">
        <f t="shared" si="1"/>
        <v>0.7193333333</v>
      </c>
      <c r="K8" s="199">
        <f t="shared" si="1"/>
        <v>0.3313333333</v>
      </c>
      <c r="L8" s="199">
        <f t="shared" si="1"/>
        <v>0.8543333333</v>
      </c>
      <c r="M8" s="199">
        <f t="shared" si="1"/>
        <v>0.7826666667</v>
      </c>
      <c r="N8" s="199">
        <f t="shared" si="1"/>
        <v>37</v>
      </c>
      <c r="O8" s="199">
        <f t="shared" si="1"/>
        <v>44.66666667</v>
      </c>
      <c r="P8" s="199">
        <f t="shared" si="1"/>
        <v>27.33333333</v>
      </c>
      <c r="Q8" s="199">
        <f t="shared" si="1"/>
        <v>160.3333333</v>
      </c>
      <c r="R8" s="200"/>
      <c r="S8" s="199" t="str">
        <f t="shared" ref="S8:AD8" si="2">AVERAGE(S5:S7)</f>
        <v>#DIV/0!</v>
      </c>
      <c r="T8" s="117" t="str">
        <f t="shared" si="2"/>
        <v>#DIV/0!</v>
      </c>
      <c r="U8" s="199" t="str">
        <f t="shared" si="2"/>
        <v>#DIV/0!</v>
      </c>
      <c r="V8" s="199" t="str">
        <f t="shared" si="2"/>
        <v>#DIV/0!</v>
      </c>
      <c r="W8" s="199" t="str">
        <f t="shared" si="2"/>
        <v>#DIV/0!</v>
      </c>
      <c r="X8" s="199" t="str">
        <f t="shared" si="2"/>
        <v>#DIV/0!</v>
      </c>
      <c r="Y8" s="199" t="str">
        <f t="shared" si="2"/>
        <v>#DIV/0!</v>
      </c>
      <c r="Z8" s="199" t="str">
        <f t="shared" si="2"/>
        <v>#DIV/0!</v>
      </c>
      <c r="AA8" s="199" t="str">
        <f t="shared" si="2"/>
        <v>#DIV/0!</v>
      </c>
      <c r="AB8" s="199" t="str">
        <f t="shared" si="2"/>
        <v>#DIV/0!</v>
      </c>
      <c r="AC8" s="199" t="str">
        <f t="shared" si="2"/>
        <v>#DIV/0!</v>
      </c>
      <c r="AD8" s="201" t="str">
        <f t="shared" si="2"/>
        <v>#DIV/0!</v>
      </c>
    </row>
    <row r="9">
      <c r="A9" s="119"/>
      <c r="B9" s="120" t="s">
        <v>48</v>
      </c>
      <c r="C9" s="121"/>
      <c r="D9" s="121"/>
      <c r="E9" s="122"/>
      <c r="F9" s="202">
        <f t="shared" ref="F9:Q9" si="3">STDEV(F5:F7)</f>
        <v>0.02066397832</v>
      </c>
      <c r="G9" s="202">
        <f t="shared" si="3"/>
        <v>0.02318045153</v>
      </c>
      <c r="H9" s="202">
        <f t="shared" si="3"/>
        <v>0.03551056181</v>
      </c>
      <c r="I9" s="202">
        <f t="shared" si="3"/>
        <v>0.02749545417</v>
      </c>
      <c r="J9" s="202">
        <f t="shared" si="3"/>
        <v>0.02706165799</v>
      </c>
      <c r="K9" s="202">
        <f t="shared" si="3"/>
        <v>0.06666583333</v>
      </c>
      <c r="L9" s="202">
        <f t="shared" si="3"/>
        <v>0.02638812864</v>
      </c>
      <c r="M9" s="202">
        <f t="shared" si="3"/>
        <v>0.02281081615</v>
      </c>
      <c r="N9" s="202">
        <f t="shared" si="3"/>
        <v>6.244997998</v>
      </c>
      <c r="O9" s="202">
        <f t="shared" si="3"/>
        <v>6.429100507</v>
      </c>
      <c r="P9" s="202">
        <f t="shared" si="3"/>
        <v>4.932882862</v>
      </c>
      <c r="Q9" s="202">
        <f t="shared" si="3"/>
        <v>4.618802154</v>
      </c>
      <c r="R9" s="202"/>
      <c r="S9" s="202" t="str">
        <f t="shared" ref="S9:AD9" si="4">STDEV(S5:S7)</f>
        <v>#DIV/0!</v>
      </c>
      <c r="T9" s="202" t="str">
        <f t="shared" si="4"/>
        <v>#DIV/0!</v>
      </c>
      <c r="U9" s="202" t="str">
        <f t="shared" si="4"/>
        <v>#DIV/0!</v>
      </c>
      <c r="V9" s="202" t="str">
        <f t="shared" si="4"/>
        <v>#DIV/0!</v>
      </c>
      <c r="W9" s="202" t="str">
        <f t="shared" si="4"/>
        <v>#DIV/0!</v>
      </c>
      <c r="X9" s="202" t="str">
        <f t="shared" si="4"/>
        <v>#DIV/0!</v>
      </c>
      <c r="Y9" s="202" t="str">
        <f t="shared" si="4"/>
        <v>#DIV/0!</v>
      </c>
      <c r="Z9" s="202" t="str">
        <f t="shared" si="4"/>
        <v>#DIV/0!</v>
      </c>
      <c r="AA9" s="202" t="str">
        <f t="shared" si="4"/>
        <v>#DIV/0!</v>
      </c>
      <c r="AB9" s="202" t="str">
        <f t="shared" si="4"/>
        <v>#DIV/0!</v>
      </c>
      <c r="AC9" s="202" t="str">
        <f t="shared" si="4"/>
        <v>#DIV/0!</v>
      </c>
      <c r="AD9" s="202" t="str">
        <f t="shared" si="4"/>
        <v>#DIV/0!</v>
      </c>
    </row>
    <row r="10">
      <c r="A10" s="171" t="s">
        <v>65</v>
      </c>
      <c r="B10" s="88">
        <v>10.0</v>
      </c>
      <c r="C10" s="89" t="b">
        <v>1</v>
      </c>
      <c r="D10" s="89" t="s">
        <v>43</v>
      </c>
      <c r="E10" s="89" t="s">
        <v>44</v>
      </c>
      <c r="F10" s="172">
        <v>0.794</v>
      </c>
      <c r="G10" s="173">
        <v>0.789</v>
      </c>
      <c r="H10" s="173">
        <v>0.728</v>
      </c>
      <c r="I10" s="173">
        <v>0.783</v>
      </c>
      <c r="J10" s="173">
        <v>0.782</v>
      </c>
      <c r="K10" s="173">
        <v>0.481</v>
      </c>
      <c r="L10" s="173">
        <v>0.883</v>
      </c>
      <c r="M10" s="173">
        <v>0.826</v>
      </c>
      <c r="N10" s="174">
        <v>47.0</v>
      </c>
      <c r="O10" s="174">
        <v>35.0</v>
      </c>
      <c r="P10" s="174">
        <v>22.0</v>
      </c>
      <c r="Q10" s="174">
        <v>166.0</v>
      </c>
      <c r="R10" s="175"/>
      <c r="S10" s="176"/>
      <c r="T10" s="177"/>
      <c r="U10" s="177"/>
      <c r="V10" s="177"/>
      <c r="W10" s="177"/>
      <c r="X10" s="176"/>
      <c r="Y10" s="176"/>
      <c r="Z10" s="176"/>
      <c r="AA10" s="178"/>
      <c r="AB10" s="179"/>
      <c r="AC10" s="179"/>
      <c r="AD10" s="180"/>
    </row>
    <row r="11">
      <c r="A11" s="7"/>
      <c r="C11" s="99" t="b">
        <v>1</v>
      </c>
      <c r="D11" s="99" t="s">
        <v>43</v>
      </c>
      <c r="E11" s="99" t="s">
        <v>45</v>
      </c>
      <c r="F11" s="181">
        <v>0.746</v>
      </c>
      <c r="G11" s="182">
        <v>0.714</v>
      </c>
      <c r="H11" s="182">
        <v>0.679</v>
      </c>
      <c r="I11" s="182">
        <v>0.719</v>
      </c>
      <c r="J11" s="182">
        <v>0.726</v>
      </c>
      <c r="K11" s="182">
        <v>0.347</v>
      </c>
      <c r="L11" s="182">
        <v>0.766</v>
      </c>
      <c r="M11" s="182">
        <v>0.814</v>
      </c>
      <c r="N11" s="183">
        <v>48.0</v>
      </c>
      <c r="O11" s="183">
        <v>33.0</v>
      </c>
      <c r="P11" s="183">
        <v>44.0</v>
      </c>
      <c r="Q11" s="183">
        <v>144.0</v>
      </c>
      <c r="R11" s="184"/>
      <c r="S11" s="185"/>
      <c r="T11" s="186"/>
      <c r="U11" s="186"/>
      <c r="V11" s="186"/>
      <c r="W11" s="186"/>
      <c r="X11" s="185"/>
      <c r="Y11" s="185"/>
      <c r="Z11" s="185"/>
      <c r="AA11" s="187"/>
      <c r="AB11" s="188"/>
      <c r="AC11" s="188"/>
      <c r="AD11" s="189"/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90">
        <v>0.778</v>
      </c>
      <c r="G12" s="191">
        <v>0.725</v>
      </c>
      <c r="H12" s="191">
        <v>0.669</v>
      </c>
      <c r="I12" s="191">
        <v>0.723</v>
      </c>
      <c r="J12" s="191">
        <v>0.721</v>
      </c>
      <c r="K12" s="191">
        <v>0.342</v>
      </c>
      <c r="L12" s="191">
        <v>0.813</v>
      </c>
      <c r="M12" s="191">
        <v>0.796</v>
      </c>
      <c r="N12" s="192">
        <v>43.0</v>
      </c>
      <c r="O12" s="192">
        <v>39.0</v>
      </c>
      <c r="P12" s="192">
        <v>35.0</v>
      </c>
      <c r="Q12" s="192">
        <v>152.0</v>
      </c>
      <c r="R12" s="193"/>
      <c r="S12" s="194"/>
      <c r="T12" s="195"/>
      <c r="U12" s="195"/>
      <c r="V12" s="195"/>
      <c r="W12" s="195"/>
      <c r="X12" s="194"/>
      <c r="Y12" s="194"/>
      <c r="Z12" s="194"/>
      <c r="AA12" s="196"/>
      <c r="AB12" s="197"/>
      <c r="AC12" s="197"/>
      <c r="AD12" s="198"/>
    </row>
    <row r="13">
      <c r="A13" s="7"/>
      <c r="B13" s="114" t="s">
        <v>47</v>
      </c>
      <c r="C13" s="30"/>
      <c r="D13" s="30"/>
      <c r="E13" s="72"/>
      <c r="F13" s="117">
        <f t="shared" ref="F13:Q13" si="5">AVERAGE(F10:F12)</f>
        <v>0.7726666667</v>
      </c>
      <c r="G13" s="117">
        <f t="shared" si="5"/>
        <v>0.7426666667</v>
      </c>
      <c r="H13" s="199">
        <f t="shared" si="5"/>
        <v>0.692</v>
      </c>
      <c r="I13" s="161">
        <f t="shared" si="5"/>
        <v>0.7416666667</v>
      </c>
      <c r="J13" s="199">
        <f t="shared" si="5"/>
        <v>0.743</v>
      </c>
      <c r="K13" s="199">
        <f t="shared" si="5"/>
        <v>0.39</v>
      </c>
      <c r="L13" s="199">
        <f t="shared" si="5"/>
        <v>0.8206666667</v>
      </c>
      <c r="M13" s="199">
        <f t="shared" si="5"/>
        <v>0.812</v>
      </c>
      <c r="N13" s="161">
        <f t="shared" si="5"/>
        <v>46</v>
      </c>
      <c r="O13" s="161">
        <f t="shared" si="5"/>
        <v>35.66666667</v>
      </c>
      <c r="P13" s="199">
        <f t="shared" si="5"/>
        <v>33.66666667</v>
      </c>
      <c r="Q13" s="199">
        <f t="shared" si="5"/>
        <v>154</v>
      </c>
      <c r="R13" s="200"/>
      <c r="S13" s="117" t="str">
        <f t="shared" ref="S13:AD13" si="6">AVERAGE(S10:S12)</f>
        <v>#DIV/0!</v>
      </c>
      <c r="T13" s="199" t="str">
        <f t="shared" si="6"/>
        <v>#DIV/0!</v>
      </c>
      <c r="U13" s="199" t="str">
        <f t="shared" si="6"/>
        <v>#DIV/0!</v>
      </c>
      <c r="V13" s="117" t="str">
        <f t="shared" si="6"/>
        <v>#DIV/0!</v>
      </c>
      <c r="W13" s="199" t="str">
        <f t="shared" si="6"/>
        <v>#DIV/0!</v>
      </c>
      <c r="X13" s="199" t="str">
        <f t="shared" si="6"/>
        <v>#DIV/0!</v>
      </c>
      <c r="Y13" s="199" t="str">
        <f t="shared" si="6"/>
        <v>#DIV/0!</v>
      </c>
      <c r="Z13" s="199" t="str">
        <f t="shared" si="6"/>
        <v>#DIV/0!</v>
      </c>
      <c r="AA13" s="199" t="str">
        <f t="shared" si="6"/>
        <v>#DIV/0!</v>
      </c>
      <c r="AB13" s="199" t="str">
        <f t="shared" si="6"/>
        <v>#DIV/0!</v>
      </c>
      <c r="AC13" s="199" t="str">
        <f t="shared" si="6"/>
        <v>#DIV/0!</v>
      </c>
      <c r="AD13" s="201" t="str">
        <f t="shared" si="6"/>
        <v>#DIV/0!</v>
      </c>
    </row>
    <row r="14">
      <c r="A14" s="119"/>
      <c r="B14" s="120" t="s">
        <v>48</v>
      </c>
      <c r="C14" s="121"/>
      <c r="D14" s="121"/>
      <c r="E14" s="122"/>
      <c r="F14" s="202">
        <f t="shared" ref="F14:Q14" si="7">STDEV(F10:F12)</f>
        <v>0.02444040371</v>
      </c>
      <c r="G14" s="202">
        <f t="shared" si="7"/>
        <v>0.04050102879</v>
      </c>
      <c r="H14" s="202">
        <f t="shared" si="7"/>
        <v>0.03157530681</v>
      </c>
      <c r="I14" s="202">
        <f t="shared" si="7"/>
        <v>0.03585154576</v>
      </c>
      <c r="J14" s="202">
        <f t="shared" si="7"/>
        <v>0.03386738844</v>
      </c>
      <c r="K14" s="202">
        <f t="shared" si="7"/>
        <v>0.07884795495</v>
      </c>
      <c r="L14" s="202">
        <f t="shared" si="7"/>
        <v>0.05887557501</v>
      </c>
      <c r="M14" s="202">
        <f t="shared" si="7"/>
        <v>0.01509966887</v>
      </c>
      <c r="N14" s="202">
        <f t="shared" si="7"/>
        <v>2.645751311</v>
      </c>
      <c r="O14" s="202">
        <f t="shared" si="7"/>
        <v>3.055050463</v>
      </c>
      <c r="P14" s="202">
        <f t="shared" si="7"/>
        <v>11.06044002</v>
      </c>
      <c r="Q14" s="202">
        <f t="shared" si="7"/>
        <v>11.13552873</v>
      </c>
      <c r="R14" s="202"/>
      <c r="S14" s="202" t="str">
        <f t="shared" ref="S14:AD14" si="8">STDEV(S10:S12)</f>
        <v>#DIV/0!</v>
      </c>
      <c r="T14" s="202" t="str">
        <f t="shared" si="8"/>
        <v>#DIV/0!</v>
      </c>
      <c r="U14" s="202" t="str">
        <f t="shared" si="8"/>
        <v>#DIV/0!</v>
      </c>
      <c r="V14" s="202" t="str">
        <f t="shared" si="8"/>
        <v>#DIV/0!</v>
      </c>
      <c r="W14" s="202" t="str">
        <f t="shared" si="8"/>
        <v>#DIV/0!</v>
      </c>
      <c r="X14" s="202" t="str">
        <f t="shared" si="8"/>
        <v>#DIV/0!</v>
      </c>
      <c r="Y14" s="202" t="str">
        <f t="shared" si="8"/>
        <v>#DIV/0!</v>
      </c>
      <c r="Z14" s="202" t="str">
        <f t="shared" si="8"/>
        <v>#DIV/0!</v>
      </c>
      <c r="AA14" s="202" t="str">
        <f t="shared" si="8"/>
        <v>#DIV/0!</v>
      </c>
      <c r="AB14" s="202" t="str">
        <f t="shared" si="8"/>
        <v>#DIV/0!</v>
      </c>
      <c r="AC14" s="202" t="str">
        <f t="shared" si="8"/>
        <v>#DIV/0!</v>
      </c>
      <c r="AD14" s="202" t="str">
        <f t="shared" si="8"/>
        <v>#DIV/0!</v>
      </c>
    </row>
    <row r="15">
      <c r="A15" s="171" t="s">
        <v>65</v>
      </c>
      <c r="B15" s="88">
        <v>100.0</v>
      </c>
      <c r="C15" s="89" t="b">
        <v>1</v>
      </c>
      <c r="D15" s="89" t="s">
        <v>43</v>
      </c>
      <c r="E15" s="89" t="s">
        <v>44</v>
      </c>
      <c r="F15" s="172">
        <v>0.778</v>
      </c>
      <c r="G15" s="173">
        <v>0.744</v>
      </c>
      <c r="H15" s="173">
        <v>0.724</v>
      </c>
      <c r="I15" s="173">
        <v>0.75</v>
      </c>
      <c r="J15" s="173">
        <v>0.76</v>
      </c>
      <c r="K15" s="173">
        <v>0.429</v>
      </c>
      <c r="L15" s="173">
        <v>0.777</v>
      </c>
      <c r="M15" s="173">
        <v>0.844</v>
      </c>
      <c r="N15" s="174">
        <v>55.0</v>
      </c>
      <c r="O15" s="174">
        <v>27.0</v>
      </c>
      <c r="P15" s="174">
        <v>42.0</v>
      </c>
      <c r="Q15" s="174">
        <v>146.0</v>
      </c>
      <c r="R15" s="175"/>
      <c r="S15" s="176"/>
      <c r="T15" s="177"/>
      <c r="U15" s="177"/>
      <c r="V15" s="177"/>
      <c r="W15" s="177"/>
      <c r="X15" s="176"/>
      <c r="Y15" s="176"/>
      <c r="Z15" s="176"/>
      <c r="AA15" s="178"/>
      <c r="AB15" s="179"/>
      <c r="AC15" s="179"/>
      <c r="AD15" s="180"/>
    </row>
    <row r="16">
      <c r="A16" s="7"/>
      <c r="C16" s="99" t="b">
        <v>1</v>
      </c>
      <c r="D16" s="99" t="s">
        <v>43</v>
      </c>
      <c r="E16" s="99" t="s">
        <v>45</v>
      </c>
      <c r="F16" s="181">
        <v>0.747</v>
      </c>
      <c r="G16" s="182">
        <v>0.725</v>
      </c>
      <c r="H16" s="182">
        <v>0.596</v>
      </c>
      <c r="I16" s="182">
        <v>0.688</v>
      </c>
      <c r="J16" s="182">
        <v>0.7</v>
      </c>
      <c r="K16" s="182">
        <v>0.255</v>
      </c>
      <c r="L16" s="182">
        <v>0.92</v>
      </c>
      <c r="M16" s="182">
        <v>0.746</v>
      </c>
      <c r="N16" s="183">
        <v>22.0</v>
      </c>
      <c r="O16" s="183">
        <v>59.0</v>
      </c>
      <c r="P16" s="183">
        <v>15.0</v>
      </c>
      <c r="Q16" s="183">
        <v>173.0</v>
      </c>
      <c r="R16" s="184"/>
      <c r="S16" s="185"/>
      <c r="T16" s="186"/>
      <c r="U16" s="186"/>
      <c r="V16" s="186"/>
      <c r="W16" s="186"/>
      <c r="X16" s="185"/>
      <c r="Y16" s="185"/>
      <c r="Z16" s="185"/>
      <c r="AA16" s="187"/>
      <c r="AB16" s="188"/>
      <c r="AC16" s="188"/>
      <c r="AD16" s="189"/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90">
        <v>0.699</v>
      </c>
      <c r="G17" s="191">
        <v>0.695</v>
      </c>
      <c r="H17" s="191">
        <v>0.5</v>
      </c>
      <c r="I17" s="191">
        <v>0.57</v>
      </c>
      <c r="J17" s="191">
        <v>0.788</v>
      </c>
      <c r="K17" s="191">
        <v>0.0</v>
      </c>
      <c r="L17" s="191">
        <v>1.0</v>
      </c>
      <c r="M17" s="191">
        <v>0.695</v>
      </c>
      <c r="N17" s="192">
        <v>0.0</v>
      </c>
      <c r="O17" s="192">
        <v>82.0</v>
      </c>
      <c r="P17" s="192">
        <v>0.0</v>
      </c>
      <c r="Q17" s="192">
        <v>187.0</v>
      </c>
      <c r="R17" s="193"/>
      <c r="S17" s="194"/>
      <c r="T17" s="195"/>
      <c r="U17" s="195"/>
      <c r="V17" s="195"/>
      <c r="W17" s="195"/>
      <c r="X17" s="194"/>
      <c r="Y17" s="194"/>
      <c r="Z17" s="194"/>
      <c r="AA17" s="196"/>
      <c r="AB17" s="197"/>
      <c r="AC17" s="197"/>
      <c r="AD17" s="198"/>
    </row>
    <row r="18">
      <c r="A18" s="7"/>
      <c r="B18" s="114" t="s">
        <v>47</v>
      </c>
      <c r="C18" s="30"/>
      <c r="D18" s="30"/>
      <c r="E18" s="72"/>
      <c r="F18" s="199">
        <f t="shared" ref="F18:Q18" si="9">AVERAGE(F15:F17)</f>
        <v>0.7413333333</v>
      </c>
      <c r="G18" s="199">
        <f t="shared" si="9"/>
        <v>0.7213333333</v>
      </c>
      <c r="H18" s="199">
        <f t="shared" si="9"/>
        <v>0.6066666667</v>
      </c>
      <c r="I18" s="199">
        <f t="shared" si="9"/>
        <v>0.6693333333</v>
      </c>
      <c r="J18" s="161">
        <f t="shared" si="9"/>
        <v>0.7493333333</v>
      </c>
      <c r="K18" s="115">
        <f t="shared" si="9"/>
        <v>0.228</v>
      </c>
      <c r="L18" s="117">
        <f t="shared" si="9"/>
        <v>0.899</v>
      </c>
      <c r="M18" s="115">
        <f t="shared" si="9"/>
        <v>0.7616666667</v>
      </c>
      <c r="N18" s="115">
        <f t="shared" si="9"/>
        <v>25.66666667</v>
      </c>
      <c r="O18" s="115">
        <f t="shared" si="9"/>
        <v>56</v>
      </c>
      <c r="P18" s="161">
        <f t="shared" si="9"/>
        <v>19</v>
      </c>
      <c r="Q18" s="161">
        <f t="shared" si="9"/>
        <v>168.6666667</v>
      </c>
      <c r="R18" s="200"/>
      <c r="S18" s="199" t="str">
        <f t="shared" ref="S18:AD18" si="10">AVERAGE(S15:S17)</f>
        <v>#DIV/0!</v>
      </c>
      <c r="T18" s="199" t="str">
        <f t="shared" si="10"/>
        <v>#DIV/0!</v>
      </c>
      <c r="U18" s="199" t="str">
        <f t="shared" si="10"/>
        <v>#DIV/0!</v>
      </c>
      <c r="V18" s="199" t="str">
        <f t="shared" si="10"/>
        <v>#DIV/0!</v>
      </c>
      <c r="W18" s="199" t="str">
        <f t="shared" si="10"/>
        <v>#DIV/0!</v>
      </c>
      <c r="X18" s="199" t="str">
        <f t="shared" si="10"/>
        <v>#DIV/0!</v>
      </c>
      <c r="Y18" s="199" t="str">
        <f t="shared" si="10"/>
        <v>#DIV/0!</v>
      </c>
      <c r="Z18" s="199" t="str">
        <f t="shared" si="10"/>
        <v>#DIV/0!</v>
      </c>
      <c r="AA18" s="199" t="str">
        <f t="shared" si="10"/>
        <v>#DIV/0!</v>
      </c>
      <c r="AB18" s="199" t="str">
        <f t="shared" si="10"/>
        <v>#DIV/0!</v>
      </c>
      <c r="AC18" s="199" t="str">
        <f t="shared" si="10"/>
        <v>#DIV/0!</v>
      </c>
      <c r="AD18" s="201" t="str">
        <f t="shared" si="10"/>
        <v>#DIV/0!</v>
      </c>
    </row>
    <row r="19">
      <c r="A19" s="119"/>
      <c r="B19" s="120" t="s">
        <v>48</v>
      </c>
      <c r="C19" s="121"/>
      <c r="D19" s="121"/>
      <c r="E19" s="122"/>
      <c r="F19" s="202">
        <f t="shared" ref="F19:Q19" si="11">STDEV(F15:F17)</f>
        <v>0.03980368492</v>
      </c>
      <c r="G19" s="202">
        <f t="shared" si="11"/>
        <v>0.02470492528</v>
      </c>
      <c r="H19" s="202">
        <f t="shared" si="11"/>
        <v>0.1123803067</v>
      </c>
      <c r="I19" s="202">
        <f t="shared" si="11"/>
        <v>0.09144032663</v>
      </c>
      <c r="J19" s="202">
        <f t="shared" si="11"/>
        <v>0.0449592408</v>
      </c>
      <c r="K19" s="202">
        <f t="shared" si="11"/>
        <v>0.2157707116</v>
      </c>
      <c r="L19" s="202">
        <f t="shared" si="11"/>
        <v>0.1129734482</v>
      </c>
      <c r="M19" s="202">
        <f t="shared" si="11"/>
        <v>0.07572538104</v>
      </c>
      <c r="N19" s="202">
        <f t="shared" si="11"/>
        <v>27.68272626</v>
      </c>
      <c r="O19" s="202">
        <f t="shared" si="11"/>
        <v>27.62245463</v>
      </c>
      <c r="P19" s="202">
        <f t="shared" si="11"/>
        <v>21.28379665</v>
      </c>
      <c r="Q19" s="202">
        <f t="shared" si="11"/>
        <v>20.84066538</v>
      </c>
      <c r="R19" s="202"/>
      <c r="S19" s="202" t="str">
        <f t="shared" ref="S19:AD19" si="12">STDEV(S15:S17)</f>
        <v>#DIV/0!</v>
      </c>
      <c r="T19" s="202" t="str">
        <f t="shared" si="12"/>
        <v>#DIV/0!</v>
      </c>
      <c r="U19" s="202" t="str">
        <f t="shared" si="12"/>
        <v>#DIV/0!</v>
      </c>
      <c r="V19" s="202" t="str">
        <f t="shared" si="12"/>
        <v>#DIV/0!</v>
      </c>
      <c r="W19" s="202" t="str">
        <f t="shared" si="12"/>
        <v>#DIV/0!</v>
      </c>
      <c r="X19" s="202" t="str">
        <f t="shared" si="12"/>
        <v>#DIV/0!</v>
      </c>
      <c r="Y19" s="202" t="str">
        <f t="shared" si="12"/>
        <v>#DIV/0!</v>
      </c>
      <c r="Z19" s="202" t="str">
        <f t="shared" si="12"/>
        <v>#DIV/0!</v>
      </c>
      <c r="AA19" s="202" t="str">
        <f t="shared" si="12"/>
        <v>#DIV/0!</v>
      </c>
      <c r="AB19" s="202" t="str">
        <f t="shared" si="12"/>
        <v>#DIV/0!</v>
      </c>
      <c r="AC19" s="202" t="str">
        <f t="shared" si="12"/>
        <v>#DIV/0!</v>
      </c>
      <c r="AD19" s="202" t="str">
        <f t="shared" si="12"/>
        <v>#DIV/0!</v>
      </c>
    </row>
    <row r="20">
      <c r="A20" s="171" t="s">
        <v>65</v>
      </c>
      <c r="B20" s="88">
        <v>2025.0</v>
      </c>
      <c r="C20" s="89" t="b">
        <v>1</v>
      </c>
      <c r="D20" s="89" t="s">
        <v>43</v>
      </c>
      <c r="E20" s="89" t="s">
        <v>44</v>
      </c>
      <c r="F20" s="172">
        <v>0.751</v>
      </c>
      <c r="G20" s="173">
        <v>0.722</v>
      </c>
      <c r="H20" s="173">
        <v>0.666</v>
      </c>
      <c r="I20" s="173">
        <v>0.721</v>
      </c>
      <c r="J20" s="173">
        <v>0.719</v>
      </c>
      <c r="K20" s="173">
        <v>0.336</v>
      </c>
      <c r="L20" s="173">
        <v>0.809</v>
      </c>
      <c r="M20" s="173">
        <v>0.796</v>
      </c>
      <c r="N20" s="174">
        <v>43.0</v>
      </c>
      <c r="O20" s="174">
        <v>39.0</v>
      </c>
      <c r="P20" s="174">
        <v>36.0</v>
      </c>
      <c r="Q20" s="174">
        <v>152.0</v>
      </c>
      <c r="R20" s="175"/>
      <c r="S20" s="176"/>
      <c r="T20" s="177"/>
      <c r="U20" s="177"/>
      <c r="V20" s="177"/>
      <c r="W20" s="177"/>
      <c r="X20" s="176"/>
      <c r="Y20" s="176"/>
      <c r="Z20" s="176"/>
      <c r="AA20" s="178"/>
      <c r="AB20" s="179"/>
      <c r="AC20" s="179"/>
      <c r="AD20" s="180"/>
    </row>
    <row r="21">
      <c r="A21" s="7"/>
      <c r="C21" s="99" t="b">
        <v>1</v>
      </c>
      <c r="D21" s="99" t="s">
        <v>43</v>
      </c>
      <c r="E21" s="99" t="s">
        <v>45</v>
      </c>
      <c r="F21" s="181">
        <v>0.717</v>
      </c>
      <c r="G21" s="182">
        <v>0.732</v>
      </c>
      <c r="H21" s="182">
        <v>0.612</v>
      </c>
      <c r="I21" s="182">
        <v>0.701</v>
      </c>
      <c r="J21" s="182">
        <v>0.711</v>
      </c>
      <c r="K21" s="182">
        <v>0.285</v>
      </c>
      <c r="L21" s="182">
        <v>0.915</v>
      </c>
      <c r="M21" s="182">
        <v>0.754</v>
      </c>
      <c r="N21" s="183">
        <v>25.0</v>
      </c>
      <c r="O21" s="183">
        <v>56.0</v>
      </c>
      <c r="P21" s="183">
        <v>16.0</v>
      </c>
      <c r="Q21" s="183">
        <v>172.0</v>
      </c>
      <c r="R21" s="184"/>
      <c r="S21" s="185"/>
      <c r="T21" s="186"/>
      <c r="U21" s="186"/>
      <c r="V21" s="186"/>
      <c r="W21" s="186"/>
      <c r="X21" s="185"/>
      <c r="Y21" s="185"/>
      <c r="Z21" s="185"/>
      <c r="AA21" s="187"/>
      <c r="AB21" s="188"/>
      <c r="AC21" s="188"/>
      <c r="AD21" s="189"/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90">
        <v>0.778</v>
      </c>
      <c r="G22" s="191">
        <v>0.699</v>
      </c>
      <c r="H22" s="191">
        <v>0.554</v>
      </c>
      <c r="I22" s="191">
        <v>0.646</v>
      </c>
      <c r="J22" s="191">
        <v>0.659</v>
      </c>
      <c r="K22" s="191">
        <v>0.16</v>
      </c>
      <c r="L22" s="191">
        <v>0.925</v>
      </c>
      <c r="M22" s="191">
        <v>0.721</v>
      </c>
      <c r="N22" s="192">
        <v>15.0</v>
      </c>
      <c r="O22" s="192">
        <v>67.0</v>
      </c>
      <c r="P22" s="192">
        <v>14.0</v>
      </c>
      <c r="Q22" s="192">
        <v>173.0</v>
      </c>
      <c r="R22" s="193"/>
      <c r="S22" s="194"/>
      <c r="T22" s="195"/>
      <c r="U22" s="195"/>
      <c r="V22" s="195"/>
      <c r="W22" s="195"/>
      <c r="X22" s="194"/>
      <c r="Y22" s="194"/>
      <c r="Z22" s="194"/>
      <c r="AA22" s="196"/>
      <c r="AB22" s="197"/>
      <c r="AC22" s="197"/>
      <c r="AD22" s="198"/>
    </row>
    <row r="23">
      <c r="A23" s="7"/>
      <c r="B23" s="114" t="s">
        <v>47</v>
      </c>
      <c r="C23" s="30"/>
      <c r="D23" s="30"/>
      <c r="E23" s="72"/>
      <c r="F23" s="199">
        <f t="shared" ref="F23:Q23" si="13">AVERAGE(F20:F22)</f>
        <v>0.7486666667</v>
      </c>
      <c r="G23" s="199">
        <f t="shared" si="13"/>
        <v>0.7176666667</v>
      </c>
      <c r="H23" s="199">
        <f t="shared" si="13"/>
        <v>0.6106666667</v>
      </c>
      <c r="I23" s="199">
        <f t="shared" si="13"/>
        <v>0.6893333333</v>
      </c>
      <c r="J23" s="199">
        <f t="shared" si="13"/>
        <v>0.6963333333</v>
      </c>
      <c r="K23" s="199">
        <f t="shared" si="13"/>
        <v>0.2603333333</v>
      </c>
      <c r="L23" s="199">
        <f t="shared" si="13"/>
        <v>0.883</v>
      </c>
      <c r="M23" s="199">
        <f t="shared" si="13"/>
        <v>0.757</v>
      </c>
      <c r="N23" s="199">
        <f t="shared" si="13"/>
        <v>27.66666667</v>
      </c>
      <c r="O23" s="199">
        <f t="shared" si="13"/>
        <v>54</v>
      </c>
      <c r="P23" s="199">
        <f t="shared" si="13"/>
        <v>22</v>
      </c>
      <c r="Q23" s="199">
        <f t="shared" si="13"/>
        <v>165.6666667</v>
      </c>
      <c r="R23" s="200"/>
      <c r="S23" s="199" t="str">
        <f t="shared" ref="S23:AD23" si="14">AVERAGE(S20:S22)</f>
        <v>#DIV/0!</v>
      </c>
      <c r="T23" s="199" t="str">
        <f t="shared" si="14"/>
        <v>#DIV/0!</v>
      </c>
      <c r="U23" s="199" t="str">
        <f t="shared" si="14"/>
        <v>#DIV/0!</v>
      </c>
      <c r="V23" s="199" t="str">
        <f t="shared" si="14"/>
        <v>#DIV/0!</v>
      </c>
      <c r="W23" s="199" t="str">
        <f t="shared" si="14"/>
        <v>#DIV/0!</v>
      </c>
      <c r="X23" s="199" t="str">
        <f t="shared" si="14"/>
        <v>#DIV/0!</v>
      </c>
      <c r="Y23" s="199" t="str">
        <f t="shared" si="14"/>
        <v>#DIV/0!</v>
      </c>
      <c r="Z23" s="199" t="str">
        <f t="shared" si="14"/>
        <v>#DIV/0!</v>
      </c>
      <c r="AA23" s="199" t="str">
        <f t="shared" si="14"/>
        <v>#DIV/0!</v>
      </c>
      <c r="AB23" s="199" t="str">
        <f t="shared" si="14"/>
        <v>#DIV/0!</v>
      </c>
      <c r="AC23" s="199" t="str">
        <f t="shared" si="14"/>
        <v>#DIV/0!</v>
      </c>
      <c r="AD23" s="201" t="str">
        <f t="shared" si="14"/>
        <v>#DIV/0!</v>
      </c>
    </row>
    <row r="24">
      <c r="A24" s="119"/>
      <c r="B24" s="120" t="s">
        <v>48</v>
      </c>
      <c r="C24" s="121"/>
      <c r="D24" s="121"/>
      <c r="E24" s="122"/>
      <c r="F24" s="202">
        <f t="shared" ref="F24:Q24" si="15">STDEV(F20:F22)</f>
        <v>0.03056686659</v>
      </c>
      <c r="G24" s="202">
        <f t="shared" si="15"/>
        <v>0.01692138686</v>
      </c>
      <c r="H24" s="202">
        <f t="shared" si="15"/>
        <v>0.0560119035</v>
      </c>
      <c r="I24" s="202">
        <f t="shared" si="15"/>
        <v>0.03883726733</v>
      </c>
      <c r="J24" s="202">
        <f t="shared" si="15"/>
        <v>0.03257811126</v>
      </c>
      <c r="K24" s="202">
        <f t="shared" si="15"/>
        <v>0.09055569189</v>
      </c>
      <c r="L24" s="202">
        <f t="shared" si="15"/>
        <v>0.06428063472</v>
      </c>
      <c r="M24" s="202">
        <f t="shared" si="15"/>
        <v>0.03758989226</v>
      </c>
      <c r="N24" s="202">
        <f t="shared" si="15"/>
        <v>14.18919777</v>
      </c>
      <c r="O24" s="202">
        <f t="shared" si="15"/>
        <v>14.10673598</v>
      </c>
      <c r="P24" s="202">
        <f t="shared" si="15"/>
        <v>12.16552506</v>
      </c>
      <c r="Q24" s="202">
        <f t="shared" si="15"/>
        <v>11.8462371</v>
      </c>
      <c r="R24" s="202"/>
      <c r="S24" s="202" t="str">
        <f t="shared" ref="S24:AD24" si="16">STDEV(S20:S22)</f>
        <v>#DIV/0!</v>
      </c>
      <c r="T24" s="202" t="str">
        <f t="shared" si="16"/>
        <v>#DIV/0!</v>
      </c>
      <c r="U24" s="202" t="str">
        <f t="shared" si="16"/>
        <v>#DIV/0!</v>
      </c>
      <c r="V24" s="202" t="str">
        <f t="shared" si="16"/>
        <v>#DIV/0!</v>
      </c>
      <c r="W24" s="202" t="str">
        <f t="shared" si="16"/>
        <v>#DIV/0!</v>
      </c>
      <c r="X24" s="202" t="str">
        <f t="shared" si="16"/>
        <v>#DIV/0!</v>
      </c>
      <c r="Y24" s="202" t="str">
        <f t="shared" si="16"/>
        <v>#DIV/0!</v>
      </c>
      <c r="Z24" s="202" t="str">
        <f t="shared" si="16"/>
        <v>#DIV/0!</v>
      </c>
      <c r="AA24" s="202" t="str">
        <f t="shared" si="16"/>
        <v>#DIV/0!</v>
      </c>
      <c r="AB24" s="202" t="str">
        <f t="shared" si="16"/>
        <v>#DIV/0!</v>
      </c>
      <c r="AC24" s="202" t="str">
        <f t="shared" si="16"/>
        <v>#DIV/0!</v>
      </c>
      <c r="AD24" s="202" t="str">
        <f t="shared" si="16"/>
        <v>#DIV/0!</v>
      </c>
    </row>
    <row r="25">
      <c r="A25" s="171" t="s">
        <v>65</v>
      </c>
      <c r="B25" s="88">
        <v>21.0</v>
      </c>
      <c r="C25" s="89" t="b">
        <v>1</v>
      </c>
      <c r="D25" s="89" t="s">
        <v>43</v>
      </c>
      <c r="E25" s="89" t="s">
        <v>44</v>
      </c>
      <c r="F25" s="172">
        <v>0.786</v>
      </c>
      <c r="G25" s="173">
        <v>0.781</v>
      </c>
      <c r="H25" s="173">
        <v>0.733</v>
      </c>
      <c r="I25" s="173">
        <v>0.779</v>
      </c>
      <c r="J25" s="173">
        <v>0.778</v>
      </c>
      <c r="K25" s="173">
        <v>0.475</v>
      </c>
      <c r="L25" s="173">
        <v>0.856</v>
      </c>
      <c r="M25" s="173">
        <v>0.834</v>
      </c>
      <c r="N25" s="174">
        <v>50.0</v>
      </c>
      <c r="O25" s="174">
        <v>32.0</v>
      </c>
      <c r="P25" s="174">
        <v>27.0</v>
      </c>
      <c r="Q25" s="174">
        <v>161.0</v>
      </c>
      <c r="R25" s="175"/>
      <c r="S25" s="176"/>
      <c r="T25" s="177"/>
      <c r="U25" s="177"/>
      <c r="V25" s="177"/>
      <c r="W25" s="177"/>
      <c r="X25" s="176"/>
      <c r="Y25" s="176"/>
      <c r="Z25" s="176"/>
      <c r="AA25" s="178"/>
      <c r="AB25" s="179"/>
      <c r="AC25" s="179"/>
      <c r="AD25" s="180"/>
    </row>
    <row r="26">
      <c r="A26" s="7"/>
      <c r="C26" s="99" t="b">
        <v>1</v>
      </c>
      <c r="D26" s="99" t="s">
        <v>43</v>
      </c>
      <c r="E26" s="99" t="s">
        <v>45</v>
      </c>
      <c r="F26" s="181">
        <v>0.75</v>
      </c>
      <c r="G26" s="182">
        <v>0.729</v>
      </c>
      <c r="H26" s="182">
        <v>0.655</v>
      </c>
      <c r="I26" s="182">
        <v>0.721</v>
      </c>
      <c r="J26" s="182">
        <v>0.718</v>
      </c>
      <c r="K26" s="182">
        <v>0.327</v>
      </c>
      <c r="L26" s="182">
        <v>0.84</v>
      </c>
      <c r="M26" s="182">
        <v>0.786</v>
      </c>
      <c r="N26" s="183">
        <v>38.0</v>
      </c>
      <c r="O26" s="183">
        <v>43.0</v>
      </c>
      <c r="P26" s="183">
        <v>30.0</v>
      </c>
      <c r="Q26" s="183">
        <v>158.0</v>
      </c>
      <c r="R26" s="184"/>
      <c r="S26" s="185"/>
      <c r="T26" s="186"/>
      <c r="U26" s="186"/>
      <c r="V26" s="186"/>
      <c r="W26" s="186"/>
      <c r="X26" s="185"/>
      <c r="Y26" s="185"/>
      <c r="Z26" s="185"/>
      <c r="AA26" s="187"/>
      <c r="AB26" s="188"/>
      <c r="AC26" s="188"/>
      <c r="AD26" s="189"/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90">
        <v>0.708</v>
      </c>
      <c r="G27" s="191">
        <v>0.703</v>
      </c>
      <c r="H27" s="191">
        <v>0.553</v>
      </c>
      <c r="I27" s="191">
        <v>0.645</v>
      </c>
      <c r="J27" s="191">
        <v>0.665</v>
      </c>
      <c r="K27" s="191">
        <v>0.166</v>
      </c>
      <c r="L27" s="191">
        <v>0.936</v>
      </c>
      <c r="M27" s="191">
        <v>0.72</v>
      </c>
      <c r="N27" s="192">
        <v>14.0</v>
      </c>
      <c r="O27" s="192">
        <v>68.0</v>
      </c>
      <c r="P27" s="192">
        <v>12.0</v>
      </c>
      <c r="Q27" s="192">
        <v>175.0</v>
      </c>
      <c r="R27" s="193"/>
      <c r="S27" s="194"/>
      <c r="T27" s="195"/>
      <c r="U27" s="195"/>
      <c r="V27" s="195"/>
      <c r="W27" s="195"/>
      <c r="X27" s="194"/>
      <c r="Y27" s="194"/>
      <c r="Z27" s="194"/>
      <c r="AA27" s="196"/>
      <c r="AB27" s="197"/>
      <c r="AC27" s="197"/>
      <c r="AD27" s="198"/>
    </row>
    <row r="28">
      <c r="A28" s="7"/>
      <c r="B28" s="114" t="s">
        <v>47</v>
      </c>
      <c r="C28" s="30"/>
      <c r="D28" s="30"/>
      <c r="E28" s="72"/>
      <c r="F28" s="199">
        <f t="shared" ref="F28:Q28" si="17">AVERAGE(F25:F27)</f>
        <v>0.748</v>
      </c>
      <c r="G28" s="199">
        <f t="shared" si="17"/>
        <v>0.7376666667</v>
      </c>
      <c r="H28" s="117">
        <f t="shared" si="17"/>
        <v>0.647</v>
      </c>
      <c r="I28" s="117">
        <f t="shared" si="17"/>
        <v>0.715</v>
      </c>
      <c r="J28" s="115">
        <f t="shared" si="17"/>
        <v>0.7203333333</v>
      </c>
      <c r="K28" s="117">
        <f t="shared" si="17"/>
        <v>0.3226666667</v>
      </c>
      <c r="L28" s="115">
        <f t="shared" si="17"/>
        <v>0.8773333333</v>
      </c>
      <c r="M28" s="117">
        <f t="shared" si="17"/>
        <v>0.78</v>
      </c>
      <c r="N28" s="117">
        <f t="shared" si="17"/>
        <v>34</v>
      </c>
      <c r="O28" s="117">
        <f t="shared" si="17"/>
        <v>47.66666667</v>
      </c>
      <c r="P28" s="199">
        <f t="shared" si="17"/>
        <v>23</v>
      </c>
      <c r="Q28" s="199">
        <f t="shared" si="17"/>
        <v>164.6666667</v>
      </c>
      <c r="R28" s="200"/>
      <c r="S28" s="199" t="str">
        <f t="shared" ref="S28:AD28" si="18">AVERAGE(S25:S27)</f>
        <v>#DIV/0!</v>
      </c>
      <c r="T28" s="199" t="str">
        <f t="shared" si="18"/>
        <v>#DIV/0!</v>
      </c>
      <c r="U28" s="199" t="str">
        <f t="shared" si="18"/>
        <v>#DIV/0!</v>
      </c>
      <c r="V28" s="199" t="str">
        <f t="shared" si="18"/>
        <v>#DIV/0!</v>
      </c>
      <c r="W28" s="199" t="str">
        <f t="shared" si="18"/>
        <v>#DIV/0!</v>
      </c>
      <c r="X28" s="199" t="str">
        <f t="shared" si="18"/>
        <v>#DIV/0!</v>
      </c>
      <c r="Y28" s="199" t="str">
        <f t="shared" si="18"/>
        <v>#DIV/0!</v>
      </c>
      <c r="Z28" s="199" t="str">
        <f t="shared" si="18"/>
        <v>#DIV/0!</v>
      </c>
      <c r="AA28" s="199" t="str">
        <f t="shared" si="18"/>
        <v>#DIV/0!</v>
      </c>
      <c r="AB28" s="199" t="str">
        <f t="shared" si="18"/>
        <v>#DIV/0!</v>
      </c>
      <c r="AC28" s="199" t="str">
        <f t="shared" si="18"/>
        <v>#DIV/0!</v>
      </c>
      <c r="AD28" s="201" t="str">
        <f t="shared" si="18"/>
        <v>#DIV/0!</v>
      </c>
    </row>
    <row r="29">
      <c r="A29" s="119"/>
      <c r="B29" s="120" t="s">
        <v>48</v>
      </c>
      <c r="C29" s="121"/>
      <c r="D29" s="121"/>
      <c r="E29" s="122"/>
      <c r="F29" s="202">
        <f t="shared" ref="F29:Q29" si="19">STDEV(F25:F27)</f>
        <v>0.03903844259</v>
      </c>
      <c r="G29" s="202">
        <f t="shared" si="19"/>
        <v>0.03971565602</v>
      </c>
      <c r="H29" s="202">
        <f t="shared" si="19"/>
        <v>0.09026627277</v>
      </c>
      <c r="I29" s="202">
        <f t="shared" si="19"/>
        <v>0.06720119047</v>
      </c>
      <c r="J29" s="202">
        <f t="shared" si="19"/>
        <v>0.05653612414</v>
      </c>
      <c r="K29" s="202">
        <f t="shared" si="19"/>
        <v>0.1545455704</v>
      </c>
      <c r="L29" s="202">
        <f t="shared" si="19"/>
        <v>0.05143280406</v>
      </c>
      <c r="M29" s="202">
        <f t="shared" si="19"/>
        <v>0.05723635209</v>
      </c>
      <c r="N29" s="202">
        <f t="shared" si="19"/>
        <v>18.33030278</v>
      </c>
      <c r="O29" s="202">
        <f t="shared" si="19"/>
        <v>18.44812547</v>
      </c>
      <c r="P29" s="202">
        <f t="shared" si="19"/>
        <v>9.643650761</v>
      </c>
      <c r="Q29" s="202">
        <f t="shared" si="19"/>
        <v>9.073771726</v>
      </c>
      <c r="R29" s="202"/>
      <c r="S29" s="202" t="str">
        <f t="shared" ref="S29:AD29" si="20">STDEV(S25:S27)</f>
        <v>#DIV/0!</v>
      </c>
      <c r="T29" s="202" t="str">
        <f t="shared" si="20"/>
        <v>#DIV/0!</v>
      </c>
      <c r="U29" s="202" t="str">
        <f t="shared" si="20"/>
        <v>#DIV/0!</v>
      </c>
      <c r="V29" s="202" t="str">
        <f t="shared" si="20"/>
        <v>#DIV/0!</v>
      </c>
      <c r="W29" s="202" t="str">
        <f t="shared" si="20"/>
        <v>#DIV/0!</v>
      </c>
      <c r="X29" s="202" t="str">
        <f t="shared" si="20"/>
        <v>#DIV/0!</v>
      </c>
      <c r="Y29" s="202" t="str">
        <f t="shared" si="20"/>
        <v>#DIV/0!</v>
      </c>
      <c r="Z29" s="202" t="str">
        <f t="shared" si="20"/>
        <v>#DIV/0!</v>
      </c>
      <c r="AA29" s="202" t="str">
        <f t="shared" si="20"/>
        <v>#DIV/0!</v>
      </c>
      <c r="AB29" s="202" t="str">
        <f t="shared" si="20"/>
        <v>#DIV/0!</v>
      </c>
      <c r="AC29" s="202" t="str">
        <f t="shared" si="20"/>
        <v>#DIV/0!</v>
      </c>
      <c r="AD29" s="202" t="str">
        <f t="shared" si="20"/>
        <v>#DIV/0!</v>
      </c>
    </row>
    <row r="30">
      <c r="A30" s="171" t="s">
        <v>65</v>
      </c>
      <c r="B30" s="88">
        <v>336.0</v>
      </c>
      <c r="C30" s="89" t="b">
        <v>1</v>
      </c>
      <c r="D30" s="89" t="s">
        <v>43</v>
      </c>
      <c r="E30" s="89" t="s">
        <v>44</v>
      </c>
      <c r="F30" s="172">
        <v>0.767</v>
      </c>
      <c r="G30" s="173">
        <v>0.77</v>
      </c>
      <c r="H30" s="173">
        <v>0.694</v>
      </c>
      <c r="I30" s="173">
        <v>0.76</v>
      </c>
      <c r="J30" s="173">
        <v>0.76</v>
      </c>
      <c r="K30" s="173">
        <v>0.425</v>
      </c>
      <c r="L30" s="173">
        <v>0.888</v>
      </c>
      <c r="M30" s="173">
        <v>0.803</v>
      </c>
      <c r="N30" s="174">
        <v>41.0</v>
      </c>
      <c r="O30" s="174">
        <v>41.0</v>
      </c>
      <c r="P30" s="174">
        <v>21.0</v>
      </c>
      <c r="Q30" s="174">
        <v>167.0</v>
      </c>
      <c r="R30" s="175"/>
      <c r="S30" s="176"/>
      <c r="T30" s="177"/>
      <c r="U30" s="177"/>
      <c r="V30" s="177"/>
      <c r="W30" s="177"/>
      <c r="X30" s="176"/>
      <c r="Y30" s="176"/>
      <c r="Z30" s="176"/>
      <c r="AA30" s="178"/>
      <c r="AB30" s="179"/>
      <c r="AC30" s="179"/>
      <c r="AD30" s="180"/>
    </row>
    <row r="31">
      <c r="A31" s="7"/>
      <c r="C31" s="99" t="b">
        <v>1</v>
      </c>
      <c r="D31" s="99" t="s">
        <v>43</v>
      </c>
      <c r="E31" s="99" t="s">
        <v>45</v>
      </c>
      <c r="F31" s="181">
        <v>0.747</v>
      </c>
      <c r="G31" s="182">
        <v>0.736</v>
      </c>
      <c r="H31" s="182">
        <v>0.681</v>
      </c>
      <c r="I31" s="182">
        <v>0.735</v>
      </c>
      <c r="J31" s="182">
        <v>0.733</v>
      </c>
      <c r="K31" s="182">
        <v>0.366</v>
      </c>
      <c r="L31" s="182">
        <v>0.819</v>
      </c>
      <c r="M31" s="182">
        <v>0.806</v>
      </c>
      <c r="N31" s="183">
        <v>44.0</v>
      </c>
      <c r="O31" s="183">
        <v>37.0</v>
      </c>
      <c r="P31" s="183">
        <v>34.0</v>
      </c>
      <c r="Q31" s="183">
        <v>154.0</v>
      </c>
      <c r="R31" s="184"/>
      <c r="S31" s="185"/>
      <c r="T31" s="186"/>
      <c r="U31" s="186"/>
      <c r="V31" s="186"/>
      <c r="W31" s="186"/>
      <c r="X31" s="185"/>
      <c r="Y31" s="185"/>
      <c r="Z31" s="185"/>
      <c r="AA31" s="187"/>
      <c r="AB31" s="188"/>
      <c r="AC31" s="188"/>
      <c r="AD31" s="189"/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90">
        <v>0.787</v>
      </c>
      <c r="G32" s="191">
        <v>0.732</v>
      </c>
      <c r="H32" s="191">
        <v>0.65</v>
      </c>
      <c r="I32" s="191">
        <v>0.721</v>
      </c>
      <c r="J32" s="191">
        <v>0.718</v>
      </c>
      <c r="K32" s="191">
        <v>0.328</v>
      </c>
      <c r="L32" s="191">
        <v>0.861</v>
      </c>
      <c r="M32" s="191">
        <v>0.778</v>
      </c>
      <c r="N32" s="192">
        <v>36.0</v>
      </c>
      <c r="O32" s="192">
        <v>46.0</v>
      </c>
      <c r="P32" s="192">
        <v>26.0</v>
      </c>
      <c r="Q32" s="192">
        <v>161.0</v>
      </c>
      <c r="R32" s="193"/>
      <c r="S32" s="194"/>
      <c r="T32" s="195"/>
      <c r="U32" s="195"/>
      <c r="V32" s="195"/>
      <c r="W32" s="195"/>
      <c r="X32" s="194"/>
      <c r="Y32" s="194"/>
      <c r="Z32" s="194"/>
      <c r="AA32" s="196"/>
      <c r="AB32" s="197"/>
      <c r="AC32" s="197"/>
      <c r="AD32" s="198"/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0.767</v>
      </c>
      <c r="G33" s="115">
        <f t="shared" si="21"/>
        <v>0.746</v>
      </c>
      <c r="H33" s="115">
        <f t="shared" si="21"/>
        <v>0.675</v>
      </c>
      <c r="I33" s="115">
        <f t="shared" si="21"/>
        <v>0.7386666667</v>
      </c>
      <c r="J33" s="117">
        <f t="shared" si="21"/>
        <v>0.737</v>
      </c>
      <c r="K33" s="199">
        <f t="shared" si="21"/>
        <v>0.373</v>
      </c>
      <c r="L33" s="199">
        <f t="shared" si="21"/>
        <v>0.856</v>
      </c>
      <c r="M33" s="199">
        <f t="shared" si="21"/>
        <v>0.7956666667</v>
      </c>
      <c r="N33" s="199">
        <f t="shared" si="21"/>
        <v>40.33333333</v>
      </c>
      <c r="O33" s="199">
        <f t="shared" si="21"/>
        <v>41.33333333</v>
      </c>
      <c r="P33" s="199">
        <f t="shared" si="21"/>
        <v>27</v>
      </c>
      <c r="Q33" s="199">
        <f t="shared" si="21"/>
        <v>160.6666667</v>
      </c>
      <c r="R33" s="200"/>
      <c r="S33" s="199" t="str">
        <f t="shared" ref="S33:AD33" si="22">AVERAGE(S30:S32)</f>
        <v>#DIV/0!</v>
      </c>
      <c r="T33" s="199" t="str">
        <f t="shared" si="22"/>
        <v>#DIV/0!</v>
      </c>
      <c r="U33" s="199" t="str">
        <f t="shared" si="22"/>
        <v>#DIV/0!</v>
      </c>
      <c r="V33" s="199" t="str">
        <f t="shared" si="22"/>
        <v>#DIV/0!</v>
      </c>
      <c r="W33" s="199" t="str">
        <f t="shared" si="22"/>
        <v>#DIV/0!</v>
      </c>
      <c r="X33" s="199" t="str">
        <f t="shared" si="22"/>
        <v>#DIV/0!</v>
      </c>
      <c r="Y33" s="199" t="str">
        <f t="shared" si="22"/>
        <v>#DIV/0!</v>
      </c>
      <c r="Z33" s="199" t="str">
        <f t="shared" si="22"/>
        <v>#DIV/0!</v>
      </c>
      <c r="AA33" s="117" t="str">
        <f t="shared" si="22"/>
        <v>#DIV/0!</v>
      </c>
      <c r="AB33" s="117" t="str">
        <f t="shared" si="22"/>
        <v>#DIV/0!</v>
      </c>
      <c r="AC33" s="199" t="str">
        <f t="shared" si="22"/>
        <v>#DIV/0!</v>
      </c>
      <c r="AD33" s="201" t="str">
        <f t="shared" si="22"/>
        <v>#DIV/0!</v>
      </c>
    </row>
    <row r="34">
      <c r="A34" s="119"/>
      <c r="B34" s="120" t="s">
        <v>48</v>
      </c>
      <c r="C34" s="121"/>
      <c r="D34" s="121"/>
      <c r="E34" s="122"/>
      <c r="F34" s="202">
        <f t="shared" ref="F34:Q34" si="23">STDEV(F30:F32)</f>
        <v>0.02</v>
      </c>
      <c r="G34" s="202">
        <f t="shared" si="23"/>
        <v>0.02088061302</v>
      </c>
      <c r="H34" s="202">
        <f t="shared" si="23"/>
        <v>0.02260530911</v>
      </c>
      <c r="I34" s="202">
        <f t="shared" si="23"/>
        <v>0.01975685535</v>
      </c>
      <c r="J34" s="202">
        <f t="shared" si="23"/>
        <v>0.02128379665</v>
      </c>
      <c r="K34" s="202">
        <f t="shared" si="23"/>
        <v>0.04887739764</v>
      </c>
      <c r="L34" s="202">
        <f t="shared" si="23"/>
        <v>0.0347706773</v>
      </c>
      <c r="M34" s="202">
        <f t="shared" si="23"/>
        <v>0.01537313674</v>
      </c>
      <c r="N34" s="202">
        <f t="shared" si="23"/>
        <v>4.041451884</v>
      </c>
      <c r="O34" s="202">
        <f t="shared" si="23"/>
        <v>4.509249753</v>
      </c>
      <c r="P34" s="202">
        <f t="shared" si="23"/>
        <v>6.557438524</v>
      </c>
      <c r="Q34" s="202">
        <f t="shared" si="23"/>
        <v>6.506407099</v>
      </c>
      <c r="R34" s="202"/>
      <c r="S34" s="202" t="str">
        <f t="shared" ref="S34:AD34" si="24">STDEV(S30:S32)</f>
        <v>#DIV/0!</v>
      </c>
      <c r="T34" s="202" t="str">
        <f t="shared" si="24"/>
        <v>#DIV/0!</v>
      </c>
      <c r="U34" s="202" t="str">
        <f t="shared" si="24"/>
        <v>#DIV/0!</v>
      </c>
      <c r="V34" s="202" t="str">
        <f t="shared" si="24"/>
        <v>#DIV/0!</v>
      </c>
      <c r="W34" s="202" t="str">
        <f t="shared" si="24"/>
        <v>#DIV/0!</v>
      </c>
      <c r="X34" s="202" t="str">
        <f t="shared" si="24"/>
        <v>#DIV/0!</v>
      </c>
      <c r="Y34" s="202" t="str">
        <f t="shared" si="24"/>
        <v>#DIV/0!</v>
      </c>
      <c r="Z34" s="202" t="str">
        <f t="shared" si="24"/>
        <v>#DIV/0!</v>
      </c>
      <c r="AA34" s="202" t="str">
        <f t="shared" si="24"/>
        <v>#DIV/0!</v>
      </c>
      <c r="AB34" s="202" t="str">
        <f t="shared" si="24"/>
        <v>#DIV/0!</v>
      </c>
      <c r="AC34" s="202" t="str">
        <f t="shared" si="24"/>
        <v>#DIV/0!</v>
      </c>
      <c r="AD34" s="202" t="str">
        <f t="shared" si="24"/>
        <v>#DIV/0!</v>
      </c>
    </row>
    <row r="35">
      <c r="A35" s="171" t="s">
        <v>65</v>
      </c>
      <c r="B35" s="88">
        <v>43.0</v>
      </c>
      <c r="C35" s="89" t="b">
        <v>1</v>
      </c>
      <c r="D35" s="89" t="s">
        <v>43</v>
      </c>
      <c r="E35" s="89" t="s">
        <v>44</v>
      </c>
      <c r="F35" s="172">
        <v>0.765</v>
      </c>
      <c r="G35" s="173">
        <v>0.748</v>
      </c>
      <c r="H35" s="173">
        <v>0.661</v>
      </c>
      <c r="I35" s="173">
        <v>0.734</v>
      </c>
      <c r="J35" s="173">
        <v>0.734</v>
      </c>
      <c r="K35" s="173">
        <v>0.361</v>
      </c>
      <c r="L35" s="173">
        <v>0.883</v>
      </c>
      <c r="M35" s="173">
        <v>0.783</v>
      </c>
      <c r="N35" s="174">
        <v>36.0</v>
      </c>
      <c r="O35" s="174">
        <v>46.0</v>
      </c>
      <c r="P35" s="174">
        <v>22.0</v>
      </c>
      <c r="Q35" s="174">
        <v>166.0</v>
      </c>
      <c r="R35" s="175"/>
      <c r="S35" s="176"/>
      <c r="T35" s="177"/>
      <c r="U35" s="177"/>
      <c r="V35" s="177"/>
      <c r="W35" s="177"/>
      <c r="X35" s="176"/>
      <c r="Y35" s="176"/>
      <c r="Z35" s="176"/>
      <c r="AA35" s="178"/>
      <c r="AB35" s="179"/>
      <c r="AC35" s="179"/>
      <c r="AD35" s="180"/>
    </row>
    <row r="36">
      <c r="A36" s="7"/>
      <c r="C36" s="99" t="b">
        <v>1</v>
      </c>
      <c r="D36" s="99" t="s">
        <v>43</v>
      </c>
      <c r="E36" s="99" t="s">
        <v>45</v>
      </c>
      <c r="F36" s="181">
        <v>0.736</v>
      </c>
      <c r="G36" s="182">
        <v>0.725</v>
      </c>
      <c r="H36" s="182">
        <v>0.596</v>
      </c>
      <c r="I36" s="182">
        <v>0.688</v>
      </c>
      <c r="J36" s="182">
        <v>0.7</v>
      </c>
      <c r="K36" s="182">
        <v>0.255</v>
      </c>
      <c r="L36" s="182">
        <v>0.92</v>
      </c>
      <c r="M36" s="182">
        <v>0.746</v>
      </c>
      <c r="N36" s="183">
        <v>22.0</v>
      </c>
      <c r="O36" s="183">
        <v>59.0</v>
      </c>
      <c r="P36" s="183">
        <v>15.0</v>
      </c>
      <c r="Q36" s="183">
        <v>173.0</v>
      </c>
      <c r="R36" s="184"/>
      <c r="S36" s="185"/>
      <c r="T36" s="186"/>
      <c r="U36" s="186"/>
      <c r="V36" s="186"/>
      <c r="W36" s="186"/>
      <c r="X36" s="185"/>
      <c r="Y36" s="185"/>
      <c r="Z36" s="185"/>
      <c r="AA36" s="187"/>
      <c r="AB36" s="188"/>
      <c r="AC36" s="188"/>
      <c r="AD36" s="189"/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90">
        <v>0.507</v>
      </c>
      <c r="G37" s="191">
        <v>0.695</v>
      </c>
      <c r="H37" s="191">
        <v>0.5</v>
      </c>
      <c r="I37" s="191">
        <v>0.57</v>
      </c>
      <c r="J37" s="191">
        <v>0.788</v>
      </c>
      <c r="K37" s="191">
        <v>0.0</v>
      </c>
      <c r="L37" s="191">
        <v>1.0</v>
      </c>
      <c r="M37" s="191">
        <v>0.695</v>
      </c>
      <c r="N37" s="192">
        <v>0.0</v>
      </c>
      <c r="O37" s="192">
        <v>82.0</v>
      </c>
      <c r="P37" s="192">
        <v>0.0</v>
      </c>
      <c r="Q37" s="192">
        <v>187.0</v>
      </c>
      <c r="R37" s="193"/>
      <c r="S37" s="194"/>
      <c r="T37" s="195"/>
      <c r="U37" s="195"/>
      <c r="V37" s="195"/>
      <c r="W37" s="195"/>
      <c r="X37" s="194"/>
      <c r="Y37" s="194"/>
      <c r="Z37" s="194"/>
      <c r="AA37" s="196"/>
      <c r="AB37" s="197"/>
      <c r="AC37" s="197"/>
      <c r="AD37" s="198"/>
    </row>
    <row r="38">
      <c r="A38" s="7"/>
      <c r="B38" s="114" t="s">
        <v>47</v>
      </c>
      <c r="C38" s="30"/>
      <c r="D38" s="30"/>
      <c r="E38" s="72"/>
      <c r="F38" s="199">
        <f t="shared" ref="F38:Q38" si="25">AVERAGE(F35:F37)</f>
        <v>0.6693333333</v>
      </c>
      <c r="G38" s="117">
        <f t="shared" si="25"/>
        <v>0.7226666667</v>
      </c>
      <c r="H38" s="117">
        <f t="shared" si="25"/>
        <v>0.5856666667</v>
      </c>
      <c r="I38" s="117">
        <f t="shared" si="25"/>
        <v>0.664</v>
      </c>
      <c r="J38" s="115">
        <f t="shared" si="25"/>
        <v>0.7406666667</v>
      </c>
      <c r="K38" s="117">
        <f t="shared" si="25"/>
        <v>0.2053333333</v>
      </c>
      <c r="L38" s="117">
        <f t="shared" si="25"/>
        <v>0.9343333333</v>
      </c>
      <c r="M38" s="117">
        <f t="shared" si="25"/>
        <v>0.7413333333</v>
      </c>
      <c r="N38" s="117">
        <f t="shared" si="25"/>
        <v>19.33333333</v>
      </c>
      <c r="O38" s="117">
        <f t="shared" si="25"/>
        <v>62.33333333</v>
      </c>
      <c r="P38" s="117">
        <f t="shared" si="25"/>
        <v>12.33333333</v>
      </c>
      <c r="Q38" s="117">
        <f t="shared" si="25"/>
        <v>175.3333333</v>
      </c>
      <c r="R38" s="200"/>
      <c r="S38" s="199" t="str">
        <f t="shared" ref="S38:AD38" si="26">AVERAGE(S35:S37)</f>
        <v>#DIV/0!</v>
      </c>
      <c r="T38" s="199" t="str">
        <f t="shared" si="26"/>
        <v>#DIV/0!</v>
      </c>
      <c r="U38" s="199" t="str">
        <f t="shared" si="26"/>
        <v>#DIV/0!</v>
      </c>
      <c r="V38" s="199" t="str">
        <f t="shared" si="26"/>
        <v>#DIV/0!</v>
      </c>
      <c r="W38" s="199" t="str">
        <f t="shared" si="26"/>
        <v>#DIV/0!</v>
      </c>
      <c r="X38" s="199" t="str">
        <f t="shared" si="26"/>
        <v>#DIV/0!</v>
      </c>
      <c r="Y38" s="199" t="str">
        <f t="shared" si="26"/>
        <v>#DIV/0!</v>
      </c>
      <c r="Z38" s="199" t="str">
        <f t="shared" si="26"/>
        <v>#DIV/0!</v>
      </c>
      <c r="AA38" s="199" t="str">
        <f t="shared" si="26"/>
        <v>#DIV/0!</v>
      </c>
      <c r="AB38" s="199" t="str">
        <f t="shared" si="26"/>
        <v>#DIV/0!</v>
      </c>
      <c r="AC38" s="199" t="str">
        <f t="shared" si="26"/>
        <v>#DIV/0!</v>
      </c>
      <c r="AD38" s="201" t="str">
        <f t="shared" si="26"/>
        <v>#DIV/0!</v>
      </c>
    </row>
    <row r="39">
      <c r="A39" s="119"/>
      <c r="B39" s="120" t="s">
        <v>48</v>
      </c>
      <c r="C39" s="121"/>
      <c r="D39" s="121"/>
      <c r="E39" s="122"/>
      <c r="F39" s="202">
        <f t="shared" ref="F39:Q39" si="27">STDEV(F35:F37)</f>
        <v>0.1413305817</v>
      </c>
      <c r="G39" s="202">
        <f t="shared" si="27"/>
        <v>0.02657693235</v>
      </c>
      <c r="H39" s="202">
        <f t="shared" si="27"/>
        <v>0.08099588467</v>
      </c>
      <c r="I39" s="202">
        <f t="shared" si="27"/>
        <v>0.08459314393</v>
      </c>
      <c r="J39" s="202">
        <f t="shared" si="27"/>
        <v>0.04437717131</v>
      </c>
      <c r="K39" s="202">
        <f t="shared" si="27"/>
        <v>0.1855541251</v>
      </c>
      <c r="L39" s="202">
        <f t="shared" si="27"/>
        <v>0.05980245257</v>
      </c>
      <c r="M39" s="202">
        <f t="shared" si="27"/>
        <v>0.04418521623</v>
      </c>
      <c r="N39" s="202">
        <f t="shared" si="27"/>
        <v>18.14754345</v>
      </c>
      <c r="O39" s="202">
        <f t="shared" si="27"/>
        <v>18.23001189</v>
      </c>
      <c r="P39" s="202">
        <f t="shared" si="27"/>
        <v>11.2398102</v>
      </c>
      <c r="Q39" s="202">
        <f t="shared" si="27"/>
        <v>10.69267662</v>
      </c>
      <c r="R39" s="202"/>
      <c r="S39" s="202" t="str">
        <f t="shared" ref="S39:AD39" si="28">STDEV(S35:S37)</f>
        <v>#DIV/0!</v>
      </c>
      <c r="T39" s="202" t="str">
        <f t="shared" si="28"/>
        <v>#DIV/0!</v>
      </c>
      <c r="U39" s="202" t="str">
        <f t="shared" si="28"/>
        <v>#DIV/0!</v>
      </c>
      <c r="V39" s="202" t="str">
        <f t="shared" si="28"/>
        <v>#DIV/0!</v>
      </c>
      <c r="W39" s="202" t="str">
        <f t="shared" si="28"/>
        <v>#DIV/0!</v>
      </c>
      <c r="X39" s="202" t="str">
        <f t="shared" si="28"/>
        <v>#DIV/0!</v>
      </c>
      <c r="Y39" s="202" t="str">
        <f t="shared" si="28"/>
        <v>#DIV/0!</v>
      </c>
      <c r="Z39" s="202" t="str">
        <f t="shared" si="28"/>
        <v>#DIV/0!</v>
      </c>
      <c r="AA39" s="202" t="str">
        <f t="shared" si="28"/>
        <v>#DIV/0!</v>
      </c>
      <c r="AB39" s="202" t="str">
        <f t="shared" si="28"/>
        <v>#DIV/0!</v>
      </c>
      <c r="AC39" s="202" t="str">
        <f t="shared" si="28"/>
        <v>#DIV/0!</v>
      </c>
      <c r="AD39" s="202" t="str">
        <f t="shared" si="28"/>
        <v>#DIV/0!</v>
      </c>
    </row>
    <row r="40">
      <c r="A40" s="171" t="s">
        <v>65</v>
      </c>
      <c r="B40" s="88">
        <v>50.0</v>
      </c>
      <c r="C40" s="89" t="b">
        <v>1</v>
      </c>
      <c r="D40" s="89" t="s">
        <v>43</v>
      </c>
      <c r="E40" s="89" t="s">
        <v>44</v>
      </c>
      <c r="F40" s="172">
        <v>0.761</v>
      </c>
      <c r="G40" s="173">
        <v>0.707</v>
      </c>
      <c r="H40" s="173">
        <v>0.701</v>
      </c>
      <c r="I40" s="173">
        <v>0.717</v>
      </c>
      <c r="J40" s="173">
        <v>0.74</v>
      </c>
      <c r="K40" s="173">
        <v>0.376</v>
      </c>
      <c r="L40" s="173">
        <v>0.718</v>
      </c>
      <c r="M40" s="173">
        <v>0.839</v>
      </c>
      <c r="N40" s="174">
        <v>56.0</v>
      </c>
      <c r="O40" s="174">
        <v>26.0</v>
      </c>
      <c r="P40" s="174">
        <v>53.0</v>
      </c>
      <c r="Q40" s="174">
        <v>135.0</v>
      </c>
      <c r="R40" s="175"/>
      <c r="S40" s="176"/>
      <c r="T40" s="177"/>
      <c r="U40" s="177"/>
      <c r="V40" s="177"/>
      <c r="W40" s="177"/>
      <c r="X40" s="176"/>
      <c r="Y40" s="176"/>
      <c r="Z40" s="176"/>
      <c r="AA40" s="178"/>
      <c r="AB40" s="179"/>
      <c r="AC40" s="179"/>
      <c r="AD40" s="180"/>
    </row>
    <row r="41">
      <c r="A41" s="7"/>
      <c r="C41" s="99" t="b">
        <v>1</v>
      </c>
      <c r="D41" s="99" t="s">
        <v>43</v>
      </c>
      <c r="E41" s="99" t="s">
        <v>45</v>
      </c>
      <c r="F41" s="181">
        <v>0.753</v>
      </c>
      <c r="G41" s="182">
        <v>0.725</v>
      </c>
      <c r="H41" s="182">
        <v>0.606</v>
      </c>
      <c r="I41" s="182">
        <v>0.695</v>
      </c>
      <c r="J41" s="182">
        <v>0.701</v>
      </c>
      <c r="K41" s="182">
        <v>0.267</v>
      </c>
      <c r="L41" s="182">
        <v>0.904</v>
      </c>
      <c r="M41" s="182">
        <v>0.752</v>
      </c>
      <c r="N41" s="183">
        <v>25.0</v>
      </c>
      <c r="O41" s="183">
        <v>56.0</v>
      </c>
      <c r="P41" s="183">
        <v>18.0</v>
      </c>
      <c r="Q41" s="183">
        <v>170.0</v>
      </c>
      <c r="R41" s="184"/>
      <c r="S41" s="185"/>
      <c r="T41" s="186"/>
      <c r="U41" s="186"/>
      <c r="V41" s="186"/>
      <c r="W41" s="186"/>
      <c r="X41" s="185"/>
      <c r="Y41" s="185"/>
      <c r="Z41" s="185"/>
      <c r="AA41" s="187"/>
      <c r="AB41" s="188"/>
      <c r="AC41" s="188"/>
      <c r="AD41" s="189"/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90">
        <v>0.76</v>
      </c>
      <c r="G42" s="191">
        <v>0.717</v>
      </c>
      <c r="H42" s="191">
        <v>0.615</v>
      </c>
      <c r="I42" s="191">
        <v>0.696</v>
      </c>
      <c r="J42" s="191">
        <v>0.695</v>
      </c>
      <c r="K42" s="191">
        <v>0.269</v>
      </c>
      <c r="L42" s="191">
        <v>0.877</v>
      </c>
      <c r="M42" s="191">
        <v>0.756</v>
      </c>
      <c r="N42" s="192">
        <v>29.0</v>
      </c>
      <c r="O42" s="192">
        <v>53.0</v>
      </c>
      <c r="P42" s="192">
        <v>23.0</v>
      </c>
      <c r="Q42" s="192">
        <v>164.0</v>
      </c>
      <c r="R42" s="193"/>
      <c r="S42" s="194"/>
      <c r="T42" s="195"/>
      <c r="U42" s="195"/>
      <c r="V42" s="195"/>
      <c r="W42" s="195"/>
      <c r="X42" s="194"/>
      <c r="Y42" s="194"/>
      <c r="Z42" s="194"/>
      <c r="AA42" s="196"/>
      <c r="AB42" s="197"/>
      <c r="AC42" s="197"/>
      <c r="AD42" s="198"/>
    </row>
    <row r="43">
      <c r="A43" s="7"/>
      <c r="B43" s="114" t="s">
        <v>47</v>
      </c>
      <c r="C43" s="30"/>
      <c r="D43" s="30"/>
      <c r="E43" s="72"/>
      <c r="F43" s="199">
        <f t="shared" ref="F43:Q43" si="29">AVERAGE(F40:F42)</f>
        <v>0.758</v>
      </c>
      <c r="G43" s="199">
        <f t="shared" si="29"/>
        <v>0.7163333333</v>
      </c>
      <c r="H43" s="199">
        <f t="shared" si="29"/>
        <v>0.6406666667</v>
      </c>
      <c r="I43" s="199">
        <f t="shared" si="29"/>
        <v>0.7026666667</v>
      </c>
      <c r="J43" s="199">
        <f t="shared" si="29"/>
        <v>0.712</v>
      </c>
      <c r="K43" s="199">
        <f t="shared" si="29"/>
        <v>0.304</v>
      </c>
      <c r="L43" s="199">
        <f t="shared" si="29"/>
        <v>0.833</v>
      </c>
      <c r="M43" s="199">
        <f t="shared" si="29"/>
        <v>0.7823333333</v>
      </c>
      <c r="N43" s="199">
        <f t="shared" si="29"/>
        <v>36.66666667</v>
      </c>
      <c r="O43" s="199">
        <f t="shared" si="29"/>
        <v>45</v>
      </c>
      <c r="P43" s="199">
        <f t="shared" si="29"/>
        <v>31.33333333</v>
      </c>
      <c r="Q43" s="199">
        <f t="shared" si="29"/>
        <v>156.3333333</v>
      </c>
      <c r="R43" s="200"/>
      <c r="S43" s="199" t="str">
        <f t="shared" ref="S43:AD43" si="30">AVERAGE(S40:S42)</f>
        <v>#DIV/0!</v>
      </c>
      <c r="T43" s="199" t="str">
        <f t="shared" si="30"/>
        <v>#DIV/0!</v>
      </c>
      <c r="U43" s="199" t="str">
        <f t="shared" si="30"/>
        <v>#DIV/0!</v>
      </c>
      <c r="V43" s="199" t="str">
        <f t="shared" si="30"/>
        <v>#DIV/0!</v>
      </c>
      <c r="W43" s="199" t="str">
        <f t="shared" si="30"/>
        <v>#DIV/0!</v>
      </c>
      <c r="X43" s="199" t="str">
        <f t="shared" si="30"/>
        <v>#DIV/0!</v>
      </c>
      <c r="Y43" s="117" t="str">
        <f t="shared" si="30"/>
        <v>#DIV/0!</v>
      </c>
      <c r="Z43" s="115" t="str">
        <f t="shared" si="30"/>
        <v>#DIV/0!</v>
      </c>
      <c r="AA43" s="115" t="str">
        <f t="shared" si="30"/>
        <v>#DIV/0!</v>
      </c>
      <c r="AB43" s="115" t="str">
        <f t="shared" si="30"/>
        <v>#DIV/0!</v>
      </c>
      <c r="AC43" s="117" t="str">
        <f t="shared" si="30"/>
        <v>#DIV/0!</v>
      </c>
      <c r="AD43" s="162" t="str">
        <f t="shared" si="30"/>
        <v>#DIV/0!</v>
      </c>
    </row>
    <row r="44">
      <c r="A44" s="119"/>
      <c r="B44" s="120" t="s">
        <v>48</v>
      </c>
      <c r="C44" s="121"/>
      <c r="D44" s="121"/>
      <c r="E44" s="122"/>
      <c r="F44" s="202">
        <f t="shared" ref="F44:Q44" si="31">STDEV(F40:F42)</f>
        <v>0.004358898944</v>
      </c>
      <c r="G44" s="202">
        <f t="shared" si="31"/>
        <v>0.009018499506</v>
      </c>
      <c r="H44" s="202">
        <f t="shared" si="31"/>
        <v>0.05244362052</v>
      </c>
      <c r="I44" s="202">
        <f t="shared" si="31"/>
        <v>0.01242309677</v>
      </c>
      <c r="J44" s="202">
        <f t="shared" si="31"/>
        <v>0.02443358345</v>
      </c>
      <c r="K44" s="202">
        <f t="shared" si="31"/>
        <v>0.06236184731</v>
      </c>
      <c r="L44" s="202">
        <f t="shared" si="31"/>
        <v>0.1005037313</v>
      </c>
      <c r="M44" s="202">
        <f t="shared" si="31"/>
        <v>0.04911551011</v>
      </c>
      <c r="N44" s="202">
        <f t="shared" si="31"/>
        <v>16.86218649</v>
      </c>
      <c r="O44" s="202">
        <f t="shared" si="31"/>
        <v>16.52271164</v>
      </c>
      <c r="P44" s="202">
        <f t="shared" si="31"/>
        <v>18.92969449</v>
      </c>
      <c r="Q44" s="202">
        <f t="shared" si="31"/>
        <v>18.71719352</v>
      </c>
      <c r="R44" s="202"/>
      <c r="S44" s="202" t="str">
        <f t="shared" ref="S44:AD44" si="32">STDEV(S40:S42)</f>
        <v>#DIV/0!</v>
      </c>
      <c r="T44" s="202" t="str">
        <f t="shared" si="32"/>
        <v>#DIV/0!</v>
      </c>
      <c r="U44" s="202" t="str">
        <f t="shared" si="32"/>
        <v>#DIV/0!</v>
      </c>
      <c r="V44" s="202" t="str">
        <f t="shared" si="32"/>
        <v>#DIV/0!</v>
      </c>
      <c r="W44" s="202" t="str">
        <f t="shared" si="32"/>
        <v>#DIV/0!</v>
      </c>
      <c r="X44" s="202" t="str">
        <f t="shared" si="32"/>
        <v>#DIV/0!</v>
      </c>
      <c r="Y44" s="202" t="str">
        <f t="shared" si="32"/>
        <v>#DIV/0!</v>
      </c>
      <c r="Z44" s="202" t="str">
        <f t="shared" si="32"/>
        <v>#DIV/0!</v>
      </c>
      <c r="AA44" s="202" t="str">
        <f t="shared" si="32"/>
        <v>#DIV/0!</v>
      </c>
      <c r="AB44" s="202" t="str">
        <f t="shared" si="32"/>
        <v>#DIV/0!</v>
      </c>
      <c r="AC44" s="202" t="str">
        <f t="shared" si="32"/>
        <v>#DIV/0!</v>
      </c>
      <c r="AD44" s="202" t="str">
        <f t="shared" si="32"/>
        <v>#DIV/0!</v>
      </c>
    </row>
    <row r="45">
      <c r="A45" s="171" t="s">
        <v>65</v>
      </c>
      <c r="B45" s="88">
        <v>6.0</v>
      </c>
      <c r="C45" s="89" t="b">
        <v>1</v>
      </c>
      <c r="D45" s="89" t="s">
        <v>43</v>
      </c>
      <c r="E45" s="89" t="s">
        <v>44</v>
      </c>
      <c r="F45" s="172">
        <v>0.793</v>
      </c>
      <c r="G45" s="173">
        <v>0.741</v>
      </c>
      <c r="H45" s="173">
        <v>0.7</v>
      </c>
      <c r="I45" s="173">
        <v>0.742</v>
      </c>
      <c r="J45" s="173">
        <v>0.744</v>
      </c>
      <c r="K45" s="173">
        <v>0.396</v>
      </c>
      <c r="L45" s="173">
        <v>0.803</v>
      </c>
      <c r="M45" s="173">
        <v>0.821</v>
      </c>
      <c r="N45" s="174">
        <v>49.0</v>
      </c>
      <c r="O45" s="174">
        <v>33.0</v>
      </c>
      <c r="P45" s="174">
        <v>37.0</v>
      </c>
      <c r="Q45" s="174">
        <v>151.0</v>
      </c>
      <c r="R45" s="175"/>
      <c r="S45" s="176"/>
      <c r="T45" s="177"/>
      <c r="U45" s="177"/>
      <c r="V45" s="177"/>
      <c r="W45" s="177"/>
      <c r="X45" s="176"/>
      <c r="Y45" s="176"/>
      <c r="Z45" s="176"/>
      <c r="AA45" s="178"/>
      <c r="AB45" s="179"/>
      <c r="AC45" s="179"/>
      <c r="AD45" s="180"/>
    </row>
    <row r="46">
      <c r="A46" s="7"/>
      <c r="C46" s="99" t="b">
        <v>1</v>
      </c>
      <c r="D46" s="99" t="s">
        <v>43</v>
      </c>
      <c r="E46" s="99" t="s">
        <v>45</v>
      </c>
      <c r="F46" s="181">
        <v>0.744</v>
      </c>
      <c r="G46" s="182">
        <v>0.732</v>
      </c>
      <c r="H46" s="182">
        <v>0.65</v>
      </c>
      <c r="I46" s="182">
        <v>0.722</v>
      </c>
      <c r="J46" s="182">
        <v>0.718</v>
      </c>
      <c r="K46" s="182">
        <v>0.326</v>
      </c>
      <c r="L46" s="182">
        <v>0.856</v>
      </c>
      <c r="M46" s="182">
        <v>0.782</v>
      </c>
      <c r="N46" s="183">
        <v>36.0</v>
      </c>
      <c r="O46" s="183">
        <v>45.0</v>
      </c>
      <c r="P46" s="183">
        <v>27.0</v>
      </c>
      <c r="Q46" s="183">
        <v>161.0</v>
      </c>
      <c r="R46" s="184"/>
      <c r="S46" s="185"/>
      <c r="T46" s="186"/>
      <c r="U46" s="186"/>
      <c r="V46" s="186"/>
      <c r="W46" s="186"/>
      <c r="X46" s="185"/>
      <c r="Y46" s="185"/>
      <c r="Z46" s="185"/>
      <c r="AA46" s="187"/>
      <c r="AB46" s="188"/>
      <c r="AC46" s="188"/>
      <c r="AD46" s="189"/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90">
        <v>0.797</v>
      </c>
      <c r="G47" s="191">
        <v>0.729</v>
      </c>
      <c r="H47" s="191">
        <v>0.651</v>
      </c>
      <c r="I47" s="191">
        <v>0.719</v>
      </c>
      <c r="J47" s="191">
        <v>0.715</v>
      </c>
      <c r="K47" s="191">
        <v>0.324</v>
      </c>
      <c r="L47" s="191">
        <v>0.85</v>
      </c>
      <c r="M47" s="191">
        <v>0.779</v>
      </c>
      <c r="N47" s="192">
        <v>37.0</v>
      </c>
      <c r="O47" s="192">
        <v>28.0</v>
      </c>
      <c r="P47" s="192">
        <v>28.0</v>
      </c>
      <c r="Q47" s="192">
        <v>159.0</v>
      </c>
      <c r="R47" s="193"/>
      <c r="S47" s="194"/>
      <c r="T47" s="195"/>
      <c r="U47" s="195"/>
      <c r="V47" s="195"/>
      <c r="W47" s="195"/>
      <c r="X47" s="194"/>
      <c r="Y47" s="194"/>
      <c r="Z47" s="194"/>
      <c r="AA47" s="196"/>
      <c r="AB47" s="197"/>
      <c r="AC47" s="197"/>
      <c r="AD47" s="198"/>
    </row>
    <row r="48">
      <c r="A48" s="7"/>
      <c r="B48" s="114" t="s">
        <v>47</v>
      </c>
      <c r="C48" s="30"/>
      <c r="D48" s="30"/>
      <c r="E48" s="72"/>
      <c r="F48" s="161">
        <f t="shared" ref="F48:Q48" si="33">AVERAGE(F45:F47)</f>
        <v>0.778</v>
      </c>
      <c r="G48" s="199">
        <f t="shared" si="33"/>
        <v>0.734</v>
      </c>
      <c r="H48" s="199">
        <f t="shared" si="33"/>
        <v>0.667</v>
      </c>
      <c r="I48" s="199">
        <f t="shared" si="33"/>
        <v>0.7276666667</v>
      </c>
      <c r="J48" s="199">
        <f t="shared" si="33"/>
        <v>0.7256666667</v>
      </c>
      <c r="K48" s="199">
        <f t="shared" si="33"/>
        <v>0.3486666667</v>
      </c>
      <c r="L48" s="199">
        <f t="shared" si="33"/>
        <v>0.8363333333</v>
      </c>
      <c r="M48" s="199">
        <f t="shared" si="33"/>
        <v>0.794</v>
      </c>
      <c r="N48" s="199">
        <f t="shared" si="33"/>
        <v>40.66666667</v>
      </c>
      <c r="O48" s="199">
        <f t="shared" si="33"/>
        <v>35.33333333</v>
      </c>
      <c r="P48" s="199">
        <f t="shared" si="33"/>
        <v>30.66666667</v>
      </c>
      <c r="Q48" s="199">
        <f t="shared" si="33"/>
        <v>157</v>
      </c>
      <c r="R48" s="200"/>
      <c r="S48" s="199" t="str">
        <f t="shared" ref="S48:AD48" si="34">AVERAGE(S45:S47)</f>
        <v>#DIV/0!</v>
      </c>
      <c r="T48" s="199" t="str">
        <f t="shared" si="34"/>
        <v>#DIV/0!</v>
      </c>
      <c r="U48" s="199" t="str">
        <f t="shared" si="34"/>
        <v>#DIV/0!</v>
      </c>
      <c r="V48" s="199" t="str">
        <f t="shared" si="34"/>
        <v>#DIV/0!</v>
      </c>
      <c r="W48" s="199" t="str">
        <f t="shared" si="34"/>
        <v>#DIV/0!</v>
      </c>
      <c r="X48" s="199" t="str">
        <f t="shared" si="34"/>
        <v>#DIV/0!</v>
      </c>
      <c r="Y48" s="199" t="str">
        <f t="shared" si="34"/>
        <v>#DIV/0!</v>
      </c>
      <c r="Z48" s="199" t="str">
        <f t="shared" si="34"/>
        <v>#DIV/0!</v>
      </c>
      <c r="AA48" s="199" t="str">
        <f t="shared" si="34"/>
        <v>#DIV/0!</v>
      </c>
      <c r="AB48" s="199" t="str">
        <f t="shared" si="34"/>
        <v>#DIV/0!</v>
      </c>
      <c r="AC48" s="199" t="str">
        <f t="shared" si="34"/>
        <v>#DIV/0!</v>
      </c>
      <c r="AD48" s="201" t="str">
        <f t="shared" si="34"/>
        <v>#DIV/0!</v>
      </c>
    </row>
    <row r="49">
      <c r="A49" s="119"/>
      <c r="B49" s="120" t="s">
        <v>48</v>
      </c>
      <c r="C49" s="121"/>
      <c r="D49" s="121"/>
      <c r="E49" s="122"/>
      <c r="F49" s="202">
        <f t="shared" ref="F49:Q49" si="35">STDEV(F45:F47)</f>
        <v>0.02951270913</v>
      </c>
      <c r="G49" s="202">
        <f t="shared" si="35"/>
        <v>0.006244997998</v>
      </c>
      <c r="H49" s="202">
        <f t="shared" si="35"/>
        <v>0.02858321186</v>
      </c>
      <c r="I49" s="202">
        <f t="shared" si="35"/>
        <v>0.01250333289</v>
      </c>
      <c r="J49" s="202">
        <f t="shared" si="35"/>
        <v>0.01594783162</v>
      </c>
      <c r="K49" s="202">
        <f t="shared" si="35"/>
        <v>0.04100406484</v>
      </c>
      <c r="L49" s="202">
        <f t="shared" si="35"/>
        <v>0.0290229794</v>
      </c>
      <c r="M49" s="202">
        <f t="shared" si="35"/>
        <v>0.02343074903</v>
      </c>
      <c r="N49" s="202">
        <f t="shared" si="35"/>
        <v>7.234178138</v>
      </c>
      <c r="O49" s="202">
        <f t="shared" si="35"/>
        <v>8.736894948</v>
      </c>
      <c r="P49" s="202">
        <f t="shared" si="35"/>
        <v>5.507570547</v>
      </c>
      <c r="Q49" s="202">
        <f t="shared" si="35"/>
        <v>5.291502622</v>
      </c>
      <c r="R49" s="202"/>
      <c r="S49" s="202" t="str">
        <f t="shared" ref="S49:AD49" si="36">STDEV(S45:S47)</f>
        <v>#DIV/0!</v>
      </c>
      <c r="T49" s="202" t="str">
        <f t="shared" si="36"/>
        <v>#DIV/0!</v>
      </c>
      <c r="U49" s="202" t="str">
        <f t="shared" si="36"/>
        <v>#DIV/0!</v>
      </c>
      <c r="V49" s="202" t="str">
        <f t="shared" si="36"/>
        <v>#DIV/0!</v>
      </c>
      <c r="W49" s="202" t="str">
        <f t="shared" si="36"/>
        <v>#DIV/0!</v>
      </c>
      <c r="X49" s="202" t="str">
        <f t="shared" si="36"/>
        <v>#DIV/0!</v>
      </c>
      <c r="Y49" s="202" t="str">
        <f t="shared" si="36"/>
        <v>#DIV/0!</v>
      </c>
      <c r="Z49" s="202" t="str">
        <f t="shared" si="36"/>
        <v>#DIV/0!</v>
      </c>
      <c r="AA49" s="202" t="str">
        <f t="shared" si="36"/>
        <v>#DIV/0!</v>
      </c>
      <c r="AB49" s="202" t="str">
        <f t="shared" si="36"/>
        <v>#DIV/0!</v>
      </c>
      <c r="AC49" s="202" t="str">
        <f t="shared" si="36"/>
        <v>#DIV/0!</v>
      </c>
      <c r="AD49" s="202" t="str">
        <f t="shared" si="36"/>
        <v>#DIV/0!</v>
      </c>
    </row>
    <row r="50">
      <c r="A50" s="171" t="s">
        <v>65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0.743</v>
      </c>
      <c r="G50" s="125">
        <v>0.696</v>
      </c>
      <c r="H50" s="125">
        <v>0.662</v>
      </c>
      <c r="I50" s="125">
        <v>0.702</v>
      </c>
      <c r="J50" s="125">
        <v>0.71</v>
      </c>
      <c r="K50" s="125">
        <v>0.312</v>
      </c>
      <c r="L50" s="125">
        <v>0.75</v>
      </c>
      <c r="M50" s="125">
        <v>0.801</v>
      </c>
      <c r="N50" s="126">
        <v>47.0</v>
      </c>
      <c r="O50" s="126">
        <v>35.0</v>
      </c>
      <c r="P50" s="126">
        <v>47.0</v>
      </c>
      <c r="Q50" s="126">
        <v>141.0</v>
      </c>
      <c r="R50" s="127"/>
      <c r="S50" s="128"/>
      <c r="T50" s="129"/>
      <c r="U50" s="129"/>
      <c r="V50" s="129"/>
      <c r="W50" s="129"/>
      <c r="X50" s="128"/>
      <c r="Y50" s="128"/>
      <c r="Z50" s="128"/>
      <c r="AA50" s="148"/>
      <c r="AB50" s="149"/>
      <c r="AC50" s="149"/>
      <c r="AD50" s="150"/>
    </row>
    <row r="51">
      <c r="A51" s="7"/>
      <c r="C51" s="99" t="b">
        <v>1</v>
      </c>
      <c r="D51" s="99" t="s">
        <v>43</v>
      </c>
      <c r="E51" s="99" t="s">
        <v>45</v>
      </c>
      <c r="F51" s="133">
        <v>0.726</v>
      </c>
      <c r="G51" s="134">
        <v>0.688</v>
      </c>
      <c r="H51" s="134">
        <v>0.661</v>
      </c>
      <c r="I51" s="134">
        <v>0.695</v>
      </c>
      <c r="J51" s="134">
        <v>0.709</v>
      </c>
      <c r="K51" s="134">
        <v>0.306</v>
      </c>
      <c r="L51" s="134">
        <v>0.729</v>
      </c>
      <c r="M51" s="134">
        <v>0.806</v>
      </c>
      <c r="N51" s="135">
        <v>48.0</v>
      </c>
      <c r="O51" s="135">
        <v>33.0</v>
      </c>
      <c r="P51" s="135">
        <v>51.0</v>
      </c>
      <c r="Q51" s="135">
        <v>137.0</v>
      </c>
      <c r="R51" s="136"/>
      <c r="S51" s="137"/>
      <c r="T51" s="138"/>
      <c r="U51" s="138"/>
      <c r="V51" s="138"/>
      <c r="W51" s="138"/>
      <c r="X51" s="137"/>
      <c r="Y51" s="137"/>
      <c r="Z51" s="137"/>
      <c r="AA51" s="139"/>
      <c r="AB51" s="140"/>
      <c r="AC51" s="140"/>
      <c r="AD51" s="141"/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0.765</v>
      </c>
      <c r="G52" s="143">
        <v>0.695</v>
      </c>
      <c r="H52" s="143">
        <v>0.5</v>
      </c>
      <c r="I52" s="143">
        <v>0.57</v>
      </c>
      <c r="J52" s="143">
        <v>0.788</v>
      </c>
      <c r="K52" s="143">
        <v>0.0</v>
      </c>
      <c r="L52" s="143">
        <v>1.0</v>
      </c>
      <c r="M52" s="143">
        <v>0.695</v>
      </c>
      <c r="N52" s="144">
        <v>0.0</v>
      </c>
      <c r="O52" s="144">
        <v>82.0</v>
      </c>
      <c r="P52" s="144">
        <v>0.0</v>
      </c>
      <c r="Q52" s="144">
        <v>187.0</v>
      </c>
      <c r="R52" s="145"/>
      <c r="S52" s="146"/>
      <c r="T52" s="147"/>
      <c r="U52" s="147"/>
      <c r="V52" s="147"/>
      <c r="W52" s="147"/>
      <c r="X52" s="146"/>
      <c r="Y52" s="146"/>
      <c r="Z52" s="146"/>
      <c r="AA52" s="148"/>
      <c r="AB52" s="149"/>
      <c r="AC52" s="149"/>
      <c r="AD52" s="150"/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0.7446666667</v>
      </c>
      <c r="G53" s="151">
        <f t="shared" si="37"/>
        <v>0.693</v>
      </c>
      <c r="H53" s="151">
        <f t="shared" si="37"/>
        <v>0.6076666667</v>
      </c>
      <c r="I53" s="151">
        <f t="shared" si="37"/>
        <v>0.6556666667</v>
      </c>
      <c r="J53" s="151">
        <f t="shared" si="37"/>
        <v>0.7356666667</v>
      </c>
      <c r="K53" s="151">
        <f t="shared" si="37"/>
        <v>0.206</v>
      </c>
      <c r="L53" s="151">
        <f t="shared" si="37"/>
        <v>0.8263333333</v>
      </c>
      <c r="M53" s="151">
        <f t="shared" si="37"/>
        <v>0.7673333333</v>
      </c>
      <c r="N53" s="151">
        <f t="shared" si="37"/>
        <v>31.66666667</v>
      </c>
      <c r="O53" s="151">
        <f t="shared" si="37"/>
        <v>50</v>
      </c>
      <c r="P53" s="151">
        <f t="shared" si="37"/>
        <v>32.66666667</v>
      </c>
      <c r="Q53" s="151">
        <f t="shared" si="37"/>
        <v>155</v>
      </c>
      <c r="R53" s="152"/>
      <c r="S53" s="151" t="str">
        <f t="shared" ref="S53:AD53" si="38">AVERAGE(S50:S52)</f>
        <v>#DIV/0!</v>
      </c>
      <c r="T53" s="151" t="str">
        <f t="shared" si="38"/>
        <v>#DIV/0!</v>
      </c>
      <c r="U53" s="151" t="str">
        <f t="shared" si="38"/>
        <v>#DIV/0!</v>
      </c>
      <c r="V53" s="151" t="str">
        <f t="shared" si="38"/>
        <v>#DIV/0!</v>
      </c>
      <c r="W53" s="151" t="str">
        <f t="shared" si="38"/>
        <v>#DIV/0!</v>
      </c>
      <c r="X53" s="151" t="str">
        <f t="shared" si="38"/>
        <v>#DIV/0!</v>
      </c>
      <c r="Y53" s="151" t="str">
        <f t="shared" si="38"/>
        <v>#DIV/0!</v>
      </c>
      <c r="Z53" s="151" t="str">
        <f t="shared" si="38"/>
        <v>#DIV/0!</v>
      </c>
      <c r="AA53" s="151" t="str">
        <f t="shared" si="38"/>
        <v>#DIV/0!</v>
      </c>
      <c r="AB53" s="151" t="str">
        <f t="shared" si="38"/>
        <v>#DIV/0!</v>
      </c>
      <c r="AC53" s="151" t="str">
        <f t="shared" si="38"/>
        <v>#DIV/0!</v>
      </c>
      <c r="AD53" s="153" t="str">
        <f t="shared" si="38"/>
        <v>#DIV/0!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0.01955334583</v>
      </c>
      <c r="G54" s="154">
        <f t="shared" si="39"/>
        <v>0.004358898944</v>
      </c>
      <c r="H54" s="154">
        <f t="shared" si="39"/>
        <v>0.09324340906</v>
      </c>
      <c r="I54" s="154">
        <f t="shared" si="39"/>
        <v>0.07427202255</v>
      </c>
      <c r="J54" s="154">
        <f t="shared" si="39"/>
        <v>0.04532475409</v>
      </c>
      <c r="K54" s="154">
        <f t="shared" si="39"/>
        <v>0.1784264554</v>
      </c>
      <c r="L54" s="154">
        <f t="shared" si="39"/>
        <v>0.1507658228</v>
      </c>
      <c r="M54" s="154">
        <f t="shared" si="39"/>
        <v>0.06269237062</v>
      </c>
      <c r="N54" s="154">
        <f t="shared" si="39"/>
        <v>27.42869544</v>
      </c>
      <c r="O54" s="154">
        <f t="shared" si="39"/>
        <v>27.73084925</v>
      </c>
      <c r="P54" s="154">
        <f t="shared" si="39"/>
        <v>28.36077103</v>
      </c>
      <c r="Q54" s="154">
        <f t="shared" si="39"/>
        <v>27.78488798</v>
      </c>
      <c r="R54" s="154"/>
      <c r="S54" s="154" t="str">
        <f t="shared" ref="S54:AD54" si="40">STDEV(S50:S52)</f>
        <v>#DIV/0!</v>
      </c>
      <c r="T54" s="154" t="str">
        <f t="shared" si="40"/>
        <v>#DIV/0!</v>
      </c>
      <c r="U54" s="154" t="str">
        <f t="shared" si="40"/>
        <v>#DIV/0!</v>
      </c>
      <c r="V54" s="154" t="str">
        <f t="shared" si="40"/>
        <v>#DIV/0!</v>
      </c>
      <c r="W54" s="154" t="str">
        <f t="shared" si="40"/>
        <v>#DIV/0!</v>
      </c>
      <c r="X54" s="154" t="str">
        <f t="shared" si="40"/>
        <v>#DIV/0!</v>
      </c>
      <c r="Y54" s="154" t="str">
        <f t="shared" si="40"/>
        <v>#DIV/0!</v>
      </c>
      <c r="Z54" s="154" t="str">
        <f t="shared" si="40"/>
        <v>#DIV/0!</v>
      </c>
      <c r="AA54" s="154" t="str">
        <f t="shared" si="40"/>
        <v>#DIV/0!</v>
      </c>
      <c r="AB54" s="154" t="str">
        <f t="shared" si="40"/>
        <v>#DIV/0!</v>
      </c>
      <c r="AC54" s="154" t="str">
        <f t="shared" si="40"/>
        <v>#DIV/0!</v>
      </c>
      <c r="AD54" s="154" t="str">
        <f t="shared" si="40"/>
        <v>#DIV/0!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0.7483666667</v>
      </c>
      <c r="G55" s="167">
        <f t="shared" si="41"/>
        <v>0.7263666667</v>
      </c>
      <c r="H55" s="167">
        <f t="shared" si="41"/>
        <v>0.6386333333</v>
      </c>
      <c r="I55" s="167">
        <f t="shared" si="41"/>
        <v>0.7026</v>
      </c>
      <c r="J55" s="167">
        <f t="shared" si="41"/>
        <v>0.7279333333</v>
      </c>
      <c r="K55" s="167">
        <f t="shared" si="41"/>
        <v>0.2969333333</v>
      </c>
      <c r="L55" s="167">
        <f t="shared" si="41"/>
        <v>0.8620333333</v>
      </c>
      <c r="M55" s="167">
        <f t="shared" si="41"/>
        <v>0.7774</v>
      </c>
      <c r="N55" s="167">
        <f t="shared" si="41"/>
        <v>33.9</v>
      </c>
      <c r="O55" s="167">
        <f t="shared" si="41"/>
        <v>47.2</v>
      </c>
      <c r="P55" s="167">
        <f t="shared" si="41"/>
        <v>25.9</v>
      </c>
      <c r="Q55" s="167">
        <f t="shared" si="41"/>
        <v>161.7666667</v>
      </c>
      <c r="R55" s="168"/>
      <c r="S55" s="168" t="str">
        <f t="shared" ref="S55:AD55" si="42">AVERAGE(S8, S13, S18, S23,S28,S33,S38,S43,S48,S53)</f>
        <v>#DIV/0!</v>
      </c>
      <c r="T55" s="168" t="str">
        <f t="shared" si="42"/>
        <v>#DIV/0!</v>
      </c>
      <c r="U55" s="168" t="str">
        <f t="shared" si="42"/>
        <v>#DIV/0!</v>
      </c>
      <c r="V55" s="168" t="str">
        <f t="shared" si="42"/>
        <v>#DIV/0!</v>
      </c>
      <c r="W55" s="168" t="str">
        <f t="shared" si="42"/>
        <v>#DIV/0!</v>
      </c>
      <c r="X55" s="168" t="str">
        <f t="shared" si="42"/>
        <v>#DIV/0!</v>
      </c>
      <c r="Y55" s="168" t="str">
        <f t="shared" si="42"/>
        <v>#DIV/0!</v>
      </c>
      <c r="Z55" s="168" t="str">
        <f t="shared" si="42"/>
        <v>#DIV/0!</v>
      </c>
      <c r="AA55" s="168" t="str">
        <f t="shared" si="42"/>
        <v>#DIV/0!</v>
      </c>
      <c r="AB55" s="168" t="str">
        <f t="shared" si="42"/>
        <v>#DIV/0!</v>
      </c>
      <c r="AC55" s="168" t="str">
        <f t="shared" si="42"/>
        <v>#DIV/0!</v>
      </c>
      <c r="AD55" s="168" t="str">
        <f t="shared" si="42"/>
        <v>#DIV/0!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STDEV(F8,F13,F18,F23,F28,F33,F38,F43,F48,F53)</f>
        <v>0.03032517188</v>
      </c>
      <c r="G57" s="168">
        <f t="shared" si="43"/>
        <v>0.0156398115</v>
      </c>
      <c r="H57" s="168">
        <f t="shared" si="43"/>
        <v>0.03472731518</v>
      </c>
      <c r="I57" s="168">
        <f t="shared" si="43"/>
        <v>0.03155391232</v>
      </c>
      <c r="J57" s="168">
        <f t="shared" si="43"/>
        <v>0.01625628084</v>
      </c>
      <c r="K57" s="168">
        <f t="shared" si="43"/>
        <v>0.06812584579</v>
      </c>
      <c r="L57" s="168">
        <f t="shared" si="43"/>
        <v>0.03628945703</v>
      </c>
      <c r="M57" s="168">
        <f t="shared" si="43"/>
        <v>0.02089940634</v>
      </c>
      <c r="N57" s="168">
        <f t="shared" si="43"/>
        <v>7.990812626</v>
      </c>
      <c r="O57" s="168">
        <f t="shared" si="43"/>
        <v>8.693974073</v>
      </c>
      <c r="P57" s="168">
        <f t="shared" si="43"/>
        <v>6.806043066</v>
      </c>
      <c r="Q57" s="168">
        <f t="shared" si="43"/>
        <v>6.806043066</v>
      </c>
      <c r="R57" s="168"/>
      <c r="S57" s="168" t="str">
        <f t="shared" ref="S57:AD57" si="44">STDEV(S8,S13,S18,S23,S28,S33,S38,S43,S48,S53)</f>
        <v>#DIV/0!</v>
      </c>
      <c r="T57" s="168" t="str">
        <f t="shared" si="44"/>
        <v>#DIV/0!</v>
      </c>
      <c r="U57" s="168" t="str">
        <f t="shared" si="44"/>
        <v>#DIV/0!</v>
      </c>
      <c r="V57" s="168" t="str">
        <f t="shared" si="44"/>
        <v>#DIV/0!</v>
      </c>
      <c r="W57" s="168" t="str">
        <f t="shared" si="44"/>
        <v>#DIV/0!</v>
      </c>
      <c r="X57" s="168" t="str">
        <f t="shared" si="44"/>
        <v>#DIV/0!</v>
      </c>
      <c r="Y57" s="168" t="str">
        <f t="shared" si="44"/>
        <v>#DIV/0!</v>
      </c>
      <c r="Z57" s="168" t="str">
        <f t="shared" si="44"/>
        <v>#DIV/0!</v>
      </c>
      <c r="AA57" s="168" t="str">
        <f t="shared" si="44"/>
        <v>#DIV/0!</v>
      </c>
      <c r="AB57" s="168" t="str">
        <f t="shared" si="44"/>
        <v>#DIV/0!</v>
      </c>
      <c r="AC57" s="168" t="str">
        <f t="shared" si="44"/>
        <v>#DIV/0!</v>
      </c>
      <c r="AD57" s="168" t="str">
        <f t="shared" si="44"/>
        <v>#DIV/0!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70</v>
      </c>
      <c r="O2" s="77" t="s">
        <v>3</v>
      </c>
      <c r="P2" s="77" t="s">
        <v>4</v>
      </c>
      <c r="Q2" s="77" t="s">
        <v>71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72</v>
      </c>
      <c r="AB2" s="77" t="s">
        <v>3</v>
      </c>
      <c r="AC2" s="77" t="s">
        <v>4</v>
      </c>
      <c r="AD2" s="78" t="s">
        <v>73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74</v>
      </c>
      <c r="B5" s="88">
        <v>1.0</v>
      </c>
      <c r="C5" s="89" t="b">
        <v>1</v>
      </c>
      <c r="D5" s="89" t="s">
        <v>43</v>
      </c>
      <c r="E5" s="89" t="s">
        <v>44</v>
      </c>
      <c r="F5" s="90">
        <v>0.786</v>
      </c>
      <c r="G5" s="91">
        <v>0.737</v>
      </c>
      <c r="H5" s="91">
        <v>0.729</v>
      </c>
      <c r="I5" s="91">
        <v>0.745</v>
      </c>
      <c r="J5" s="91">
        <v>0.763</v>
      </c>
      <c r="K5" s="91">
        <v>0.431</v>
      </c>
      <c r="L5" s="91">
        <v>0.75</v>
      </c>
      <c r="M5" s="91">
        <v>0.855</v>
      </c>
      <c r="N5" s="92">
        <v>58.0</v>
      </c>
      <c r="O5" s="92">
        <v>24.0</v>
      </c>
      <c r="P5" s="92">
        <v>47.0</v>
      </c>
      <c r="Q5" s="92">
        <v>141.0</v>
      </c>
      <c r="R5" s="93"/>
      <c r="S5" s="94">
        <v>0.798</v>
      </c>
      <c r="T5" s="95">
        <v>0.737</v>
      </c>
      <c r="U5" s="95">
        <v>0.739</v>
      </c>
      <c r="V5" s="95">
        <v>0.746</v>
      </c>
      <c r="W5" s="95">
        <v>0.771</v>
      </c>
      <c r="X5" s="94">
        <v>0.447</v>
      </c>
      <c r="Y5" s="94">
        <v>0.734</v>
      </c>
      <c r="Z5" s="94">
        <v>0.868</v>
      </c>
      <c r="AA5" s="96">
        <v>61.0</v>
      </c>
      <c r="AB5" s="97">
        <v>21.0</v>
      </c>
      <c r="AC5" s="97">
        <v>50.0</v>
      </c>
      <c r="AD5" s="98">
        <v>138.0</v>
      </c>
    </row>
    <row r="6">
      <c r="A6" s="7"/>
      <c r="C6" s="99" t="b">
        <v>1</v>
      </c>
      <c r="D6" s="99" t="s">
        <v>43</v>
      </c>
      <c r="E6" s="99" t="s">
        <v>45</v>
      </c>
      <c r="F6" s="100">
        <v>0.716</v>
      </c>
      <c r="G6" s="101">
        <v>0.729</v>
      </c>
      <c r="H6" s="101">
        <v>0.613</v>
      </c>
      <c r="I6" s="101">
        <v>0.701</v>
      </c>
      <c r="J6" s="101">
        <v>0.706</v>
      </c>
      <c r="K6" s="101">
        <v>0.279</v>
      </c>
      <c r="L6" s="101">
        <v>0.904</v>
      </c>
      <c r="M6" s="101">
        <v>0.756</v>
      </c>
      <c r="N6" s="102">
        <v>26.0</v>
      </c>
      <c r="O6" s="102">
        <v>55.0</v>
      </c>
      <c r="P6" s="102">
        <v>18.0</v>
      </c>
      <c r="Q6" s="102">
        <v>170.0</v>
      </c>
      <c r="R6" s="103"/>
      <c r="S6" s="104">
        <v>0.721</v>
      </c>
      <c r="T6" s="105">
        <v>0.732</v>
      </c>
      <c r="U6" s="105">
        <v>0.679</v>
      </c>
      <c r="V6" s="105">
        <v>0.731</v>
      </c>
      <c r="W6" s="105">
        <v>0.73</v>
      </c>
      <c r="X6" s="104">
        <v>0.36</v>
      </c>
      <c r="Y6" s="104">
        <v>0.814</v>
      </c>
      <c r="Z6" s="104">
        <v>0.805</v>
      </c>
      <c r="AA6" s="106">
        <v>44.0</v>
      </c>
      <c r="AB6" s="107">
        <v>37.0</v>
      </c>
      <c r="AC6" s="107">
        <v>35.0</v>
      </c>
      <c r="AD6" s="108">
        <v>153.0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00">
        <v>0.671</v>
      </c>
      <c r="G7" s="101">
        <v>0.695</v>
      </c>
      <c r="H7" s="101">
        <v>0.5</v>
      </c>
      <c r="I7" s="101">
        <v>0.57</v>
      </c>
      <c r="J7" s="101">
        <v>0.788</v>
      </c>
      <c r="K7" s="101">
        <v>0.0</v>
      </c>
      <c r="L7" s="101">
        <v>1.0</v>
      </c>
      <c r="M7" s="101">
        <v>0.695</v>
      </c>
      <c r="N7" s="110">
        <v>0.0</v>
      </c>
      <c r="O7" s="110">
        <v>82.0</v>
      </c>
      <c r="P7" s="110">
        <v>0.0</v>
      </c>
      <c r="Q7" s="110">
        <v>187.0</v>
      </c>
      <c r="R7" s="103"/>
      <c r="S7" s="104">
        <v>0.779</v>
      </c>
      <c r="T7" s="105">
        <v>0.74</v>
      </c>
      <c r="U7" s="105">
        <v>0.686</v>
      </c>
      <c r="V7" s="105">
        <v>0.738</v>
      </c>
      <c r="W7" s="105">
        <v>0.736</v>
      </c>
      <c r="X7" s="104">
        <v>0.378</v>
      </c>
      <c r="Y7" s="104">
        <v>0.824</v>
      </c>
      <c r="Z7" s="104">
        <v>0.806</v>
      </c>
      <c r="AA7" s="111">
        <v>45.0</v>
      </c>
      <c r="AB7" s="112">
        <v>37.0</v>
      </c>
      <c r="AC7" s="112">
        <v>33.0</v>
      </c>
      <c r="AD7" s="113">
        <v>154.0</v>
      </c>
    </row>
    <row r="8">
      <c r="A8" s="7"/>
      <c r="B8" s="114" t="s">
        <v>47</v>
      </c>
      <c r="C8" s="30"/>
      <c r="D8" s="30"/>
      <c r="E8" s="72"/>
      <c r="F8" s="115">
        <f t="shared" ref="F8:Q8" si="1">AVERAGE(F5:F7)</f>
        <v>0.7243333333</v>
      </c>
      <c r="G8" s="117">
        <f t="shared" si="1"/>
        <v>0.7203333333</v>
      </c>
      <c r="H8" s="117">
        <f t="shared" si="1"/>
        <v>0.614</v>
      </c>
      <c r="I8" s="117">
        <f t="shared" si="1"/>
        <v>0.672</v>
      </c>
      <c r="J8" s="115">
        <f t="shared" si="1"/>
        <v>0.7523333333</v>
      </c>
      <c r="K8" s="117">
        <f t="shared" si="1"/>
        <v>0.2366666667</v>
      </c>
      <c r="L8" s="115">
        <f t="shared" si="1"/>
        <v>0.8846666667</v>
      </c>
      <c r="M8" s="115">
        <f t="shared" si="1"/>
        <v>0.7686666667</v>
      </c>
      <c r="N8" s="115">
        <f t="shared" si="1"/>
        <v>28</v>
      </c>
      <c r="O8" s="115">
        <f t="shared" si="1"/>
        <v>53.66666667</v>
      </c>
      <c r="P8" s="115">
        <f t="shared" si="1"/>
        <v>21.66666667</v>
      </c>
      <c r="Q8" s="115">
        <f t="shared" si="1"/>
        <v>166</v>
      </c>
      <c r="R8" s="116"/>
      <c r="S8" s="115">
        <f t="shared" ref="S8:AD8" si="2">AVERAGE(S5:S7)</f>
        <v>0.766</v>
      </c>
      <c r="T8" s="117">
        <f t="shared" si="2"/>
        <v>0.7363333333</v>
      </c>
      <c r="U8" s="115">
        <f t="shared" si="2"/>
        <v>0.7013333333</v>
      </c>
      <c r="V8" s="115">
        <f t="shared" si="2"/>
        <v>0.7383333333</v>
      </c>
      <c r="W8" s="115">
        <f t="shared" si="2"/>
        <v>0.7456666667</v>
      </c>
      <c r="X8" s="115">
        <f t="shared" si="2"/>
        <v>0.395</v>
      </c>
      <c r="Y8" s="115">
        <f t="shared" si="2"/>
        <v>0.7906666667</v>
      </c>
      <c r="Z8" s="115">
        <f t="shared" si="2"/>
        <v>0.8263333333</v>
      </c>
      <c r="AA8" s="115">
        <f t="shared" si="2"/>
        <v>50</v>
      </c>
      <c r="AB8" s="115">
        <f t="shared" si="2"/>
        <v>31.66666667</v>
      </c>
      <c r="AC8" s="115">
        <f t="shared" si="2"/>
        <v>39.33333333</v>
      </c>
      <c r="AD8" s="118">
        <f t="shared" si="2"/>
        <v>148.3333333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0.05795112884</v>
      </c>
      <c r="G9" s="123">
        <f t="shared" si="3"/>
        <v>0.02230097158</v>
      </c>
      <c r="H9" s="123">
        <f t="shared" si="3"/>
        <v>0.1145032751</v>
      </c>
      <c r="I9" s="123">
        <f t="shared" si="3"/>
        <v>0.09103296106</v>
      </c>
      <c r="J9" s="123">
        <f t="shared" si="3"/>
        <v>0.0420277686</v>
      </c>
      <c r="K9" s="123">
        <f t="shared" si="3"/>
        <v>0.2185962793</v>
      </c>
      <c r="L9" s="123">
        <f t="shared" si="3"/>
        <v>0.1261163484</v>
      </c>
      <c r="M9" s="123">
        <f t="shared" si="3"/>
        <v>0.080748581</v>
      </c>
      <c r="N9" s="123">
        <f t="shared" si="3"/>
        <v>29.05167809</v>
      </c>
      <c r="O9" s="123">
        <f t="shared" si="3"/>
        <v>29.0229794</v>
      </c>
      <c r="P9" s="123">
        <f t="shared" si="3"/>
        <v>23.71356855</v>
      </c>
      <c r="Q9" s="123">
        <f t="shared" si="3"/>
        <v>23.2594067</v>
      </c>
      <c r="R9" s="123"/>
      <c r="S9" s="123">
        <f t="shared" ref="S9:AD9" si="4">STDEV(S5:S7)</f>
        <v>0.04011234224</v>
      </c>
      <c r="T9" s="123">
        <f t="shared" si="4"/>
        <v>0.004041451884</v>
      </c>
      <c r="U9" s="123">
        <f t="shared" si="4"/>
        <v>0.03280751946</v>
      </c>
      <c r="V9" s="123">
        <f t="shared" si="4"/>
        <v>0.007505553499</v>
      </c>
      <c r="W9" s="123">
        <f t="shared" si="4"/>
        <v>0.02214347157</v>
      </c>
      <c r="X9" s="123">
        <f t="shared" si="4"/>
        <v>0.04592385001</v>
      </c>
      <c r="Y9" s="123">
        <f t="shared" si="4"/>
        <v>0.04932882862</v>
      </c>
      <c r="Z9" s="123">
        <f t="shared" si="4"/>
        <v>0.03608785576</v>
      </c>
      <c r="AA9" s="123">
        <f t="shared" si="4"/>
        <v>9.539392014</v>
      </c>
      <c r="AB9" s="123">
        <f t="shared" si="4"/>
        <v>9.237604307</v>
      </c>
      <c r="AC9" s="123">
        <f t="shared" si="4"/>
        <v>9.291573243</v>
      </c>
      <c r="AD9" s="123">
        <f t="shared" si="4"/>
        <v>8.96288644</v>
      </c>
    </row>
    <row r="10">
      <c r="A10" s="171" t="s">
        <v>74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0.796</v>
      </c>
      <c r="G10" s="91">
        <v>0.785</v>
      </c>
      <c r="H10" s="91">
        <v>0.684</v>
      </c>
      <c r="I10" s="91">
        <v>0.764</v>
      </c>
      <c r="J10" s="91">
        <v>0.781</v>
      </c>
      <c r="K10" s="91">
        <v>0.451</v>
      </c>
      <c r="L10" s="91">
        <v>0.941</v>
      </c>
      <c r="M10" s="91">
        <v>0.79</v>
      </c>
      <c r="N10" s="92">
        <v>35.0</v>
      </c>
      <c r="O10" s="92">
        <v>47.0</v>
      </c>
      <c r="P10" s="92">
        <v>11.0</v>
      </c>
      <c r="Q10" s="92">
        <v>177.0</v>
      </c>
      <c r="R10" s="93"/>
      <c r="S10" s="94">
        <v>0.805</v>
      </c>
      <c r="T10" s="95">
        <v>0.767</v>
      </c>
      <c r="U10" s="95">
        <v>0.757</v>
      </c>
      <c r="V10" s="95">
        <v>0.773</v>
      </c>
      <c r="W10" s="95">
        <v>0.786</v>
      </c>
      <c r="X10" s="94">
        <v>0.488</v>
      </c>
      <c r="Y10" s="94">
        <v>0.782</v>
      </c>
      <c r="Z10" s="94">
        <v>0.87</v>
      </c>
      <c r="AA10" s="96">
        <v>60.0</v>
      </c>
      <c r="AB10" s="97">
        <v>22.0</v>
      </c>
      <c r="AC10" s="97">
        <v>41.0</v>
      </c>
      <c r="AD10" s="98">
        <v>147.0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0.75</v>
      </c>
      <c r="G11" s="101">
        <v>0.743</v>
      </c>
      <c r="H11" s="101">
        <v>0.694</v>
      </c>
      <c r="I11" s="101">
        <v>0.743</v>
      </c>
      <c r="J11" s="101">
        <v>0.743</v>
      </c>
      <c r="K11" s="101">
        <v>0.388</v>
      </c>
      <c r="L11" s="101">
        <v>0.819</v>
      </c>
      <c r="M11" s="101">
        <v>0.815</v>
      </c>
      <c r="N11" s="102">
        <v>46.0</v>
      </c>
      <c r="O11" s="102">
        <v>35.0</v>
      </c>
      <c r="P11" s="102">
        <v>34.0</v>
      </c>
      <c r="Q11" s="102">
        <v>154.0</v>
      </c>
      <c r="R11" s="103"/>
      <c r="S11" s="104">
        <v>0.74</v>
      </c>
      <c r="T11" s="105">
        <v>0.74</v>
      </c>
      <c r="U11" s="105">
        <v>0.652</v>
      </c>
      <c r="V11" s="105">
        <v>0.727</v>
      </c>
      <c r="W11" s="105">
        <v>0.724</v>
      </c>
      <c r="X11" s="104">
        <v>0.338</v>
      </c>
      <c r="Y11" s="104">
        <v>0.872</v>
      </c>
      <c r="Z11" s="104">
        <v>0.781</v>
      </c>
      <c r="AA11" s="106">
        <v>35.0</v>
      </c>
      <c r="AB11" s="107">
        <v>46.0</v>
      </c>
      <c r="AC11" s="107">
        <v>24.0</v>
      </c>
      <c r="AD11" s="108">
        <v>164.0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0.767</v>
      </c>
      <c r="G12" s="101">
        <v>0.736</v>
      </c>
      <c r="H12" s="101">
        <v>0.653</v>
      </c>
      <c r="I12" s="101">
        <v>0.724</v>
      </c>
      <c r="J12" s="101">
        <v>0.721</v>
      </c>
      <c r="K12" s="101">
        <v>0.336</v>
      </c>
      <c r="L12" s="101">
        <v>0.866</v>
      </c>
      <c r="M12" s="101">
        <v>0.779</v>
      </c>
      <c r="N12" s="110">
        <v>36.0</v>
      </c>
      <c r="O12" s="110">
        <v>46.0</v>
      </c>
      <c r="P12" s="110">
        <v>25.0</v>
      </c>
      <c r="Q12" s="110">
        <v>162.0</v>
      </c>
      <c r="R12" s="103"/>
      <c r="S12" s="104">
        <v>0.718</v>
      </c>
      <c r="T12" s="105">
        <v>0.721</v>
      </c>
      <c r="U12" s="105">
        <v>0.645</v>
      </c>
      <c r="V12" s="105">
        <v>0.713</v>
      </c>
      <c r="W12" s="105">
        <v>0.709</v>
      </c>
      <c r="X12" s="104">
        <v>0.31</v>
      </c>
      <c r="Y12" s="104">
        <v>0.84</v>
      </c>
      <c r="Z12" s="104">
        <v>0.777</v>
      </c>
      <c r="AA12" s="111">
        <v>37.0</v>
      </c>
      <c r="AB12" s="112">
        <v>45.0</v>
      </c>
      <c r="AC12" s="112">
        <v>30.0</v>
      </c>
      <c r="AD12" s="113">
        <v>157.0</v>
      </c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0.771</v>
      </c>
      <c r="G13" s="161">
        <f t="shared" si="5"/>
        <v>0.7546666667</v>
      </c>
      <c r="H13" s="161">
        <f t="shared" si="5"/>
        <v>0.677</v>
      </c>
      <c r="I13" s="161">
        <f t="shared" si="5"/>
        <v>0.7436666667</v>
      </c>
      <c r="J13" s="115">
        <f t="shared" si="5"/>
        <v>0.7483333333</v>
      </c>
      <c r="K13" s="161">
        <f t="shared" si="5"/>
        <v>0.3916666667</v>
      </c>
      <c r="L13" s="115">
        <f t="shared" si="5"/>
        <v>0.8753333333</v>
      </c>
      <c r="M13" s="115">
        <f t="shared" si="5"/>
        <v>0.7946666667</v>
      </c>
      <c r="N13" s="115">
        <f t="shared" si="5"/>
        <v>39</v>
      </c>
      <c r="O13" s="115">
        <f t="shared" si="5"/>
        <v>42.66666667</v>
      </c>
      <c r="P13" s="115">
        <f t="shared" si="5"/>
        <v>23.33333333</v>
      </c>
      <c r="Q13" s="115">
        <f t="shared" si="5"/>
        <v>164.3333333</v>
      </c>
      <c r="R13" s="116"/>
      <c r="S13" s="117">
        <f t="shared" ref="S13:AD13" si="6">AVERAGE(S10:S12)</f>
        <v>0.7543333333</v>
      </c>
      <c r="T13" s="115">
        <f t="shared" si="6"/>
        <v>0.7426666667</v>
      </c>
      <c r="U13" s="115">
        <f t="shared" si="6"/>
        <v>0.6846666667</v>
      </c>
      <c r="V13" s="117">
        <f t="shared" si="6"/>
        <v>0.7376666667</v>
      </c>
      <c r="W13" s="115">
        <f t="shared" si="6"/>
        <v>0.7396666667</v>
      </c>
      <c r="X13" s="115">
        <f t="shared" si="6"/>
        <v>0.3786666667</v>
      </c>
      <c r="Y13" s="115">
        <f t="shared" si="6"/>
        <v>0.8313333333</v>
      </c>
      <c r="Z13" s="115">
        <f t="shared" si="6"/>
        <v>0.8093333333</v>
      </c>
      <c r="AA13" s="115">
        <f t="shared" si="6"/>
        <v>44</v>
      </c>
      <c r="AB13" s="115">
        <f t="shared" si="6"/>
        <v>37.66666667</v>
      </c>
      <c r="AC13" s="115">
        <f t="shared" si="6"/>
        <v>31.66666667</v>
      </c>
      <c r="AD13" s="118">
        <f t="shared" si="6"/>
        <v>156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0.0232594067</v>
      </c>
      <c r="G14" s="123">
        <f t="shared" si="7"/>
        <v>0.02650157228</v>
      </c>
      <c r="H14" s="123">
        <f t="shared" si="7"/>
        <v>0.02137755833</v>
      </c>
      <c r="I14" s="123">
        <f t="shared" si="7"/>
        <v>0.0200083316</v>
      </c>
      <c r="J14" s="123">
        <f t="shared" si="7"/>
        <v>0.03035347317</v>
      </c>
      <c r="K14" s="123">
        <f t="shared" si="7"/>
        <v>0.05758761441</v>
      </c>
      <c r="L14" s="123">
        <f t="shared" si="7"/>
        <v>0.06153318888</v>
      </c>
      <c r="M14" s="123">
        <f t="shared" si="7"/>
        <v>0.01844812547</v>
      </c>
      <c r="N14" s="123">
        <f t="shared" si="7"/>
        <v>6.08276253</v>
      </c>
      <c r="O14" s="123">
        <f t="shared" si="7"/>
        <v>6.658328118</v>
      </c>
      <c r="P14" s="123">
        <f t="shared" si="7"/>
        <v>11.59022577</v>
      </c>
      <c r="Q14" s="123">
        <f t="shared" si="7"/>
        <v>11.67618659</v>
      </c>
      <c r="R14" s="123"/>
      <c r="S14" s="123">
        <f t="shared" ref="S14:AD14" si="8">STDEV(S10:S12)</f>
        <v>0.04523641601</v>
      </c>
      <c r="T14" s="123">
        <f t="shared" si="8"/>
        <v>0.02311565126</v>
      </c>
      <c r="U14" s="123">
        <f t="shared" si="8"/>
        <v>0.06274020508</v>
      </c>
      <c r="V14" s="123">
        <f t="shared" si="8"/>
        <v>0.03139001965</v>
      </c>
      <c r="W14" s="123">
        <f t="shared" si="8"/>
        <v>0.04082074636</v>
      </c>
      <c r="X14" s="123">
        <f t="shared" si="8"/>
        <v>0.0957148543</v>
      </c>
      <c r="Y14" s="123">
        <f t="shared" si="8"/>
        <v>0.0456216323</v>
      </c>
      <c r="Z14" s="123">
        <f t="shared" si="8"/>
        <v>0.05257692777</v>
      </c>
      <c r="AA14" s="123">
        <f t="shared" si="8"/>
        <v>13.89244399</v>
      </c>
      <c r="AB14" s="123">
        <f t="shared" si="8"/>
        <v>13.57694124</v>
      </c>
      <c r="AC14" s="123">
        <f t="shared" si="8"/>
        <v>8.621678104</v>
      </c>
      <c r="AD14" s="123">
        <f t="shared" si="8"/>
        <v>8.544003745</v>
      </c>
    </row>
    <row r="15">
      <c r="A15" s="171" t="s">
        <v>74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0.792</v>
      </c>
      <c r="G15" s="91">
        <v>0.756</v>
      </c>
      <c r="H15" s="91">
        <v>0.649</v>
      </c>
      <c r="I15" s="91">
        <v>0.732</v>
      </c>
      <c r="J15" s="91">
        <v>0.742</v>
      </c>
      <c r="K15" s="91">
        <v>0.365</v>
      </c>
      <c r="L15" s="91">
        <v>0.92</v>
      </c>
      <c r="M15" s="91">
        <v>0.772</v>
      </c>
      <c r="N15" s="92">
        <v>31.0</v>
      </c>
      <c r="O15" s="92">
        <v>51.0</v>
      </c>
      <c r="P15" s="92">
        <v>15.0</v>
      </c>
      <c r="Q15" s="92">
        <v>173.0</v>
      </c>
      <c r="R15" s="93"/>
      <c r="S15" s="94">
        <v>0.773</v>
      </c>
      <c r="T15" s="95">
        <v>0.73</v>
      </c>
      <c r="U15" s="95">
        <v>0.679</v>
      </c>
      <c r="V15" s="95">
        <v>0.729</v>
      </c>
      <c r="W15" s="95">
        <v>0.729</v>
      </c>
      <c r="X15" s="94">
        <v>0.359</v>
      </c>
      <c r="Y15" s="94">
        <v>0.809</v>
      </c>
      <c r="Z15" s="94">
        <v>0.804</v>
      </c>
      <c r="AA15" s="96">
        <v>45.0</v>
      </c>
      <c r="AB15" s="97">
        <v>37.0</v>
      </c>
      <c r="AC15" s="97">
        <v>36.0</v>
      </c>
      <c r="AD15" s="98">
        <v>152.0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0.744</v>
      </c>
      <c r="G16" s="101">
        <v>0.755</v>
      </c>
      <c r="H16" s="101">
        <v>0.652</v>
      </c>
      <c r="I16" s="101">
        <v>0.734</v>
      </c>
      <c r="J16" s="101">
        <v>0.74</v>
      </c>
      <c r="K16" s="101">
        <v>0.362</v>
      </c>
      <c r="L16" s="101">
        <v>0.91</v>
      </c>
      <c r="M16" s="101">
        <v>0.777</v>
      </c>
      <c r="N16" s="102">
        <v>32.0</v>
      </c>
      <c r="O16" s="102">
        <v>49.0</v>
      </c>
      <c r="P16" s="102">
        <v>17.0</v>
      </c>
      <c r="Q16" s="102">
        <v>171.0</v>
      </c>
      <c r="R16" s="103"/>
      <c r="S16" s="104">
        <v>0.677</v>
      </c>
      <c r="T16" s="105">
        <v>0.714</v>
      </c>
      <c r="U16" s="105">
        <v>0.602</v>
      </c>
      <c r="V16" s="105">
        <v>0.689</v>
      </c>
      <c r="W16" s="105">
        <v>0.688</v>
      </c>
      <c r="X16" s="104">
        <v>0.244</v>
      </c>
      <c r="Y16" s="104">
        <v>0.883</v>
      </c>
      <c r="Z16" s="104">
        <v>0.751</v>
      </c>
      <c r="AA16" s="106">
        <v>26.0</v>
      </c>
      <c r="AB16" s="107">
        <v>55.0</v>
      </c>
      <c r="AC16" s="107">
        <v>22.0</v>
      </c>
      <c r="AD16" s="108">
        <v>166.0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0.786</v>
      </c>
      <c r="G17" s="101">
        <v>0.714</v>
      </c>
      <c r="H17" s="101">
        <v>0.613</v>
      </c>
      <c r="I17" s="101">
        <v>0.693</v>
      </c>
      <c r="J17" s="101">
        <v>0.691</v>
      </c>
      <c r="K17" s="101">
        <v>0.261</v>
      </c>
      <c r="L17" s="101">
        <v>0.872</v>
      </c>
      <c r="M17" s="101">
        <v>0.755</v>
      </c>
      <c r="N17" s="110">
        <v>29.0</v>
      </c>
      <c r="O17" s="110">
        <v>53.0</v>
      </c>
      <c r="P17" s="110">
        <v>24.0</v>
      </c>
      <c r="Q17" s="110">
        <v>163.0</v>
      </c>
      <c r="R17" s="103"/>
      <c r="S17" s="104">
        <v>0.779</v>
      </c>
      <c r="T17" s="105">
        <v>0.729</v>
      </c>
      <c r="U17" s="105">
        <v>0.627</v>
      </c>
      <c r="V17" s="105">
        <v>0.707</v>
      </c>
      <c r="W17" s="105">
        <v>0.709</v>
      </c>
      <c r="X17" s="104">
        <v>0.298</v>
      </c>
      <c r="Y17" s="104">
        <v>0.888</v>
      </c>
      <c r="Z17" s="104">
        <v>0.761</v>
      </c>
      <c r="AA17" s="111">
        <v>30.0</v>
      </c>
      <c r="AB17" s="112">
        <v>52.0</v>
      </c>
      <c r="AC17" s="112">
        <v>21.0</v>
      </c>
      <c r="AD17" s="113">
        <v>166.0</v>
      </c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0.774</v>
      </c>
      <c r="G18" s="115">
        <f t="shared" si="9"/>
        <v>0.7416666667</v>
      </c>
      <c r="H18" s="115">
        <f t="shared" si="9"/>
        <v>0.638</v>
      </c>
      <c r="I18" s="115">
        <f t="shared" si="9"/>
        <v>0.7196666667</v>
      </c>
      <c r="J18" s="115">
        <f t="shared" si="9"/>
        <v>0.7243333333</v>
      </c>
      <c r="K18" s="115">
        <f t="shared" si="9"/>
        <v>0.3293333333</v>
      </c>
      <c r="L18" s="115">
        <f t="shared" si="9"/>
        <v>0.9006666667</v>
      </c>
      <c r="M18" s="117">
        <f t="shared" si="9"/>
        <v>0.768</v>
      </c>
      <c r="N18" s="117">
        <f t="shared" si="9"/>
        <v>30.66666667</v>
      </c>
      <c r="O18" s="117">
        <f t="shared" si="9"/>
        <v>51</v>
      </c>
      <c r="P18" s="115">
        <f t="shared" si="9"/>
        <v>18.66666667</v>
      </c>
      <c r="Q18" s="115">
        <f t="shared" si="9"/>
        <v>169</v>
      </c>
      <c r="R18" s="116"/>
      <c r="S18" s="115">
        <f t="shared" ref="S18:AD18" si="10">AVERAGE(S15:S17)</f>
        <v>0.743</v>
      </c>
      <c r="T18" s="115">
        <f t="shared" si="10"/>
        <v>0.7243333333</v>
      </c>
      <c r="U18" s="115">
        <f t="shared" si="10"/>
        <v>0.636</v>
      </c>
      <c r="V18" s="115">
        <f t="shared" si="10"/>
        <v>0.7083333333</v>
      </c>
      <c r="W18" s="115">
        <f t="shared" si="10"/>
        <v>0.7086666667</v>
      </c>
      <c r="X18" s="115">
        <f t="shared" si="10"/>
        <v>0.3003333333</v>
      </c>
      <c r="Y18" s="115">
        <f t="shared" si="10"/>
        <v>0.86</v>
      </c>
      <c r="Z18" s="115">
        <f t="shared" si="10"/>
        <v>0.772</v>
      </c>
      <c r="AA18" s="115">
        <f t="shared" si="10"/>
        <v>33.66666667</v>
      </c>
      <c r="AB18" s="115">
        <f t="shared" si="10"/>
        <v>48</v>
      </c>
      <c r="AC18" s="115">
        <f t="shared" si="10"/>
        <v>26.33333333</v>
      </c>
      <c r="AD18" s="118">
        <f t="shared" si="10"/>
        <v>161.3333333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0.02615339366</v>
      </c>
      <c r="G19" s="123">
        <f t="shared" si="11"/>
        <v>0.02396525262</v>
      </c>
      <c r="H19" s="123">
        <f t="shared" si="11"/>
        <v>0.02170253441</v>
      </c>
      <c r="I19" s="123">
        <f t="shared" si="11"/>
        <v>0.02311565126</v>
      </c>
      <c r="J19" s="123">
        <f t="shared" si="11"/>
        <v>0.02888482877</v>
      </c>
      <c r="K19" s="123">
        <f t="shared" si="11"/>
        <v>0.05919740985</v>
      </c>
      <c r="L19" s="123">
        <f t="shared" si="11"/>
        <v>0.02532455988</v>
      </c>
      <c r="M19" s="123">
        <f t="shared" si="11"/>
        <v>0.01153256259</v>
      </c>
      <c r="N19" s="123">
        <f t="shared" si="11"/>
        <v>1.527525232</v>
      </c>
      <c r="O19" s="123">
        <f t="shared" si="11"/>
        <v>2</v>
      </c>
      <c r="P19" s="123">
        <f t="shared" si="11"/>
        <v>4.725815626</v>
      </c>
      <c r="Q19" s="123">
        <f t="shared" si="11"/>
        <v>5.291502622</v>
      </c>
      <c r="R19" s="123"/>
      <c r="S19" s="123">
        <f t="shared" ref="S19:AD19" si="12">STDEV(S15:S17)</f>
        <v>0.05723635209</v>
      </c>
      <c r="T19" s="123">
        <f t="shared" si="12"/>
        <v>0.00896288644</v>
      </c>
      <c r="U19" s="123">
        <f t="shared" si="12"/>
        <v>0.03928103868</v>
      </c>
      <c r="V19" s="123">
        <f t="shared" si="12"/>
        <v>0.0200333056</v>
      </c>
      <c r="W19" s="123">
        <f t="shared" si="12"/>
        <v>0.02050203242</v>
      </c>
      <c r="X19" s="123">
        <f t="shared" si="12"/>
        <v>0.05753549629</v>
      </c>
      <c r="Y19" s="123">
        <f t="shared" si="12"/>
        <v>0.04423799272</v>
      </c>
      <c r="Z19" s="123">
        <f t="shared" si="12"/>
        <v>0.02816025568</v>
      </c>
      <c r="AA19" s="123">
        <f t="shared" si="12"/>
        <v>10.0166528</v>
      </c>
      <c r="AB19" s="123">
        <f t="shared" si="12"/>
        <v>9.643650761</v>
      </c>
      <c r="AC19" s="123">
        <f t="shared" si="12"/>
        <v>8.386497084</v>
      </c>
      <c r="AD19" s="123">
        <f t="shared" si="12"/>
        <v>8.082903769</v>
      </c>
    </row>
    <row r="20">
      <c r="A20" s="171" t="s">
        <v>74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0.78</v>
      </c>
      <c r="G20" s="91">
        <v>0.756</v>
      </c>
      <c r="H20" s="91">
        <v>0.721</v>
      </c>
      <c r="I20" s="91">
        <v>0.758</v>
      </c>
      <c r="J20" s="91">
        <v>0.761</v>
      </c>
      <c r="K20" s="91">
        <v>0.434</v>
      </c>
      <c r="L20" s="91">
        <v>0.809</v>
      </c>
      <c r="M20" s="91">
        <v>0.835</v>
      </c>
      <c r="N20" s="92">
        <v>52.0</v>
      </c>
      <c r="O20" s="92">
        <v>30.0</v>
      </c>
      <c r="P20" s="92">
        <v>36.0</v>
      </c>
      <c r="Q20" s="92">
        <v>152.0</v>
      </c>
      <c r="R20" s="93"/>
      <c r="S20" s="94">
        <v>0.778</v>
      </c>
      <c r="T20" s="95">
        <v>0.781</v>
      </c>
      <c r="U20" s="95">
        <v>0.723</v>
      </c>
      <c r="V20" s="95">
        <v>0.777</v>
      </c>
      <c r="W20" s="95">
        <v>0.775</v>
      </c>
      <c r="X20" s="94">
        <v>0.465</v>
      </c>
      <c r="Y20" s="94">
        <v>0.872</v>
      </c>
      <c r="Z20" s="94">
        <v>0.824</v>
      </c>
      <c r="AA20" s="96">
        <v>47.0</v>
      </c>
      <c r="AB20" s="97">
        <v>35.0</v>
      </c>
      <c r="AC20" s="97">
        <v>24.0</v>
      </c>
      <c r="AD20" s="98">
        <v>164.0</v>
      </c>
    </row>
    <row r="21">
      <c r="A21" s="7"/>
      <c r="C21" s="99" t="b">
        <v>1</v>
      </c>
      <c r="D21" s="99" t="s">
        <v>43</v>
      </c>
      <c r="E21" s="99" t="s">
        <v>45</v>
      </c>
      <c r="F21" s="100">
        <v>0.75</v>
      </c>
      <c r="G21" s="101">
        <v>0.74</v>
      </c>
      <c r="H21" s="101">
        <v>0.67</v>
      </c>
      <c r="I21" s="101">
        <v>0.733</v>
      </c>
      <c r="J21" s="101">
        <v>0.73</v>
      </c>
      <c r="K21" s="101">
        <v>0.357</v>
      </c>
      <c r="L21" s="101">
        <v>0.846</v>
      </c>
      <c r="M21" s="101">
        <v>0.795</v>
      </c>
      <c r="N21" s="102">
        <v>40.0</v>
      </c>
      <c r="O21" s="102">
        <v>41.0</v>
      </c>
      <c r="P21" s="102">
        <v>29.0</v>
      </c>
      <c r="Q21" s="102">
        <v>159.0</v>
      </c>
      <c r="R21" s="103"/>
      <c r="S21" s="104">
        <v>0.749</v>
      </c>
      <c r="T21" s="105">
        <v>0.71</v>
      </c>
      <c r="U21" s="105">
        <v>0.694</v>
      </c>
      <c r="V21" s="105">
        <v>0.718</v>
      </c>
      <c r="W21" s="105">
        <v>0.736</v>
      </c>
      <c r="X21" s="104">
        <v>0.367</v>
      </c>
      <c r="Y21" s="104">
        <v>0.734</v>
      </c>
      <c r="Z21" s="104">
        <v>0.831</v>
      </c>
      <c r="AA21" s="106">
        <v>53.0</v>
      </c>
      <c r="AB21" s="107">
        <v>28.0</v>
      </c>
      <c r="AC21" s="107">
        <v>50.0</v>
      </c>
      <c r="AD21" s="108">
        <v>138.0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0.741</v>
      </c>
      <c r="G22" s="101">
        <v>0.703</v>
      </c>
      <c r="H22" s="101">
        <v>0.56</v>
      </c>
      <c r="I22" s="101">
        <v>0.652</v>
      </c>
      <c r="J22" s="101">
        <v>0.666</v>
      </c>
      <c r="K22" s="101">
        <v>0.176</v>
      </c>
      <c r="L22" s="101">
        <v>0.925</v>
      </c>
      <c r="M22" s="101">
        <v>0.724</v>
      </c>
      <c r="N22" s="110">
        <v>16.0</v>
      </c>
      <c r="O22" s="110">
        <v>66.0</v>
      </c>
      <c r="P22" s="110">
        <v>13.0</v>
      </c>
      <c r="Q22" s="110">
        <v>173.0</v>
      </c>
      <c r="R22" s="103"/>
      <c r="S22" s="104">
        <v>0.794</v>
      </c>
      <c r="T22" s="105">
        <v>0.74</v>
      </c>
      <c r="U22" s="105">
        <v>0.676</v>
      </c>
      <c r="V22" s="105">
        <v>0.735</v>
      </c>
      <c r="W22" s="105">
        <v>0.732</v>
      </c>
      <c r="X22" s="104">
        <v>0.366</v>
      </c>
      <c r="Y22" s="104">
        <v>0.84</v>
      </c>
      <c r="Z22" s="104">
        <v>0.797</v>
      </c>
      <c r="AA22" s="111">
        <v>42.0</v>
      </c>
      <c r="AB22" s="112">
        <v>40.0</v>
      </c>
      <c r="AC22" s="112">
        <v>30.0</v>
      </c>
      <c r="AD22" s="113">
        <v>157.0</v>
      </c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0.757</v>
      </c>
      <c r="G23" s="115">
        <f t="shared" si="13"/>
        <v>0.733</v>
      </c>
      <c r="H23" s="115">
        <f t="shared" si="13"/>
        <v>0.6503333333</v>
      </c>
      <c r="I23" s="115">
        <f t="shared" si="13"/>
        <v>0.7143333333</v>
      </c>
      <c r="J23" s="115">
        <f t="shared" si="13"/>
        <v>0.719</v>
      </c>
      <c r="K23" s="115">
        <f t="shared" si="13"/>
        <v>0.3223333333</v>
      </c>
      <c r="L23" s="115">
        <f t="shared" si="13"/>
        <v>0.86</v>
      </c>
      <c r="M23" s="115">
        <f t="shared" si="13"/>
        <v>0.7846666667</v>
      </c>
      <c r="N23" s="115">
        <f t="shared" si="13"/>
        <v>36</v>
      </c>
      <c r="O23" s="115">
        <f t="shared" si="13"/>
        <v>45.66666667</v>
      </c>
      <c r="P23" s="115">
        <f t="shared" si="13"/>
        <v>26</v>
      </c>
      <c r="Q23" s="115">
        <f t="shared" si="13"/>
        <v>161.3333333</v>
      </c>
      <c r="R23" s="116"/>
      <c r="S23" s="115">
        <f t="shared" ref="S23:AD23" si="14">AVERAGE(S20:S22)</f>
        <v>0.7736666667</v>
      </c>
      <c r="T23" s="115">
        <f t="shared" si="14"/>
        <v>0.7436666667</v>
      </c>
      <c r="U23" s="115">
        <f t="shared" si="14"/>
        <v>0.6976666667</v>
      </c>
      <c r="V23" s="115">
        <f t="shared" si="14"/>
        <v>0.7433333333</v>
      </c>
      <c r="W23" s="115">
        <f t="shared" si="14"/>
        <v>0.7476666667</v>
      </c>
      <c r="X23" s="115">
        <f t="shared" si="14"/>
        <v>0.3993333333</v>
      </c>
      <c r="Y23" s="115">
        <f t="shared" si="14"/>
        <v>0.8153333333</v>
      </c>
      <c r="Z23" s="115">
        <f t="shared" si="14"/>
        <v>0.8173333333</v>
      </c>
      <c r="AA23" s="115">
        <f t="shared" si="14"/>
        <v>47.33333333</v>
      </c>
      <c r="AB23" s="115">
        <f t="shared" si="14"/>
        <v>34.33333333</v>
      </c>
      <c r="AC23" s="115">
        <f t="shared" si="14"/>
        <v>34.66666667</v>
      </c>
      <c r="AD23" s="118">
        <f t="shared" si="14"/>
        <v>153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0.02042057786</v>
      </c>
      <c r="G24" s="123">
        <f t="shared" si="15"/>
        <v>0.02718455444</v>
      </c>
      <c r="H24" s="123">
        <f t="shared" si="15"/>
        <v>0.0822820353</v>
      </c>
      <c r="I24" s="123">
        <f t="shared" si="15"/>
        <v>0.05541058864</v>
      </c>
      <c r="J24" s="123">
        <f t="shared" si="15"/>
        <v>0.04844584606</v>
      </c>
      <c r="K24" s="123">
        <f t="shared" si="15"/>
        <v>0.1324474739</v>
      </c>
      <c r="L24" s="123">
        <f t="shared" si="15"/>
        <v>0.05925369187</v>
      </c>
      <c r="M24" s="123">
        <f t="shared" si="15"/>
        <v>0.05621684208</v>
      </c>
      <c r="N24" s="123">
        <f t="shared" si="15"/>
        <v>18.33030278</v>
      </c>
      <c r="O24" s="123">
        <f t="shared" si="15"/>
        <v>18.44812547</v>
      </c>
      <c r="P24" s="123">
        <f t="shared" si="15"/>
        <v>11.78982612</v>
      </c>
      <c r="Q24" s="123">
        <f t="shared" si="15"/>
        <v>10.69267662</v>
      </c>
      <c r="R24" s="123"/>
      <c r="S24" s="123">
        <f t="shared" ref="S24:AD24" si="16">STDEV(S20:S22)</f>
        <v>0.02281081615</v>
      </c>
      <c r="T24" s="123">
        <f t="shared" si="16"/>
        <v>0.03564173584</v>
      </c>
      <c r="U24" s="123">
        <f t="shared" si="16"/>
        <v>0.02371356855</v>
      </c>
      <c r="V24" s="123">
        <f t="shared" si="16"/>
        <v>0.03036994128</v>
      </c>
      <c r="W24" s="123">
        <f t="shared" si="16"/>
        <v>0.02375570107</v>
      </c>
      <c r="X24" s="123">
        <f t="shared" si="16"/>
        <v>0.05687119951</v>
      </c>
      <c r="Y24" s="123">
        <f t="shared" si="16"/>
        <v>0.07223111056</v>
      </c>
      <c r="Z24" s="123">
        <f t="shared" si="16"/>
        <v>0.01795364401</v>
      </c>
      <c r="AA24" s="123">
        <f t="shared" si="16"/>
        <v>5.507570547</v>
      </c>
      <c r="AB24" s="123">
        <f t="shared" si="16"/>
        <v>6.027713773</v>
      </c>
      <c r="AC24" s="123">
        <f t="shared" si="16"/>
        <v>13.61371857</v>
      </c>
      <c r="AD24" s="123">
        <f t="shared" si="16"/>
        <v>13.45362405</v>
      </c>
    </row>
    <row r="25">
      <c r="A25" s="171" t="s">
        <v>74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0.791</v>
      </c>
      <c r="G25" s="91">
        <v>0.748</v>
      </c>
      <c r="H25" s="91">
        <v>0.675</v>
      </c>
      <c r="I25" s="91">
        <v>0.74</v>
      </c>
      <c r="J25" s="91">
        <v>0.737</v>
      </c>
      <c r="K25" s="91">
        <v>0.374</v>
      </c>
      <c r="L25" s="91">
        <v>0.862</v>
      </c>
      <c r="M25" s="91">
        <v>0.794</v>
      </c>
      <c r="N25" s="92">
        <v>40.0</v>
      </c>
      <c r="O25" s="92">
        <v>42.0</v>
      </c>
      <c r="P25" s="92">
        <v>26.0</v>
      </c>
      <c r="Q25" s="92">
        <v>162.0</v>
      </c>
      <c r="R25" s="93"/>
      <c r="S25" s="94">
        <v>0.755</v>
      </c>
      <c r="T25" s="95">
        <v>0.726</v>
      </c>
      <c r="U25" s="95">
        <v>0.669</v>
      </c>
      <c r="V25" s="95">
        <v>0.724</v>
      </c>
      <c r="W25" s="95">
        <v>0.722</v>
      </c>
      <c r="X25" s="94">
        <v>0.343</v>
      </c>
      <c r="Y25" s="94">
        <v>0.814</v>
      </c>
      <c r="Z25" s="94">
        <v>0.797</v>
      </c>
      <c r="AA25" s="96">
        <v>43.0</v>
      </c>
      <c r="AB25" s="97">
        <v>39.0</v>
      </c>
      <c r="AC25" s="97">
        <v>35.0</v>
      </c>
      <c r="AD25" s="98">
        <v>153.0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0.759</v>
      </c>
      <c r="G26" s="101">
        <v>0.743</v>
      </c>
      <c r="H26" s="101">
        <v>0.679</v>
      </c>
      <c r="I26" s="101">
        <v>0.739</v>
      </c>
      <c r="J26" s="101">
        <v>0.736</v>
      </c>
      <c r="K26" s="101">
        <v>0.372</v>
      </c>
      <c r="L26" s="101">
        <v>0.84</v>
      </c>
      <c r="M26" s="101">
        <v>0.802</v>
      </c>
      <c r="N26" s="102">
        <v>42.0</v>
      </c>
      <c r="O26" s="102">
        <v>39.0</v>
      </c>
      <c r="P26" s="102">
        <v>30.0</v>
      </c>
      <c r="Q26" s="102">
        <v>158.0</v>
      </c>
      <c r="R26" s="103"/>
      <c r="S26" s="104">
        <v>0.728</v>
      </c>
      <c r="T26" s="105">
        <v>0.688</v>
      </c>
      <c r="U26" s="105">
        <v>0.657</v>
      </c>
      <c r="V26" s="105">
        <v>0.695</v>
      </c>
      <c r="W26" s="105">
        <v>0.707</v>
      </c>
      <c r="X26" s="104">
        <v>0.3</v>
      </c>
      <c r="Y26" s="104">
        <v>0.734</v>
      </c>
      <c r="Z26" s="104">
        <v>0.802</v>
      </c>
      <c r="AA26" s="106">
        <v>47.0</v>
      </c>
      <c r="AB26" s="107">
        <v>34.0</v>
      </c>
      <c r="AC26" s="107">
        <v>50.0</v>
      </c>
      <c r="AD26" s="108">
        <v>138.0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0.743</v>
      </c>
      <c r="G27" s="101">
        <v>0.725</v>
      </c>
      <c r="H27" s="101">
        <v>0.614</v>
      </c>
      <c r="I27" s="101">
        <v>0.698</v>
      </c>
      <c r="J27" s="101">
        <v>0.703</v>
      </c>
      <c r="K27" s="101">
        <v>0.278</v>
      </c>
      <c r="L27" s="101">
        <v>0.898</v>
      </c>
      <c r="M27" s="101">
        <v>0.753</v>
      </c>
      <c r="N27" s="110">
        <v>27.0</v>
      </c>
      <c r="O27" s="110">
        <v>55.0</v>
      </c>
      <c r="P27" s="110">
        <v>19.0</v>
      </c>
      <c r="Q27" s="110">
        <v>168.0</v>
      </c>
      <c r="R27" s="103"/>
      <c r="S27" s="104">
        <v>0.755</v>
      </c>
      <c r="T27" s="105">
        <v>0.736</v>
      </c>
      <c r="U27" s="105">
        <v>0.66</v>
      </c>
      <c r="V27" s="105">
        <v>0.727</v>
      </c>
      <c r="W27" s="105">
        <v>0.723</v>
      </c>
      <c r="X27" s="104">
        <v>0.343</v>
      </c>
      <c r="Y27" s="104">
        <v>0.856</v>
      </c>
      <c r="Z27" s="104">
        <v>0.784</v>
      </c>
      <c r="AA27" s="111">
        <v>38.0</v>
      </c>
      <c r="AB27" s="112">
        <v>44.0</v>
      </c>
      <c r="AC27" s="112">
        <v>27.0</v>
      </c>
      <c r="AD27" s="113">
        <v>160.0</v>
      </c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0.7643333333</v>
      </c>
      <c r="G28" s="115">
        <f t="shared" si="17"/>
        <v>0.7386666667</v>
      </c>
      <c r="H28" s="117">
        <f t="shared" si="17"/>
        <v>0.656</v>
      </c>
      <c r="I28" s="117">
        <f t="shared" si="17"/>
        <v>0.7256666667</v>
      </c>
      <c r="J28" s="115">
        <f t="shared" si="17"/>
        <v>0.7253333333</v>
      </c>
      <c r="K28" s="117">
        <f t="shared" si="17"/>
        <v>0.3413333333</v>
      </c>
      <c r="L28" s="115">
        <f t="shared" si="17"/>
        <v>0.8666666667</v>
      </c>
      <c r="M28" s="117">
        <f t="shared" si="17"/>
        <v>0.783</v>
      </c>
      <c r="N28" s="117">
        <f t="shared" si="17"/>
        <v>36.33333333</v>
      </c>
      <c r="O28" s="117">
        <f t="shared" si="17"/>
        <v>45.33333333</v>
      </c>
      <c r="P28" s="115">
        <f t="shared" si="17"/>
        <v>25</v>
      </c>
      <c r="Q28" s="115">
        <f t="shared" si="17"/>
        <v>162.6666667</v>
      </c>
      <c r="R28" s="116"/>
      <c r="S28" s="115">
        <f t="shared" ref="S28:AD28" si="18">AVERAGE(S25:S27)</f>
        <v>0.746</v>
      </c>
      <c r="T28" s="115">
        <f t="shared" si="18"/>
        <v>0.7166666667</v>
      </c>
      <c r="U28" s="115">
        <f t="shared" si="18"/>
        <v>0.662</v>
      </c>
      <c r="V28" s="115">
        <f t="shared" si="18"/>
        <v>0.7153333333</v>
      </c>
      <c r="W28" s="115">
        <f t="shared" si="18"/>
        <v>0.7173333333</v>
      </c>
      <c r="X28" s="115">
        <f t="shared" si="18"/>
        <v>0.3286666667</v>
      </c>
      <c r="Y28" s="115">
        <f t="shared" si="18"/>
        <v>0.8013333333</v>
      </c>
      <c r="Z28" s="115">
        <f t="shared" si="18"/>
        <v>0.7943333333</v>
      </c>
      <c r="AA28" s="115">
        <f t="shared" si="18"/>
        <v>42.66666667</v>
      </c>
      <c r="AB28" s="115">
        <f t="shared" si="18"/>
        <v>39</v>
      </c>
      <c r="AC28" s="115">
        <f t="shared" si="18"/>
        <v>37.33333333</v>
      </c>
      <c r="AD28" s="118">
        <f t="shared" si="18"/>
        <v>150.3333333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0.02444040371</v>
      </c>
      <c r="G29" s="123">
        <f t="shared" si="19"/>
        <v>0.01209683154</v>
      </c>
      <c r="H29" s="123">
        <f t="shared" si="19"/>
        <v>0.0364280112</v>
      </c>
      <c r="I29" s="123">
        <f t="shared" si="19"/>
        <v>0.02396525262</v>
      </c>
      <c r="J29" s="123">
        <f t="shared" si="19"/>
        <v>0.01934769581</v>
      </c>
      <c r="K29" s="123">
        <f t="shared" si="19"/>
        <v>0.05485739087</v>
      </c>
      <c r="L29" s="123">
        <f t="shared" si="19"/>
        <v>0.02928025501</v>
      </c>
      <c r="M29" s="123">
        <f t="shared" si="19"/>
        <v>0.02628687886</v>
      </c>
      <c r="N29" s="123">
        <f t="shared" si="19"/>
        <v>8.144527815</v>
      </c>
      <c r="O29" s="123">
        <f t="shared" si="19"/>
        <v>8.504900548</v>
      </c>
      <c r="P29" s="123">
        <f t="shared" si="19"/>
        <v>5.567764363</v>
      </c>
      <c r="Q29" s="123">
        <f t="shared" si="19"/>
        <v>5.033222957</v>
      </c>
      <c r="R29" s="123"/>
      <c r="S29" s="123">
        <f t="shared" ref="S29:AD29" si="20">STDEV(S25:S27)</f>
        <v>0.01558845727</v>
      </c>
      <c r="T29" s="123">
        <f t="shared" si="20"/>
        <v>0.02532455988</v>
      </c>
      <c r="U29" s="123">
        <f t="shared" si="20"/>
        <v>0.006244997998</v>
      </c>
      <c r="V29" s="123">
        <f t="shared" si="20"/>
        <v>0.01767295486</v>
      </c>
      <c r="W29" s="123">
        <f t="shared" si="20"/>
        <v>0.00896288644</v>
      </c>
      <c r="X29" s="123">
        <f t="shared" si="20"/>
        <v>0.02482606158</v>
      </c>
      <c r="Y29" s="123">
        <f t="shared" si="20"/>
        <v>0.06197849089</v>
      </c>
      <c r="Z29" s="123">
        <f t="shared" si="20"/>
        <v>0.009291573243</v>
      </c>
      <c r="AA29" s="123">
        <f t="shared" si="20"/>
        <v>4.509249753</v>
      </c>
      <c r="AB29" s="123">
        <f t="shared" si="20"/>
        <v>5</v>
      </c>
      <c r="AC29" s="123">
        <f t="shared" si="20"/>
        <v>11.67618659</v>
      </c>
      <c r="AD29" s="123">
        <f t="shared" si="20"/>
        <v>11.2398102</v>
      </c>
    </row>
    <row r="30">
      <c r="A30" s="171" t="s">
        <v>74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0.78</v>
      </c>
      <c r="G30" s="91">
        <v>0.744</v>
      </c>
      <c r="H30" s="91">
        <v>0.71</v>
      </c>
      <c r="I30" s="91">
        <v>0.747</v>
      </c>
      <c r="J30" s="91">
        <v>0.751</v>
      </c>
      <c r="K30" s="91">
        <v>0.411</v>
      </c>
      <c r="L30" s="91">
        <v>0.798</v>
      </c>
      <c r="M30" s="91">
        <v>0.829</v>
      </c>
      <c r="N30" s="92">
        <v>51.0</v>
      </c>
      <c r="O30" s="92">
        <v>31.0</v>
      </c>
      <c r="P30" s="92">
        <v>38.0</v>
      </c>
      <c r="Q30" s="92">
        <v>150.0</v>
      </c>
      <c r="R30" s="93"/>
      <c r="S30" s="94">
        <v>0.792</v>
      </c>
      <c r="T30" s="95">
        <v>0.759</v>
      </c>
      <c r="U30" s="95">
        <v>0.693</v>
      </c>
      <c r="V30" s="95">
        <v>0.753</v>
      </c>
      <c r="W30" s="95">
        <v>0.75</v>
      </c>
      <c r="X30" s="94">
        <v>0.407</v>
      </c>
      <c r="Y30" s="94">
        <v>0.862</v>
      </c>
      <c r="Z30" s="94">
        <v>0.806</v>
      </c>
      <c r="AA30" s="96">
        <v>43.0</v>
      </c>
      <c r="AB30" s="97">
        <v>39.0</v>
      </c>
      <c r="AC30" s="97">
        <v>26.0</v>
      </c>
      <c r="AD30" s="98">
        <v>162.0</v>
      </c>
    </row>
    <row r="31">
      <c r="A31" s="7"/>
      <c r="C31" s="99" t="b">
        <v>1</v>
      </c>
      <c r="D31" s="99" t="s">
        <v>43</v>
      </c>
      <c r="E31" s="99" t="s">
        <v>45</v>
      </c>
      <c r="F31" s="100">
        <v>0.757</v>
      </c>
      <c r="G31" s="101">
        <v>0.743</v>
      </c>
      <c r="H31" s="101">
        <v>0.683</v>
      </c>
      <c r="I31" s="101">
        <v>0.74</v>
      </c>
      <c r="J31" s="101">
        <v>0.738</v>
      </c>
      <c r="K31" s="101">
        <v>0.376</v>
      </c>
      <c r="L31" s="101">
        <v>0.835</v>
      </c>
      <c r="M31" s="101">
        <v>0.805</v>
      </c>
      <c r="N31" s="102">
        <v>43.0</v>
      </c>
      <c r="O31" s="102">
        <v>38.0</v>
      </c>
      <c r="P31" s="102">
        <v>31.0</v>
      </c>
      <c r="Q31" s="102">
        <v>157.0</v>
      </c>
      <c r="R31" s="103"/>
      <c r="S31" s="104">
        <v>0.724</v>
      </c>
      <c r="T31" s="105">
        <v>0.732</v>
      </c>
      <c r="U31" s="105">
        <v>0.643</v>
      </c>
      <c r="V31" s="105">
        <v>0.719</v>
      </c>
      <c r="W31" s="105">
        <v>0.716</v>
      </c>
      <c r="X31" s="104">
        <v>0.318</v>
      </c>
      <c r="Y31" s="104">
        <v>0.867</v>
      </c>
      <c r="Z31" s="104">
        <v>0.776</v>
      </c>
      <c r="AA31" s="106">
        <v>34.0</v>
      </c>
      <c r="AB31" s="107">
        <v>47.0</v>
      </c>
      <c r="AC31" s="107">
        <v>25.0</v>
      </c>
      <c r="AD31" s="108">
        <v>163.0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0.565</v>
      </c>
      <c r="G32" s="101">
        <v>0.695</v>
      </c>
      <c r="H32" s="101">
        <v>0.5</v>
      </c>
      <c r="I32" s="101">
        <v>0.57</v>
      </c>
      <c r="J32" s="101">
        <v>0.788</v>
      </c>
      <c r="K32" s="101">
        <v>0.0</v>
      </c>
      <c r="L32" s="101">
        <v>1.0</v>
      </c>
      <c r="M32" s="101">
        <v>0.695</v>
      </c>
      <c r="N32" s="110">
        <v>0.0</v>
      </c>
      <c r="O32" s="110">
        <v>82.0</v>
      </c>
      <c r="P32" s="110">
        <v>0.0</v>
      </c>
      <c r="Q32" s="110">
        <v>187.0</v>
      </c>
      <c r="R32" s="103"/>
      <c r="S32" s="104">
        <v>0.78</v>
      </c>
      <c r="T32" s="105">
        <v>0.71</v>
      </c>
      <c r="U32" s="105">
        <v>0.651</v>
      </c>
      <c r="V32" s="105">
        <v>0.708</v>
      </c>
      <c r="W32" s="105">
        <v>0.706</v>
      </c>
      <c r="X32" s="104">
        <v>0.307</v>
      </c>
      <c r="Y32" s="104">
        <v>0.802</v>
      </c>
      <c r="Z32" s="104">
        <v>0.785</v>
      </c>
      <c r="AA32" s="111">
        <v>41.0</v>
      </c>
      <c r="AB32" s="112">
        <v>41.0</v>
      </c>
      <c r="AC32" s="112">
        <v>37.0</v>
      </c>
      <c r="AD32" s="113">
        <v>150.0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0.7006666667</v>
      </c>
      <c r="G33" s="115">
        <f t="shared" si="21"/>
        <v>0.7273333333</v>
      </c>
      <c r="H33" s="115">
        <f t="shared" si="21"/>
        <v>0.631</v>
      </c>
      <c r="I33" s="115">
        <f t="shared" si="21"/>
        <v>0.6856666667</v>
      </c>
      <c r="J33" s="117">
        <f t="shared" si="21"/>
        <v>0.759</v>
      </c>
      <c r="K33" s="115">
        <f t="shared" si="21"/>
        <v>0.2623333333</v>
      </c>
      <c r="L33" s="117">
        <f t="shared" si="21"/>
        <v>0.8776666667</v>
      </c>
      <c r="M33" s="115">
        <f t="shared" si="21"/>
        <v>0.7763333333</v>
      </c>
      <c r="N33" s="115">
        <f t="shared" si="21"/>
        <v>31.33333333</v>
      </c>
      <c r="O33" s="115">
        <f t="shared" si="21"/>
        <v>50.33333333</v>
      </c>
      <c r="P33" s="117">
        <f t="shared" si="21"/>
        <v>23</v>
      </c>
      <c r="Q33" s="117">
        <f t="shared" si="21"/>
        <v>164.6666667</v>
      </c>
      <c r="R33" s="116"/>
      <c r="S33" s="115">
        <f t="shared" ref="S33:AD33" si="22">AVERAGE(S30:S32)</f>
        <v>0.7653333333</v>
      </c>
      <c r="T33" s="115">
        <f t="shared" si="22"/>
        <v>0.7336666667</v>
      </c>
      <c r="U33" s="115">
        <f t="shared" si="22"/>
        <v>0.6623333333</v>
      </c>
      <c r="V33" s="115">
        <f t="shared" si="22"/>
        <v>0.7266666667</v>
      </c>
      <c r="W33" s="115">
        <f t="shared" si="22"/>
        <v>0.724</v>
      </c>
      <c r="X33" s="115">
        <f t="shared" si="22"/>
        <v>0.344</v>
      </c>
      <c r="Y33" s="115">
        <f t="shared" si="22"/>
        <v>0.8436666667</v>
      </c>
      <c r="Z33" s="115">
        <f t="shared" si="22"/>
        <v>0.789</v>
      </c>
      <c r="AA33" s="117">
        <f t="shared" si="22"/>
        <v>39.33333333</v>
      </c>
      <c r="AB33" s="117">
        <f t="shared" si="22"/>
        <v>42.33333333</v>
      </c>
      <c r="AC33" s="115">
        <f t="shared" si="22"/>
        <v>29.33333333</v>
      </c>
      <c r="AD33" s="118">
        <f t="shared" si="22"/>
        <v>158.3333333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0.1180522483</v>
      </c>
      <c r="G34" s="123">
        <f t="shared" si="23"/>
        <v>0.02800595175</v>
      </c>
      <c r="H34" s="123">
        <f t="shared" si="23"/>
        <v>0.1142497265</v>
      </c>
      <c r="I34" s="123">
        <f t="shared" si="23"/>
        <v>0.1002313989</v>
      </c>
      <c r="J34" s="123">
        <f t="shared" si="23"/>
        <v>0.02594224354</v>
      </c>
      <c r="K34" s="123">
        <f t="shared" si="23"/>
        <v>0.2278603373</v>
      </c>
      <c r="L34" s="123">
        <f t="shared" si="23"/>
        <v>0.107546889</v>
      </c>
      <c r="M34" s="123">
        <f t="shared" si="23"/>
        <v>0.07145161533</v>
      </c>
      <c r="N34" s="123">
        <f t="shared" si="23"/>
        <v>27.42869544</v>
      </c>
      <c r="O34" s="123">
        <f t="shared" si="23"/>
        <v>27.64657905</v>
      </c>
      <c r="P34" s="123">
        <f t="shared" si="23"/>
        <v>20.22374842</v>
      </c>
      <c r="Q34" s="123">
        <f t="shared" si="23"/>
        <v>19.65536398</v>
      </c>
      <c r="R34" s="123"/>
      <c r="S34" s="123">
        <f t="shared" ref="S34:AD34" si="24">STDEV(S30:S32)</f>
        <v>0.0362950869</v>
      </c>
      <c r="T34" s="123">
        <f t="shared" si="24"/>
        <v>0.02454248018</v>
      </c>
      <c r="U34" s="123">
        <f t="shared" si="24"/>
        <v>0.02685764944</v>
      </c>
      <c r="V34" s="123">
        <f t="shared" si="24"/>
        <v>0.02345918441</v>
      </c>
      <c r="W34" s="123">
        <f t="shared" si="24"/>
        <v>0.02306512519</v>
      </c>
      <c r="X34" s="123">
        <f t="shared" si="24"/>
        <v>0.05483611948</v>
      </c>
      <c r="Y34" s="123">
        <f t="shared" si="24"/>
        <v>0.03617089069</v>
      </c>
      <c r="Z34" s="123">
        <f t="shared" si="24"/>
        <v>0.01539480432</v>
      </c>
      <c r="AA34" s="123">
        <f t="shared" si="24"/>
        <v>4.725815626</v>
      </c>
      <c r="AB34" s="123">
        <f t="shared" si="24"/>
        <v>4.163331999</v>
      </c>
      <c r="AC34" s="123">
        <f t="shared" si="24"/>
        <v>6.658328118</v>
      </c>
      <c r="AD34" s="123">
        <f t="shared" si="24"/>
        <v>7.234178138</v>
      </c>
    </row>
    <row r="35">
      <c r="A35" s="171" t="s">
        <v>74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0.79</v>
      </c>
      <c r="G35" s="91">
        <v>0.77</v>
      </c>
      <c r="H35" s="91">
        <v>0.708</v>
      </c>
      <c r="I35" s="91">
        <v>0.765</v>
      </c>
      <c r="J35" s="91">
        <v>0.763</v>
      </c>
      <c r="K35" s="91">
        <v>0.436</v>
      </c>
      <c r="L35" s="91">
        <v>0.867</v>
      </c>
      <c r="M35" s="91">
        <v>0.815</v>
      </c>
      <c r="N35" s="92">
        <v>45.0</v>
      </c>
      <c r="O35" s="92">
        <v>37.0</v>
      </c>
      <c r="P35" s="92">
        <v>25.0</v>
      </c>
      <c r="Q35" s="92">
        <v>163.0</v>
      </c>
      <c r="R35" s="93"/>
      <c r="S35" s="94">
        <v>0.738</v>
      </c>
      <c r="T35" s="95">
        <v>0.759</v>
      </c>
      <c r="U35" s="95">
        <v>0.669</v>
      </c>
      <c r="V35" s="95">
        <v>0.744</v>
      </c>
      <c r="W35" s="95">
        <v>0.746</v>
      </c>
      <c r="X35" s="94">
        <v>0.386</v>
      </c>
      <c r="Y35" s="94">
        <v>0.899</v>
      </c>
      <c r="Z35" s="94">
        <v>0.786</v>
      </c>
      <c r="AA35" s="96">
        <v>36.0</v>
      </c>
      <c r="AB35" s="97">
        <v>46.0</v>
      </c>
      <c r="AC35" s="97">
        <v>19.0</v>
      </c>
      <c r="AD35" s="98">
        <v>169.0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0.769</v>
      </c>
      <c r="G36" s="101">
        <v>0.747</v>
      </c>
      <c r="H36" s="101">
        <v>0.665</v>
      </c>
      <c r="I36" s="101">
        <v>0.736</v>
      </c>
      <c r="J36" s="101">
        <v>0.734</v>
      </c>
      <c r="K36" s="101">
        <v>0.361</v>
      </c>
      <c r="L36" s="101">
        <v>0.872</v>
      </c>
      <c r="M36" s="101">
        <v>0.788</v>
      </c>
      <c r="N36" s="102">
        <v>37.0</v>
      </c>
      <c r="O36" s="102">
        <v>44.0</v>
      </c>
      <c r="P36" s="102">
        <v>24.0</v>
      </c>
      <c r="Q36" s="102">
        <v>164.0</v>
      </c>
      <c r="R36" s="103"/>
      <c r="S36" s="104">
        <v>0.744</v>
      </c>
      <c r="T36" s="105">
        <v>0.732</v>
      </c>
      <c r="U36" s="105">
        <v>0.647</v>
      </c>
      <c r="V36" s="105">
        <v>0.72</v>
      </c>
      <c r="W36" s="105">
        <v>0.717</v>
      </c>
      <c r="X36" s="104">
        <v>0.322</v>
      </c>
      <c r="Y36" s="104">
        <v>0.862</v>
      </c>
      <c r="Z36" s="104">
        <v>0.779</v>
      </c>
      <c r="AA36" s="106">
        <v>35.0</v>
      </c>
      <c r="AB36" s="107">
        <v>46.0</v>
      </c>
      <c r="AC36" s="107">
        <v>26.0</v>
      </c>
      <c r="AD36" s="108">
        <v>162.0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0.765</v>
      </c>
      <c r="G37" s="101">
        <v>0.729</v>
      </c>
      <c r="H37" s="101">
        <v>0.623</v>
      </c>
      <c r="I37" s="101">
        <v>0.705</v>
      </c>
      <c r="J37" s="101">
        <v>0.708</v>
      </c>
      <c r="K37" s="101">
        <v>0.294</v>
      </c>
      <c r="L37" s="101">
        <v>0.893</v>
      </c>
      <c r="M37" s="101">
        <v>0.759</v>
      </c>
      <c r="N37" s="110">
        <v>29.0</v>
      </c>
      <c r="O37" s="110">
        <v>53.0</v>
      </c>
      <c r="P37" s="110">
        <v>20.0</v>
      </c>
      <c r="Q37" s="110">
        <v>167.0</v>
      </c>
      <c r="R37" s="103"/>
      <c r="S37" s="104">
        <v>0.776</v>
      </c>
      <c r="T37" s="105">
        <v>0.732</v>
      </c>
      <c r="U37" s="105">
        <v>0.643</v>
      </c>
      <c r="V37" s="105">
        <v>0.717</v>
      </c>
      <c r="W37" s="105">
        <v>0.716</v>
      </c>
      <c r="X37" s="104">
        <v>0.32</v>
      </c>
      <c r="Y37" s="104">
        <v>0.872</v>
      </c>
      <c r="Z37" s="104">
        <v>0.773</v>
      </c>
      <c r="AA37" s="111">
        <v>34.0</v>
      </c>
      <c r="AB37" s="112">
        <v>48.0</v>
      </c>
      <c r="AC37" s="112">
        <v>24.0</v>
      </c>
      <c r="AD37" s="113">
        <v>163.0</v>
      </c>
    </row>
    <row r="38">
      <c r="A38" s="7"/>
      <c r="B38" s="114" t="s">
        <v>47</v>
      </c>
      <c r="C38" s="30"/>
      <c r="D38" s="30"/>
      <c r="E38" s="72"/>
      <c r="F38" s="161">
        <f t="shared" ref="F38:Q38" si="25">AVERAGE(F35:F37)</f>
        <v>0.7746666667</v>
      </c>
      <c r="G38" s="117">
        <f t="shared" si="25"/>
        <v>0.7486666667</v>
      </c>
      <c r="H38" s="115">
        <f t="shared" si="25"/>
        <v>0.6653333333</v>
      </c>
      <c r="I38" s="115">
        <f t="shared" si="25"/>
        <v>0.7353333333</v>
      </c>
      <c r="J38" s="115">
        <f t="shared" si="25"/>
        <v>0.735</v>
      </c>
      <c r="K38" s="115">
        <f t="shared" si="25"/>
        <v>0.3636666667</v>
      </c>
      <c r="L38" s="117">
        <f t="shared" si="25"/>
        <v>0.8773333333</v>
      </c>
      <c r="M38" s="115">
        <f t="shared" si="25"/>
        <v>0.7873333333</v>
      </c>
      <c r="N38" s="115">
        <f t="shared" si="25"/>
        <v>37</v>
      </c>
      <c r="O38" s="115">
        <f t="shared" si="25"/>
        <v>44.66666667</v>
      </c>
      <c r="P38" s="117">
        <f t="shared" si="25"/>
        <v>23</v>
      </c>
      <c r="Q38" s="117">
        <f t="shared" si="25"/>
        <v>164.6666667</v>
      </c>
      <c r="R38" s="116"/>
      <c r="S38" s="115">
        <f t="shared" ref="S38:AD38" si="26">AVERAGE(S35:S37)</f>
        <v>0.7526666667</v>
      </c>
      <c r="T38" s="115">
        <f t="shared" si="26"/>
        <v>0.741</v>
      </c>
      <c r="U38" s="115">
        <f t="shared" si="26"/>
        <v>0.653</v>
      </c>
      <c r="V38" s="115">
        <f t="shared" si="26"/>
        <v>0.727</v>
      </c>
      <c r="W38" s="115">
        <f t="shared" si="26"/>
        <v>0.7263333333</v>
      </c>
      <c r="X38" s="115">
        <f t="shared" si="26"/>
        <v>0.3426666667</v>
      </c>
      <c r="Y38" s="115">
        <f t="shared" si="26"/>
        <v>0.8776666667</v>
      </c>
      <c r="Z38" s="115">
        <f t="shared" si="26"/>
        <v>0.7793333333</v>
      </c>
      <c r="AA38" s="115">
        <f t="shared" si="26"/>
        <v>35</v>
      </c>
      <c r="AB38" s="115">
        <f t="shared" si="26"/>
        <v>46.66666667</v>
      </c>
      <c r="AC38" s="115">
        <f t="shared" si="26"/>
        <v>23</v>
      </c>
      <c r="AD38" s="118">
        <f t="shared" si="26"/>
        <v>164.6666667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0.01342882472</v>
      </c>
      <c r="G39" s="123">
        <f t="shared" si="27"/>
        <v>0.02055075019</v>
      </c>
      <c r="H39" s="123">
        <f t="shared" si="27"/>
        <v>0.04250098038</v>
      </c>
      <c r="I39" s="123">
        <f t="shared" si="27"/>
        <v>0.03000555504</v>
      </c>
      <c r="J39" s="123">
        <f t="shared" si="27"/>
        <v>0.02751363298</v>
      </c>
      <c r="K39" s="123">
        <f t="shared" si="27"/>
        <v>0.07103754876</v>
      </c>
      <c r="L39" s="123">
        <f t="shared" si="27"/>
        <v>0.01379613472</v>
      </c>
      <c r="M39" s="123">
        <f t="shared" si="27"/>
        <v>0.02800595175</v>
      </c>
      <c r="N39" s="123">
        <f t="shared" si="27"/>
        <v>8</v>
      </c>
      <c r="O39" s="123">
        <f t="shared" si="27"/>
        <v>8.020806277</v>
      </c>
      <c r="P39" s="123">
        <f t="shared" si="27"/>
        <v>2.645751311</v>
      </c>
      <c r="Q39" s="123">
        <f t="shared" si="27"/>
        <v>2.081665999</v>
      </c>
      <c r="R39" s="123"/>
      <c r="S39" s="123">
        <f t="shared" ref="S39:AD39" si="28">STDEV(S35:S37)</f>
        <v>0.02042873793</v>
      </c>
      <c r="T39" s="123">
        <f t="shared" si="28"/>
        <v>0.01558845727</v>
      </c>
      <c r="U39" s="123">
        <f t="shared" si="28"/>
        <v>0.014</v>
      </c>
      <c r="V39" s="123">
        <f t="shared" si="28"/>
        <v>0.01479864859</v>
      </c>
      <c r="W39" s="123">
        <f t="shared" si="28"/>
        <v>0.01703917056</v>
      </c>
      <c r="X39" s="123">
        <f t="shared" si="28"/>
        <v>0.0375410886</v>
      </c>
      <c r="Y39" s="123">
        <f t="shared" si="28"/>
        <v>0.01913983629</v>
      </c>
      <c r="Z39" s="123">
        <f t="shared" si="28"/>
        <v>0.006506407099</v>
      </c>
      <c r="AA39" s="123">
        <f t="shared" si="28"/>
        <v>1</v>
      </c>
      <c r="AB39" s="123">
        <f t="shared" si="28"/>
        <v>1.154700538</v>
      </c>
      <c r="AC39" s="123">
        <f t="shared" si="28"/>
        <v>3.605551275</v>
      </c>
      <c r="AD39" s="123">
        <f t="shared" si="28"/>
        <v>3.785938897</v>
      </c>
    </row>
    <row r="40">
      <c r="A40" s="171" t="s">
        <v>74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0.781</v>
      </c>
      <c r="G40" s="91">
        <v>0.785</v>
      </c>
      <c r="H40" s="91">
        <v>0.725</v>
      </c>
      <c r="I40" s="91">
        <v>0.78</v>
      </c>
      <c r="J40" s="91">
        <v>0.778</v>
      </c>
      <c r="K40" s="91">
        <v>0.473</v>
      </c>
      <c r="L40" s="91">
        <v>0.878</v>
      </c>
      <c r="M40" s="91">
        <v>0.825</v>
      </c>
      <c r="N40" s="92">
        <v>47.0</v>
      </c>
      <c r="O40" s="92">
        <v>35.0</v>
      </c>
      <c r="P40" s="92">
        <v>23.0</v>
      </c>
      <c r="Q40" s="92">
        <v>165.0</v>
      </c>
      <c r="R40" s="93"/>
      <c r="S40" s="94">
        <v>0.787</v>
      </c>
      <c r="T40" s="95">
        <v>0.752</v>
      </c>
      <c r="U40" s="95">
        <v>0.674</v>
      </c>
      <c r="V40" s="95">
        <v>0.742</v>
      </c>
      <c r="W40" s="95">
        <v>0.74</v>
      </c>
      <c r="X40" s="94">
        <v>0.378</v>
      </c>
      <c r="Y40" s="94">
        <v>0.872</v>
      </c>
      <c r="Z40" s="94">
        <v>0.792</v>
      </c>
      <c r="AA40" s="96">
        <v>39.0</v>
      </c>
      <c r="AB40" s="97">
        <v>43.0</v>
      </c>
      <c r="AC40" s="97">
        <v>24.0</v>
      </c>
      <c r="AD40" s="98">
        <v>164.0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0.72</v>
      </c>
      <c r="G41" s="101">
        <v>0.699</v>
      </c>
      <c r="H41" s="101">
        <v>0.5</v>
      </c>
      <c r="I41" s="101">
        <v>0.575</v>
      </c>
      <c r="J41" s="101">
        <v>0.79</v>
      </c>
      <c r="K41" s="101">
        <v>0.0</v>
      </c>
      <c r="L41" s="101">
        <v>1.0</v>
      </c>
      <c r="M41" s="101">
        <v>0.699</v>
      </c>
      <c r="N41" s="102">
        <v>0.0</v>
      </c>
      <c r="O41" s="102">
        <v>81.0</v>
      </c>
      <c r="P41" s="102">
        <v>0.0</v>
      </c>
      <c r="Q41" s="102">
        <v>188.0</v>
      </c>
      <c r="R41" s="103"/>
      <c r="S41" s="104">
        <v>0.771</v>
      </c>
      <c r="T41" s="105">
        <v>0.758</v>
      </c>
      <c r="U41" s="105">
        <v>0.666</v>
      </c>
      <c r="V41" s="105">
        <v>0.742</v>
      </c>
      <c r="W41" s="105">
        <v>0.745</v>
      </c>
      <c r="X41" s="104">
        <v>0.379</v>
      </c>
      <c r="Y41" s="104">
        <v>0.899</v>
      </c>
      <c r="Z41" s="104">
        <v>0.786</v>
      </c>
      <c r="AA41" s="106">
        <v>35.0</v>
      </c>
      <c r="AB41" s="107">
        <v>46.0</v>
      </c>
      <c r="AC41" s="107">
        <v>19.0</v>
      </c>
      <c r="AD41" s="108">
        <v>169.0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0.708</v>
      </c>
      <c r="G42" s="101">
        <v>0.732</v>
      </c>
      <c r="H42" s="101">
        <v>0.664</v>
      </c>
      <c r="I42" s="101">
        <v>0.726</v>
      </c>
      <c r="J42" s="101">
        <v>0.723</v>
      </c>
      <c r="K42" s="101">
        <v>0.343</v>
      </c>
      <c r="L42" s="101">
        <v>0.84</v>
      </c>
      <c r="M42" s="101">
        <v>0.789</v>
      </c>
      <c r="N42" s="110">
        <v>40.0</v>
      </c>
      <c r="O42" s="110">
        <v>42.0</v>
      </c>
      <c r="P42" s="110">
        <v>30.0</v>
      </c>
      <c r="Q42" s="110">
        <v>157.0</v>
      </c>
      <c r="R42" s="103"/>
      <c r="S42" s="104">
        <v>0.761</v>
      </c>
      <c r="T42" s="105">
        <v>0.74</v>
      </c>
      <c r="U42" s="105">
        <v>0.648</v>
      </c>
      <c r="V42" s="105">
        <v>0.724</v>
      </c>
      <c r="W42" s="105">
        <v>0.724</v>
      </c>
      <c r="X42" s="104">
        <v>0.337</v>
      </c>
      <c r="Y42" s="104">
        <v>0.882</v>
      </c>
      <c r="Z42" s="104">
        <v>0.775</v>
      </c>
      <c r="AA42" s="111">
        <v>34.0</v>
      </c>
      <c r="AB42" s="112">
        <v>48.0</v>
      </c>
      <c r="AC42" s="112">
        <v>22.0</v>
      </c>
      <c r="AD42" s="113">
        <v>165.0</v>
      </c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0.7363333333</v>
      </c>
      <c r="G43" s="115">
        <f t="shared" si="29"/>
        <v>0.7386666667</v>
      </c>
      <c r="H43" s="115">
        <f t="shared" si="29"/>
        <v>0.6296666667</v>
      </c>
      <c r="I43" s="115">
        <f t="shared" si="29"/>
        <v>0.6936666667</v>
      </c>
      <c r="J43" s="161">
        <f t="shared" si="29"/>
        <v>0.7636666667</v>
      </c>
      <c r="K43" s="115">
        <f t="shared" si="29"/>
        <v>0.272</v>
      </c>
      <c r="L43" s="161">
        <f t="shared" si="29"/>
        <v>0.906</v>
      </c>
      <c r="M43" s="115">
        <f t="shared" si="29"/>
        <v>0.771</v>
      </c>
      <c r="N43" s="115">
        <f t="shared" si="29"/>
        <v>29</v>
      </c>
      <c r="O43" s="115">
        <f t="shared" si="29"/>
        <v>52.66666667</v>
      </c>
      <c r="P43" s="115">
        <f t="shared" si="29"/>
        <v>17.66666667</v>
      </c>
      <c r="Q43" s="115">
        <f t="shared" si="29"/>
        <v>170</v>
      </c>
      <c r="R43" s="116"/>
      <c r="S43" s="115">
        <f t="shared" ref="S43:AD43" si="30">AVERAGE(S40:S42)</f>
        <v>0.773</v>
      </c>
      <c r="T43" s="115">
        <f t="shared" si="30"/>
        <v>0.75</v>
      </c>
      <c r="U43" s="115">
        <f t="shared" si="30"/>
        <v>0.6626666667</v>
      </c>
      <c r="V43" s="115">
        <f t="shared" si="30"/>
        <v>0.736</v>
      </c>
      <c r="W43" s="115">
        <f t="shared" si="30"/>
        <v>0.7363333333</v>
      </c>
      <c r="X43" s="115">
        <f t="shared" si="30"/>
        <v>0.3646666667</v>
      </c>
      <c r="Y43" s="117">
        <f t="shared" si="30"/>
        <v>0.8843333333</v>
      </c>
      <c r="Z43" s="115">
        <f t="shared" si="30"/>
        <v>0.7843333333</v>
      </c>
      <c r="AA43" s="115">
        <f t="shared" si="30"/>
        <v>36</v>
      </c>
      <c r="AB43" s="115">
        <f t="shared" si="30"/>
        <v>45.66666667</v>
      </c>
      <c r="AC43" s="117">
        <f t="shared" si="30"/>
        <v>21.66666667</v>
      </c>
      <c r="AD43" s="162">
        <f t="shared" si="30"/>
        <v>166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0.03914502948</v>
      </c>
      <c r="G44" s="123">
        <f t="shared" si="31"/>
        <v>0.04338586559</v>
      </c>
      <c r="H44" s="123">
        <f t="shared" si="31"/>
        <v>0.116362938</v>
      </c>
      <c r="I44" s="123">
        <f t="shared" si="31"/>
        <v>0.1062559802</v>
      </c>
      <c r="J44" s="123">
        <f t="shared" si="31"/>
        <v>0.03572580767</v>
      </c>
      <c r="K44" s="123">
        <f t="shared" si="31"/>
        <v>0.2443624357</v>
      </c>
      <c r="L44" s="123">
        <f t="shared" si="31"/>
        <v>0.08359425818</v>
      </c>
      <c r="M44" s="123">
        <f t="shared" si="31"/>
        <v>0.06489992296</v>
      </c>
      <c r="N44" s="123">
        <f t="shared" si="31"/>
        <v>25.35744467</v>
      </c>
      <c r="O44" s="123">
        <f t="shared" si="31"/>
        <v>24.78574859</v>
      </c>
      <c r="P44" s="123">
        <f t="shared" si="31"/>
        <v>15.69500982</v>
      </c>
      <c r="Q44" s="123">
        <f t="shared" si="31"/>
        <v>16.09347694</v>
      </c>
      <c r="R44" s="123"/>
      <c r="S44" s="123">
        <f t="shared" ref="S44:AD44" si="32">STDEV(S40:S42)</f>
        <v>0.01311487705</v>
      </c>
      <c r="T44" s="123">
        <f t="shared" si="32"/>
        <v>0.00916515139</v>
      </c>
      <c r="U44" s="123">
        <f t="shared" si="32"/>
        <v>0.01331665624</v>
      </c>
      <c r="V44" s="123">
        <f t="shared" si="32"/>
        <v>0.01039230485</v>
      </c>
      <c r="W44" s="123">
        <f t="shared" si="32"/>
        <v>0.01096965511</v>
      </c>
      <c r="X44" s="123">
        <f t="shared" si="32"/>
        <v>0.02396525262</v>
      </c>
      <c r="Y44" s="123">
        <f t="shared" si="32"/>
        <v>0.01365039682</v>
      </c>
      <c r="Z44" s="123">
        <f t="shared" si="32"/>
        <v>0.008621678104</v>
      </c>
      <c r="AA44" s="123">
        <f t="shared" si="32"/>
        <v>2.645751311</v>
      </c>
      <c r="AB44" s="123">
        <f t="shared" si="32"/>
        <v>2.516611478</v>
      </c>
      <c r="AC44" s="123">
        <f t="shared" si="32"/>
        <v>2.516611478</v>
      </c>
      <c r="AD44" s="123">
        <f t="shared" si="32"/>
        <v>2.645751311</v>
      </c>
    </row>
    <row r="45">
      <c r="A45" s="171" t="s">
        <v>74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0.775</v>
      </c>
      <c r="G45" s="91">
        <v>0.781</v>
      </c>
      <c r="H45" s="91">
        <v>0.706</v>
      </c>
      <c r="I45" s="91">
        <v>0.771</v>
      </c>
      <c r="J45" s="91">
        <v>0.772</v>
      </c>
      <c r="K45" s="91">
        <v>0.452</v>
      </c>
      <c r="L45" s="91">
        <v>0.899</v>
      </c>
      <c r="M45" s="91">
        <v>0.809</v>
      </c>
      <c r="N45" s="92">
        <v>42.0</v>
      </c>
      <c r="O45" s="92">
        <v>40.0</v>
      </c>
      <c r="P45" s="92">
        <v>19.0</v>
      </c>
      <c r="Q45" s="92">
        <v>169.0</v>
      </c>
      <c r="R45" s="93"/>
      <c r="S45" s="94">
        <v>0.761</v>
      </c>
      <c r="T45" s="95">
        <v>0.622</v>
      </c>
      <c r="U45" s="95">
        <v>0.681</v>
      </c>
      <c r="V45" s="95">
        <v>0.635</v>
      </c>
      <c r="W45" s="95">
        <v>0.743</v>
      </c>
      <c r="X45" s="94">
        <v>0.336</v>
      </c>
      <c r="Y45" s="94">
        <v>0.532</v>
      </c>
      <c r="Z45" s="94">
        <v>0.877</v>
      </c>
      <c r="AA45" s="96">
        <v>68.0</v>
      </c>
      <c r="AB45" s="97">
        <v>14.0</v>
      </c>
      <c r="AC45" s="97">
        <v>88.0</v>
      </c>
      <c r="AD45" s="98">
        <v>100.0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0.753</v>
      </c>
      <c r="G46" s="101">
        <v>0.743</v>
      </c>
      <c r="H46" s="101">
        <v>0.683</v>
      </c>
      <c r="I46" s="101">
        <v>0.74</v>
      </c>
      <c r="J46" s="101">
        <v>0.738</v>
      </c>
      <c r="K46" s="101">
        <v>0.376</v>
      </c>
      <c r="L46" s="101">
        <v>0.835</v>
      </c>
      <c r="M46" s="101">
        <v>0.805</v>
      </c>
      <c r="N46" s="102">
        <v>43.0</v>
      </c>
      <c r="O46" s="102">
        <v>38.0</v>
      </c>
      <c r="P46" s="102">
        <v>31.0</v>
      </c>
      <c r="Q46" s="102">
        <v>157.0</v>
      </c>
      <c r="R46" s="103"/>
      <c r="S46" s="104">
        <v>0.75</v>
      </c>
      <c r="T46" s="105">
        <v>0.717</v>
      </c>
      <c r="U46" s="105">
        <v>0.654</v>
      </c>
      <c r="V46" s="105">
        <v>0.714</v>
      </c>
      <c r="W46" s="105">
        <v>0.712</v>
      </c>
      <c r="X46" s="104">
        <v>0.315</v>
      </c>
      <c r="Y46" s="104">
        <v>0.814</v>
      </c>
      <c r="Z46" s="104">
        <v>0.789</v>
      </c>
      <c r="AA46" s="106">
        <v>40.0</v>
      </c>
      <c r="AB46" s="107">
        <v>41.0</v>
      </c>
      <c r="AC46" s="107">
        <v>35.0</v>
      </c>
      <c r="AD46" s="108">
        <v>153.0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0.67</v>
      </c>
      <c r="G47" s="101">
        <v>0.725</v>
      </c>
      <c r="H47" s="101">
        <v>0.607</v>
      </c>
      <c r="I47" s="101">
        <v>0.694</v>
      </c>
      <c r="J47" s="101">
        <v>0.702</v>
      </c>
      <c r="K47" s="101">
        <v>0.271</v>
      </c>
      <c r="L47" s="101">
        <v>0.909</v>
      </c>
      <c r="M47" s="101">
        <v>0.749</v>
      </c>
      <c r="N47" s="110">
        <v>25.0</v>
      </c>
      <c r="O47" s="110">
        <v>57.0</v>
      </c>
      <c r="P47" s="110">
        <v>17.0</v>
      </c>
      <c r="Q47" s="110">
        <v>170.0</v>
      </c>
      <c r="R47" s="103"/>
      <c r="S47" s="104">
        <v>0.777</v>
      </c>
      <c r="T47" s="105">
        <v>0.714</v>
      </c>
      <c r="U47" s="105">
        <v>0.661</v>
      </c>
      <c r="V47" s="105">
        <v>0.713</v>
      </c>
      <c r="W47" s="105">
        <v>0.713</v>
      </c>
      <c r="X47" s="104">
        <v>0.322</v>
      </c>
      <c r="Y47" s="104">
        <v>0.797</v>
      </c>
      <c r="Z47" s="104">
        <v>0.793</v>
      </c>
      <c r="AA47" s="111">
        <v>43.0</v>
      </c>
      <c r="AB47" s="112">
        <v>39.0</v>
      </c>
      <c r="AC47" s="112">
        <v>38.0</v>
      </c>
      <c r="AD47" s="113">
        <v>149.0</v>
      </c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0.7326666667</v>
      </c>
      <c r="G48" s="115">
        <f t="shared" si="33"/>
        <v>0.7496666667</v>
      </c>
      <c r="H48" s="115">
        <f t="shared" si="33"/>
        <v>0.6653333333</v>
      </c>
      <c r="I48" s="115">
        <f t="shared" si="33"/>
        <v>0.735</v>
      </c>
      <c r="J48" s="115">
        <f t="shared" si="33"/>
        <v>0.7373333333</v>
      </c>
      <c r="K48" s="115">
        <f t="shared" si="33"/>
        <v>0.3663333333</v>
      </c>
      <c r="L48" s="115">
        <f t="shared" si="33"/>
        <v>0.881</v>
      </c>
      <c r="M48" s="115">
        <f t="shared" si="33"/>
        <v>0.7876666667</v>
      </c>
      <c r="N48" s="115">
        <f t="shared" si="33"/>
        <v>36.66666667</v>
      </c>
      <c r="O48" s="115">
        <f t="shared" si="33"/>
        <v>45</v>
      </c>
      <c r="P48" s="115">
        <f t="shared" si="33"/>
        <v>22.33333333</v>
      </c>
      <c r="Q48" s="115">
        <f t="shared" si="33"/>
        <v>165.3333333</v>
      </c>
      <c r="R48" s="116"/>
      <c r="S48" s="115">
        <f t="shared" ref="S48:AD48" si="34">AVERAGE(S45:S47)</f>
        <v>0.7626666667</v>
      </c>
      <c r="T48" s="115">
        <f t="shared" si="34"/>
        <v>0.6843333333</v>
      </c>
      <c r="U48" s="115">
        <f t="shared" si="34"/>
        <v>0.6653333333</v>
      </c>
      <c r="V48" s="115">
        <f t="shared" si="34"/>
        <v>0.6873333333</v>
      </c>
      <c r="W48" s="115">
        <f t="shared" si="34"/>
        <v>0.7226666667</v>
      </c>
      <c r="X48" s="115">
        <f t="shared" si="34"/>
        <v>0.3243333333</v>
      </c>
      <c r="Y48" s="115">
        <f t="shared" si="34"/>
        <v>0.7143333333</v>
      </c>
      <c r="Z48" s="115">
        <f t="shared" si="34"/>
        <v>0.8196666667</v>
      </c>
      <c r="AA48" s="115">
        <f t="shared" si="34"/>
        <v>50.33333333</v>
      </c>
      <c r="AB48" s="115">
        <f t="shared" si="34"/>
        <v>31.33333333</v>
      </c>
      <c r="AC48" s="115">
        <f t="shared" si="34"/>
        <v>53.66666667</v>
      </c>
      <c r="AD48" s="118">
        <f t="shared" si="34"/>
        <v>134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0.05537448269</v>
      </c>
      <c r="G49" s="123">
        <f t="shared" si="35"/>
        <v>0.02858904219</v>
      </c>
      <c r="H49" s="123">
        <f t="shared" si="35"/>
        <v>0.05181055234</v>
      </c>
      <c r="I49" s="123">
        <f t="shared" si="35"/>
        <v>0.03874274126</v>
      </c>
      <c r="J49" s="123">
        <f t="shared" si="35"/>
        <v>0.03500476158</v>
      </c>
      <c r="K49" s="123">
        <f t="shared" si="35"/>
        <v>0.09088637595</v>
      </c>
      <c r="L49" s="123">
        <f t="shared" si="35"/>
        <v>0.0401497198</v>
      </c>
      <c r="M49" s="123">
        <f t="shared" si="35"/>
        <v>0.03354598833</v>
      </c>
      <c r="N49" s="123">
        <f t="shared" si="35"/>
        <v>10.11599394</v>
      </c>
      <c r="O49" s="123">
        <f t="shared" si="35"/>
        <v>10.44030651</v>
      </c>
      <c r="P49" s="123">
        <f t="shared" si="35"/>
        <v>7.571877794</v>
      </c>
      <c r="Q49" s="123">
        <f t="shared" si="35"/>
        <v>7.234178138</v>
      </c>
      <c r="R49" s="123"/>
      <c r="S49" s="123">
        <f t="shared" ref="S49:AD49" si="36">STDEV(S45:S47)</f>
        <v>0.01357694124</v>
      </c>
      <c r="T49" s="123">
        <f t="shared" si="36"/>
        <v>0.05400308633</v>
      </c>
      <c r="U49" s="123">
        <f t="shared" si="36"/>
        <v>0.0140118997</v>
      </c>
      <c r="V49" s="123">
        <f t="shared" si="36"/>
        <v>0.04532475409</v>
      </c>
      <c r="W49" s="123">
        <f t="shared" si="36"/>
        <v>0.01761628035</v>
      </c>
      <c r="X49" s="123">
        <f t="shared" si="36"/>
        <v>0.01069267662</v>
      </c>
      <c r="Y49" s="123">
        <f t="shared" si="36"/>
        <v>0.1581339095</v>
      </c>
      <c r="Z49" s="123">
        <f t="shared" si="36"/>
        <v>0.04969238708</v>
      </c>
      <c r="AA49" s="123">
        <f t="shared" si="36"/>
        <v>15.37313674</v>
      </c>
      <c r="AB49" s="123">
        <f t="shared" si="36"/>
        <v>15.0443788</v>
      </c>
      <c r="AC49" s="123">
        <f t="shared" si="36"/>
        <v>29.77135088</v>
      </c>
      <c r="AD49" s="123">
        <f t="shared" si="36"/>
        <v>29.51270913</v>
      </c>
    </row>
    <row r="50">
      <c r="A50" s="171" t="s">
        <v>74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0.749</v>
      </c>
      <c r="G50" s="125">
        <v>0.748</v>
      </c>
      <c r="H50" s="125">
        <v>0.647</v>
      </c>
      <c r="I50" s="125">
        <v>0.727</v>
      </c>
      <c r="J50" s="125">
        <v>0.732</v>
      </c>
      <c r="K50" s="125">
        <v>0.349</v>
      </c>
      <c r="L50" s="125">
        <v>0.904</v>
      </c>
      <c r="M50" s="125">
        <v>0.773</v>
      </c>
      <c r="N50" s="126">
        <v>32.0</v>
      </c>
      <c r="O50" s="126">
        <v>50.0</v>
      </c>
      <c r="P50" s="126">
        <v>18.0</v>
      </c>
      <c r="Q50" s="126">
        <v>170.0</v>
      </c>
      <c r="R50" s="127"/>
      <c r="S50" s="128">
        <v>0.752</v>
      </c>
      <c r="T50" s="129">
        <v>0.704</v>
      </c>
      <c r="U50" s="129">
        <v>0.694</v>
      </c>
      <c r="V50" s="129">
        <v>0.713</v>
      </c>
      <c r="W50" s="129">
        <v>0.735</v>
      </c>
      <c r="X50" s="128">
        <v>0.365</v>
      </c>
      <c r="Y50" s="128">
        <v>0.718</v>
      </c>
      <c r="Z50" s="128">
        <v>0.833</v>
      </c>
      <c r="AA50" s="148">
        <v>55.0</v>
      </c>
      <c r="AB50" s="149">
        <v>27.0</v>
      </c>
      <c r="AC50" s="149">
        <v>53.0</v>
      </c>
      <c r="AD50" s="150">
        <v>135.0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0.753</v>
      </c>
      <c r="G51" s="134">
        <v>0.747</v>
      </c>
      <c r="H51" s="134">
        <v>0.7</v>
      </c>
      <c r="I51" s="134">
        <v>0.747</v>
      </c>
      <c r="J51" s="134">
        <v>0.747</v>
      </c>
      <c r="K51" s="134">
        <v>0.399</v>
      </c>
      <c r="L51" s="134">
        <v>0.819</v>
      </c>
      <c r="M51" s="134">
        <v>0.819</v>
      </c>
      <c r="N51" s="135">
        <v>47.0</v>
      </c>
      <c r="O51" s="135">
        <v>34.0</v>
      </c>
      <c r="P51" s="135">
        <v>34.0</v>
      </c>
      <c r="Q51" s="135">
        <v>154.0</v>
      </c>
      <c r="R51" s="136"/>
      <c r="S51" s="137">
        <v>0.728</v>
      </c>
      <c r="T51" s="138">
        <v>0.691</v>
      </c>
      <c r="U51" s="138">
        <v>0.653</v>
      </c>
      <c r="V51" s="138">
        <v>0.697</v>
      </c>
      <c r="W51" s="138">
        <v>0.704</v>
      </c>
      <c r="X51" s="137">
        <v>0.295</v>
      </c>
      <c r="Y51" s="137">
        <v>0.75</v>
      </c>
      <c r="Z51" s="137">
        <v>0.797</v>
      </c>
      <c r="AA51" s="139">
        <v>45.0</v>
      </c>
      <c r="AB51" s="140">
        <v>36.0</v>
      </c>
      <c r="AC51" s="140">
        <v>47.0</v>
      </c>
      <c r="AD51" s="141">
        <v>141.0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0.786</v>
      </c>
      <c r="G52" s="143">
        <v>0.732</v>
      </c>
      <c r="H52" s="143">
        <v>0.671</v>
      </c>
      <c r="I52" s="143">
        <v>0.728</v>
      </c>
      <c r="J52" s="143">
        <v>0.726</v>
      </c>
      <c r="K52" s="143">
        <v>0.352</v>
      </c>
      <c r="L52" s="143">
        <v>0.829</v>
      </c>
      <c r="M52" s="143">
        <v>0.795</v>
      </c>
      <c r="N52" s="144">
        <v>42.0</v>
      </c>
      <c r="O52" s="144">
        <v>40.0</v>
      </c>
      <c r="P52" s="144">
        <v>32.0</v>
      </c>
      <c r="Q52" s="144">
        <v>155.0</v>
      </c>
      <c r="R52" s="145"/>
      <c r="S52" s="146">
        <v>0.761</v>
      </c>
      <c r="T52" s="147">
        <v>0.714</v>
      </c>
      <c r="U52" s="147">
        <v>0.691</v>
      </c>
      <c r="V52" s="147">
        <v>0.72</v>
      </c>
      <c r="W52" s="147">
        <v>0.733</v>
      </c>
      <c r="X52" s="146">
        <v>0.365</v>
      </c>
      <c r="Y52" s="146">
        <v>0.749</v>
      </c>
      <c r="Z52" s="146">
        <v>0.824</v>
      </c>
      <c r="AA52" s="148">
        <v>52.0</v>
      </c>
      <c r="AB52" s="149">
        <v>30.0</v>
      </c>
      <c r="AC52" s="149">
        <v>47.0</v>
      </c>
      <c r="AD52" s="150">
        <v>140.0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0.7626666667</v>
      </c>
      <c r="G53" s="151">
        <f t="shared" si="37"/>
        <v>0.7423333333</v>
      </c>
      <c r="H53" s="151">
        <f t="shared" si="37"/>
        <v>0.6726666667</v>
      </c>
      <c r="I53" s="151">
        <f t="shared" si="37"/>
        <v>0.734</v>
      </c>
      <c r="J53" s="151">
        <f t="shared" si="37"/>
        <v>0.735</v>
      </c>
      <c r="K53" s="151">
        <f t="shared" si="37"/>
        <v>0.3666666667</v>
      </c>
      <c r="L53" s="151">
        <f t="shared" si="37"/>
        <v>0.8506666667</v>
      </c>
      <c r="M53" s="161">
        <f t="shared" si="37"/>
        <v>0.7956666667</v>
      </c>
      <c r="N53" s="161">
        <f t="shared" si="37"/>
        <v>40.33333333</v>
      </c>
      <c r="O53" s="161">
        <f t="shared" si="37"/>
        <v>41.33333333</v>
      </c>
      <c r="P53" s="151">
        <f t="shared" si="37"/>
        <v>28</v>
      </c>
      <c r="Q53" s="151">
        <f t="shared" si="37"/>
        <v>159.6666667</v>
      </c>
      <c r="R53" s="152"/>
      <c r="S53" s="151">
        <f t="shared" ref="S53:AD53" si="38">AVERAGE(S50:S52)</f>
        <v>0.747</v>
      </c>
      <c r="T53" s="151">
        <f t="shared" si="38"/>
        <v>0.703</v>
      </c>
      <c r="U53" s="151">
        <f t="shared" si="38"/>
        <v>0.6793333333</v>
      </c>
      <c r="V53" s="151">
        <f t="shared" si="38"/>
        <v>0.71</v>
      </c>
      <c r="W53" s="151">
        <f t="shared" si="38"/>
        <v>0.724</v>
      </c>
      <c r="X53" s="151">
        <f t="shared" si="38"/>
        <v>0.3416666667</v>
      </c>
      <c r="Y53" s="151">
        <f t="shared" si="38"/>
        <v>0.739</v>
      </c>
      <c r="Z53" s="151">
        <f t="shared" si="38"/>
        <v>0.818</v>
      </c>
      <c r="AA53" s="151">
        <f t="shared" si="38"/>
        <v>50.66666667</v>
      </c>
      <c r="AB53" s="151">
        <f t="shared" si="38"/>
        <v>31</v>
      </c>
      <c r="AC53" s="151">
        <f t="shared" si="38"/>
        <v>49</v>
      </c>
      <c r="AD53" s="153">
        <f t="shared" si="38"/>
        <v>138.6666667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0.02030599255</v>
      </c>
      <c r="G54" s="154">
        <f t="shared" si="39"/>
        <v>0.00896288644</v>
      </c>
      <c r="H54" s="154">
        <f t="shared" si="39"/>
        <v>0.02653927907</v>
      </c>
      <c r="I54" s="154">
        <f t="shared" si="39"/>
        <v>0.01126942767</v>
      </c>
      <c r="J54" s="154">
        <f t="shared" si="39"/>
        <v>0.01081665383</v>
      </c>
      <c r="K54" s="154">
        <f t="shared" si="39"/>
        <v>0.02804163571</v>
      </c>
      <c r="L54" s="154">
        <f t="shared" si="39"/>
        <v>0.04645786622</v>
      </c>
      <c r="M54" s="154">
        <f t="shared" si="39"/>
        <v>0.02300724524</v>
      </c>
      <c r="N54" s="154">
        <f t="shared" si="39"/>
        <v>7.637626158</v>
      </c>
      <c r="O54" s="154">
        <f t="shared" si="39"/>
        <v>8.082903769</v>
      </c>
      <c r="P54" s="154">
        <f t="shared" si="39"/>
        <v>8.717797887</v>
      </c>
      <c r="Q54" s="154">
        <f t="shared" si="39"/>
        <v>8.96288644</v>
      </c>
      <c r="R54" s="154"/>
      <c r="S54" s="154">
        <f t="shared" ref="S54:AD54" si="40">STDEV(S50:S52)</f>
        <v>0.01705872211</v>
      </c>
      <c r="T54" s="154">
        <f t="shared" si="40"/>
        <v>0.01153256259</v>
      </c>
      <c r="U54" s="154">
        <f t="shared" si="40"/>
        <v>0.02285461296</v>
      </c>
      <c r="V54" s="154">
        <f t="shared" si="40"/>
        <v>0.01178982612</v>
      </c>
      <c r="W54" s="154">
        <f t="shared" si="40"/>
        <v>0.01734935157</v>
      </c>
      <c r="X54" s="154">
        <f t="shared" si="40"/>
        <v>0.04041451884</v>
      </c>
      <c r="Y54" s="154">
        <f t="shared" si="40"/>
        <v>0.0181934054</v>
      </c>
      <c r="Z54" s="154">
        <f t="shared" si="40"/>
        <v>0.018734994</v>
      </c>
      <c r="AA54" s="154">
        <f t="shared" si="40"/>
        <v>5.131601439</v>
      </c>
      <c r="AB54" s="154">
        <f t="shared" si="40"/>
        <v>4.582575695</v>
      </c>
      <c r="AC54" s="154">
        <f t="shared" si="40"/>
        <v>3.464101615</v>
      </c>
      <c r="AD54" s="154">
        <f t="shared" si="40"/>
        <v>3.214550254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0.7497666667</v>
      </c>
      <c r="G55" s="167">
        <f t="shared" si="41"/>
        <v>0.7395</v>
      </c>
      <c r="H55" s="167">
        <f t="shared" si="41"/>
        <v>0.6499333333</v>
      </c>
      <c r="I55" s="167">
        <f t="shared" si="41"/>
        <v>0.7159</v>
      </c>
      <c r="J55" s="167">
        <f t="shared" si="41"/>
        <v>0.7399333333</v>
      </c>
      <c r="K55" s="167">
        <f t="shared" si="41"/>
        <v>0.3252333333</v>
      </c>
      <c r="L55" s="167">
        <f t="shared" si="41"/>
        <v>0.878</v>
      </c>
      <c r="M55" s="167">
        <f t="shared" si="41"/>
        <v>0.7817</v>
      </c>
      <c r="N55" s="167">
        <f t="shared" si="41"/>
        <v>34.43333333</v>
      </c>
      <c r="O55" s="167">
        <f t="shared" si="41"/>
        <v>47.23333333</v>
      </c>
      <c r="P55" s="167">
        <f t="shared" si="41"/>
        <v>22.86666667</v>
      </c>
      <c r="Q55" s="167">
        <f t="shared" si="41"/>
        <v>164.7666667</v>
      </c>
      <c r="R55" s="168"/>
      <c r="S55" s="167">
        <f t="shared" ref="S55:AD55" si="42">AVERAGE(S8, S13, S18, S23,S28,S33,S38,S43,S48,S53)</f>
        <v>0.7583666667</v>
      </c>
      <c r="T55" s="167">
        <f t="shared" si="42"/>
        <v>0.7275666667</v>
      </c>
      <c r="U55" s="167">
        <f t="shared" si="42"/>
        <v>0.6704333333</v>
      </c>
      <c r="V55" s="167">
        <f t="shared" si="42"/>
        <v>0.723</v>
      </c>
      <c r="W55" s="167">
        <f t="shared" si="42"/>
        <v>0.7292333333</v>
      </c>
      <c r="X55" s="167">
        <f t="shared" si="42"/>
        <v>0.3519333333</v>
      </c>
      <c r="Y55" s="167">
        <f t="shared" si="42"/>
        <v>0.8157666667</v>
      </c>
      <c r="Z55" s="167">
        <f t="shared" si="42"/>
        <v>0.8009666667</v>
      </c>
      <c r="AA55" s="167">
        <f t="shared" si="42"/>
        <v>42.9</v>
      </c>
      <c r="AB55" s="167">
        <f t="shared" si="42"/>
        <v>38.76666667</v>
      </c>
      <c r="AC55" s="167">
        <f t="shared" si="42"/>
        <v>34.6</v>
      </c>
      <c r="AD55" s="167">
        <f t="shared" si="42"/>
        <v>153.0666667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AD57" si="43">STDEV(F8,F13,F18,F23,F28,F33,F38,F43,F48,F53)</f>
        <v>0.02498792301</v>
      </c>
      <c r="G57" s="168">
        <f t="shared" si="43"/>
        <v>0.01048367337</v>
      </c>
      <c r="H57" s="168">
        <f t="shared" si="43"/>
        <v>0.02098547411</v>
      </c>
      <c r="I57" s="168">
        <f t="shared" si="43"/>
        <v>0.02424109866</v>
      </c>
      <c r="J57" s="168">
        <f t="shared" si="43"/>
        <v>0.01527993924</v>
      </c>
      <c r="K57" s="168">
        <f t="shared" si="43"/>
        <v>0.05187069631</v>
      </c>
      <c r="L57" s="168">
        <f t="shared" si="43"/>
        <v>0.01686035601</v>
      </c>
      <c r="M57" s="168">
        <f t="shared" si="43"/>
        <v>0.01023000911</v>
      </c>
      <c r="N57" s="168">
        <f t="shared" si="43"/>
        <v>4.32063667</v>
      </c>
      <c r="O57" s="168">
        <f t="shared" si="43"/>
        <v>4.32063667</v>
      </c>
      <c r="P57" s="168">
        <f t="shared" si="43"/>
        <v>3.115869377</v>
      </c>
      <c r="Q57" s="168">
        <f t="shared" si="43"/>
        <v>3.154655584</v>
      </c>
      <c r="R57" s="168" t="str">
        <f t="shared" si="43"/>
        <v>#DIV/0!</v>
      </c>
      <c r="S57" s="168">
        <f t="shared" si="43"/>
        <v>0.01125731587</v>
      </c>
      <c r="T57" s="168">
        <f t="shared" si="43"/>
        <v>0.02078166927</v>
      </c>
      <c r="U57" s="168">
        <f t="shared" si="43"/>
        <v>0.0202509259</v>
      </c>
      <c r="V57" s="168">
        <f t="shared" si="43"/>
        <v>0.01756610091</v>
      </c>
      <c r="W57" s="168">
        <f t="shared" si="43"/>
        <v>0.01264915944</v>
      </c>
      <c r="X57" s="168">
        <f t="shared" si="43"/>
        <v>0.03196904367</v>
      </c>
      <c r="Y57" s="168">
        <f t="shared" si="43"/>
        <v>0.05630342182</v>
      </c>
      <c r="Z57" s="168">
        <f t="shared" si="43"/>
        <v>0.01941391254</v>
      </c>
      <c r="AA57" s="168">
        <f t="shared" si="43"/>
        <v>6.624030327</v>
      </c>
      <c r="AB57" s="168">
        <f t="shared" si="43"/>
        <v>6.624030327</v>
      </c>
      <c r="AC57" s="168">
        <f t="shared" si="43"/>
        <v>10.5792716</v>
      </c>
      <c r="AD57" s="168">
        <f t="shared" si="43"/>
        <v>10.5792716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75</v>
      </c>
      <c r="O2" s="77" t="s">
        <v>3</v>
      </c>
      <c r="P2" s="77" t="s">
        <v>4</v>
      </c>
      <c r="Q2" s="77" t="s">
        <v>76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77</v>
      </c>
      <c r="AB2" s="77" t="s">
        <v>3</v>
      </c>
      <c r="AC2" s="77" t="s">
        <v>4</v>
      </c>
      <c r="AD2" s="78" t="s">
        <v>78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79</v>
      </c>
      <c r="B5" s="88">
        <v>1.0</v>
      </c>
      <c r="C5" s="89" t="b">
        <v>1</v>
      </c>
      <c r="D5" s="89" t="s">
        <v>43</v>
      </c>
      <c r="E5" s="89" t="s">
        <v>44</v>
      </c>
      <c r="F5" s="90">
        <v>0.761</v>
      </c>
      <c r="G5" s="91">
        <v>0.73</v>
      </c>
      <c r="H5" s="91">
        <v>0.689</v>
      </c>
      <c r="I5" s="91">
        <v>0.732</v>
      </c>
      <c r="J5" s="91">
        <v>0.734</v>
      </c>
      <c r="K5" s="91">
        <v>0.372</v>
      </c>
      <c r="L5" s="91">
        <v>0.793</v>
      </c>
      <c r="M5" s="91">
        <v>0.814</v>
      </c>
      <c r="N5" s="92">
        <v>48.0</v>
      </c>
      <c r="O5" s="92">
        <v>34.0</v>
      </c>
      <c r="P5" s="92">
        <v>39.0</v>
      </c>
      <c r="Q5" s="92">
        <v>149.0</v>
      </c>
      <c r="R5" s="93"/>
      <c r="S5" s="94">
        <v>0.742</v>
      </c>
      <c r="T5" s="95">
        <v>0.73</v>
      </c>
      <c r="U5" s="95">
        <v>0.665</v>
      </c>
      <c r="V5" s="95">
        <v>0.725</v>
      </c>
      <c r="W5" s="95">
        <v>0.722</v>
      </c>
      <c r="X5" s="94">
        <v>0.341</v>
      </c>
      <c r="Y5" s="94">
        <v>0.83</v>
      </c>
      <c r="Z5" s="94">
        <v>0.792</v>
      </c>
      <c r="AA5" s="96">
        <v>41.0</v>
      </c>
      <c r="AB5" s="97">
        <v>41.0</v>
      </c>
      <c r="AC5" s="97">
        <v>32.0</v>
      </c>
      <c r="AD5" s="98">
        <v>156.0</v>
      </c>
    </row>
    <row r="6">
      <c r="A6" s="7"/>
      <c r="C6" s="99" t="b">
        <v>1</v>
      </c>
      <c r="D6" s="99" t="s">
        <v>43</v>
      </c>
      <c r="E6" s="99" t="s">
        <v>45</v>
      </c>
      <c r="F6" s="100">
        <v>0.723</v>
      </c>
      <c r="G6" s="101">
        <v>0.714</v>
      </c>
      <c r="H6" s="101">
        <v>0.602</v>
      </c>
      <c r="I6" s="101">
        <v>0.689</v>
      </c>
      <c r="J6" s="101">
        <v>0.688</v>
      </c>
      <c r="K6" s="101">
        <v>0.244</v>
      </c>
      <c r="L6" s="101">
        <v>0.883</v>
      </c>
      <c r="M6" s="101">
        <v>0.751</v>
      </c>
      <c r="N6" s="102">
        <v>26.0</v>
      </c>
      <c r="O6" s="102">
        <v>55.0</v>
      </c>
      <c r="P6" s="102">
        <v>22.0</v>
      </c>
      <c r="Q6" s="102">
        <v>166.0</v>
      </c>
      <c r="R6" s="103"/>
      <c r="S6" s="104">
        <v>0.712</v>
      </c>
      <c r="T6" s="105">
        <v>0.695</v>
      </c>
      <c r="U6" s="105">
        <v>0.575</v>
      </c>
      <c r="V6" s="105">
        <v>0.665</v>
      </c>
      <c r="W6" s="105">
        <v>0.662</v>
      </c>
      <c r="X6" s="104">
        <v>0.183</v>
      </c>
      <c r="Y6" s="104">
        <v>0.878</v>
      </c>
      <c r="Z6" s="104">
        <v>0.737</v>
      </c>
      <c r="AA6" s="106">
        <v>22.0</v>
      </c>
      <c r="AB6" s="107">
        <v>59.0</v>
      </c>
      <c r="AC6" s="107">
        <v>23.0</v>
      </c>
      <c r="AD6" s="108">
        <v>165.0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00">
        <v>0.64</v>
      </c>
      <c r="G7" s="101">
        <v>0.695</v>
      </c>
      <c r="H7" s="101">
        <v>0.5</v>
      </c>
      <c r="I7" s="101">
        <v>0.57</v>
      </c>
      <c r="J7" s="101">
        <v>0.788</v>
      </c>
      <c r="K7" s="101">
        <v>0.0</v>
      </c>
      <c r="L7" s="101">
        <v>1.0</v>
      </c>
      <c r="M7" s="101">
        <v>0.695</v>
      </c>
      <c r="N7" s="110">
        <v>0.0</v>
      </c>
      <c r="O7" s="110">
        <v>82.0</v>
      </c>
      <c r="P7" s="110">
        <v>0.0</v>
      </c>
      <c r="Q7" s="110">
        <v>187.0</v>
      </c>
      <c r="R7" s="103"/>
      <c r="S7" s="104">
        <v>0.687</v>
      </c>
      <c r="T7" s="105">
        <v>0.684</v>
      </c>
      <c r="U7" s="105">
        <v>0.636</v>
      </c>
      <c r="V7" s="105">
        <v>0.687</v>
      </c>
      <c r="W7" s="105">
        <v>0.69</v>
      </c>
      <c r="X7" s="104">
        <v>0.267</v>
      </c>
      <c r="Y7" s="104">
        <v>0.759</v>
      </c>
      <c r="Z7" s="104">
        <v>0.78</v>
      </c>
      <c r="AA7" s="111">
        <v>42.0</v>
      </c>
      <c r="AB7" s="112">
        <v>40.0</v>
      </c>
      <c r="AC7" s="112">
        <v>45.0</v>
      </c>
      <c r="AD7" s="113">
        <v>142.0</v>
      </c>
    </row>
    <row r="8">
      <c r="A8" s="7"/>
      <c r="B8" s="114" t="s">
        <v>47</v>
      </c>
      <c r="C8" s="30"/>
      <c r="D8" s="30"/>
      <c r="E8" s="72"/>
      <c r="F8" s="115">
        <f t="shared" ref="F8:Q8" si="1">AVERAGE(F5:F7)</f>
        <v>0.708</v>
      </c>
      <c r="G8" s="115">
        <f t="shared" si="1"/>
        <v>0.713</v>
      </c>
      <c r="H8" s="115">
        <f t="shared" si="1"/>
        <v>0.597</v>
      </c>
      <c r="I8" s="115">
        <f t="shared" si="1"/>
        <v>0.6636666667</v>
      </c>
      <c r="J8" s="117">
        <f t="shared" si="1"/>
        <v>0.7366666667</v>
      </c>
      <c r="K8" s="115">
        <f t="shared" si="1"/>
        <v>0.2053333333</v>
      </c>
      <c r="L8" s="115">
        <f t="shared" si="1"/>
        <v>0.892</v>
      </c>
      <c r="M8" s="115">
        <f t="shared" si="1"/>
        <v>0.7533333333</v>
      </c>
      <c r="N8" s="115">
        <f t="shared" si="1"/>
        <v>24.66666667</v>
      </c>
      <c r="O8" s="115">
        <f t="shared" si="1"/>
        <v>57</v>
      </c>
      <c r="P8" s="115">
        <f t="shared" si="1"/>
        <v>20.33333333</v>
      </c>
      <c r="Q8" s="115">
        <f t="shared" si="1"/>
        <v>167.3333333</v>
      </c>
      <c r="R8" s="116"/>
      <c r="S8" s="115">
        <f t="shared" ref="S8:AD8" si="2">AVERAGE(S5:S7)</f>
        <v>0.7136666667</v>
      </c>
      <c r="T8" s="117">
        <f t="shared" si="2"/>
        <v>0.703</v>
      </c>
      <c r="U8" s="115">
        <f t="shared" si="2"/>
        <v>0.6253333333</v>
      </c>
      <c r="V8" s="115">
        <f t="shared" si="2"/>
        <v>0.6923333333</v>
      </c>
      <c r="W8" s="115">
        <f t="shared" si="2"/>
        <v>0.6913333333</v>
      </c>
      <c r="X8" s="115">
        <f t="shared" si="2"/>
        <v>0.2636666667</v>
      </c>
      <c r="Y8" s="115">
        <f t="shared" si="2"/>
        <v>0.8223333333</v>
      </c>
      <c r="Z8" s="115">
        <f t="shared" si="2"/>
        <v>0.7696666667</v>
      </c>
      <c r="AA8" s="115">
        <f t="shared" si="2"/>
        <v>35</v>
      </c>
      <c r="AB8" s="115">
        <f t="shared" si="2"/>
        <v>46.66666667</v>
      </c>
      <c r="AC8" s="115">
        <f t="shared" si="2"/>
        <v>33.33333333</v>
      </c>
      <c r="AD8" s="118">
        <f t="shared" si="2"/>
        <v>154.3333333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0.06187891402</v>
      </c>
      <c r="G9" s="123">
        <f t="shared" si="3"/>
        <v>0.01752141547</v>
      </c>
      <c r="H9" s="123">
        <f t="shared" si="3"/>
        <v>0.09459915433</v>
      </c>
      <c r="I9" s="123">
        <f t="shared" si="3"/>
        <v>0.08391861136</v>
      </c>
      <c r="J9" s="123">
        <f t="shared" si="3"/>
        <v>0.05005330492</v>
      </c>
      <c r="K9" s="123">
        <f t="shared" si="3"/>
        <v>0.1889902996</v>
      </c>
      <c r="L9" s="123">
        <f t="shared" si="3"/>
        <v>0.1037930634</v>
      </c>
      <c r="M9" s="123">
        <f t="shared" si="3"/>
        <v>0.05953430384</v>
      </c>
      <c r="N9" s="123">
        <f t="shared" si="3"/>
        <v>24.02776172</v>
      </c>
      <c r="O9" s="123">
        <f t="shared" si="3"/>
        <v>24.06241883</v>
      </c>
      <c r="P9" s="123">
        <f t="shared" si="3"/>
        <v>19.55334583</v>
      </c>
      <c r="Q9" s="123">
        <f t="shared" si="3"/>
        <v>19.03505538</v>
      </c>
      <c r="R9" s="123"/>
      <c r="S9" s="123">
        <f t="shared" ref="S9:AD9" si="4">STDEV(S5:S7)</f>
        <v>0.02753785274</v>
      </c>
      <c r="T9" s="123">
        <f t="shared" si="4"/>
        <v>0.0240208243</v>
      </c>
      <c r="U9" s="123">
        <f t="shared" si="4"/>
        <v>0.0459383645</v>
      </c>
      <c r="V9" s="123">
        <f t="shared" si="4"/>
        <v>0.03035347317</v>
      </c>
      <c r="W9" s="123">
        <f t="shared" si="4"/>
        <v>0.030022214</v>
      </c>
      <c r="X9" s="123">
        <f t="shared" si="4"/>
        <v>0.07905272502</v>
      </c>
      <c r="Y9" s="123">
        <f t="shared" si="4"/>
        <v>0.05986930209</v>
      </c>
      <c r="Z9" s="123">
        <f t="shared" si="4"/>
        <v>0.0289194283</v>
      </c>
      <c r="AA9" s="123">
        <f t="shared" si="4"/>
        <v>11.26942767</v>
      </c>
      <c r="AB9" s="123">
        <f t="shared" si="4"/>
        <v>10.69267662</v>
      </c>
      <c r="AC9" s="123">
        <f t="shared" si="4"/>
        <v>11.06044002</v>
      </c>
      <c r="AD9" s="123">
        <f t="shared" si="4"/>
        <v>11.59022577</v>
      </c>
    </row>
    <row r="10">
      <c r="A10" s="171" t="s">
        <v>79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0.777</v>
      </c>
      <c r="G10" s="91">
        <v>0.785</v>
      </c>
      <c r="H10" s="91">
        <v>0.691</v>
      </c>
      <c r="I10" s="91">
        <v>0.768</v>
      </c>
      <c r="J10" s="91">
        <v>0.779</v>
      </c>
      <c r="K10" s="91">
        <v>0.452</v>
      </c>
      <c r="L10" s="91">
        <v>0.931</v>
      </c>
      <c r="M10" s="91">
        <v>0.795</v>
      </c>
      <c r="N10" s="92">
        <v>37.0</v>
      </c>
      <c r="O10" s="92">
        <v>45.0</v>
      </c>
      <c r="P10" s="92">
        <v>13.0</v>
      </c>
      <c r="Q10" s="92">
        <v>175.0</v>
      </c>
      <c r="R10" s="93"/>
      <c r="S10" s="94">
        <v>0.757</v>
      </c>
      <c r="T10" s="95">
        <v>0.726</v>
      </c>
      <c r="U10" s="95">
        <v>0.686</v>
      </c>
      <c r="V10" s="95">
        <v>0.729</v>
      </c>
      <c r="W10" s="95">
        <v>0.732</v>
      </c>
      <c r="X10" s="94">
        <v>0.366</v>
      </c>
      <c r="Y10" s="94">
        <v>0.787</v>
      </c>
      <c r="Z10" s="94">
        <v>0.813</v>
      </c>
      <c r="AA10" s="96">
        <v>48.0</v>
      </c>
      <c r="AB10" s="97">
        <v>34.0</v>
      </c>
      <c r="AC10" s="97">
        <v>40.0</v>
      </c>
      <c r="AD10" s="98">
        <v>148.0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0.751</v>
      </c>
      <c r="G11" s="101">
        <v>0.74</v>
      </c>
      <c r="H11" s="101">
        <v>0.705</v>
      </c>
      <c r="I11" s="101">
        <v>0.743</v>
      </c>
      <c r="J11" s="101">
        <v>0.748</v>
      </c>
      <c r="K11" s="101">
        <v>0.4</v>
      </c>
      <c r="L11" s="101">
        <v>0.793</v>
      </c>
      <c r="M11" s="101">
        <v>0.828</v>
      </c>
      <c r="N11" s="102">
        <v>50.0</v>
      </c>
      <c r="O11" s="102">
        <v>31.0</v>
      </c>
      <c r="P11" s="102">
        <v>39.0</v>
      </c>
      <c r="Q11" s="102">
        <v>149.0</v>
      </c>
      <c r="R11" s="103"/>
      <c r="S11" s="104">
        <v>0.757</v>
      </c>
      <c r="T11" s="105">
        <v>0.699</v>
      </c>
      <c r="U11" s="105">
        <v>0.679</v>
      </c>
      <c r="V11" s="105">
        <v>0.707</v>
      </c>
      <c r="W11" s="105">
        <v>0.724</v>
      </c>
      <c r="X11" s="104">
        <v>0.339</v>
      </c>
      <c r="Y11" s="104">
        <v>0.729</v>
      </c>
      <c r="Z11" s="104">
        <v>0.82</v>
      </c>
      <c r="AA11" s="106">
        <v>51.0</v>
      </c>
      <c r="AB11" s="107">
        <v>30.0</v>
      </c>
      <c r="AC11" s="107">
        <v>51.0</v>
      </c>
      <c r="AD11" s="108">
        <v>137.0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0.652</v>
      </c>
      <c r="G12" s="101">
        <v>0.691</v>
      </c>
      <c r="H12" s="101">
        <v>0.535</v>
      </c>
      <c r="I12" s="101">
        <v>0.626</v>
      </c>
      <c r="J12" s="101">
        <v>0.64</v>
      </c>
      <c r="K12" s="101">
        <v>0.115</v>
      </c>
      <c r="L12" s="101">
        <v>0.936</v>
      </c>
      <c r="M12" s="101">
        <v>0.711</v>
      </c>
      <c r="N12" s="110">
        <v>11.0</v>
      </c>
      <c r="O12" s="110">
        <v>71.0</v>
      </c>
      <c r="P12" s="110">
        <v>12.0</v>
      </c>
      <c r="Q12" s="110">
        <v>175.0</v>
      </c>
      <c r="R12" s="103"/>
      <c r="S12" s="104">
        <v>0.667</v>
      </c>
      <c r="T12" s="105">
        <v>0.68</v>
      </c>
      <c r="U12" s="105">
        <v>0.623</v>
      </c>
      <c r="V12" s="105">
        <v>0.68</v>
      </c>
      <c r="W12" s="105">
        <v>0.68</v>
      </c>
      <c r="X12" s="104">
        <v>0.246</v>
      </c>
      <c r="Y12" s="104">
        <v>0.77</v>
      </c>
      <c r="Z12" s="104">
        <v>0.77</v>
      </c>
      <c r="AA12" s="111">
        <v>39.0</v>
      </c>
      <c r="AB12" s="112">
        <v>43.0</v>
      </c>
      <c r="AC12" s="112">
        <v>43.0</v>
      </c>
      <c r="AD12" s="113">
        <v>144.0</v>
      </c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0.7266666667</v>
      </c>
      <c r="G13" s="161">
        <f t="shared" si="5"/>
        <v>0.7386666667</v>
      </c>
      <c r="H13" s="161">
        <f t="shared" si="5"/>
        <v>0.6436666667</v>
      </c>
      <c r="I13" s="161">
        <f t="shared" si="5"/>
        <v>0.7123333333</v>
      </c>
      <c r="J13" s="115">
        <f t="shared" si="5"/>
        <v>0.7223333333</v>
      </c>
      <c r="K13" s="161">
        <f t="shared" si="5"/>
        <v>0.3223333333</v>
      </c>
      <c r="L13" s="115">
        <f t="shared" si="5"/>
        <v>0.8866666667</v>
      </c>
      <c r="M13" s="115">
        <f t="shared" si="5"/>
        <v>0.778</v>
      </c>
      <c r="N13" s="115">
        <f t="shared" si="5"/>
        <v>32.66666667</v>
      </c>
      <c r="O13" s="115">
        <f t="shared" si="5"/>
        <v>49</v>
      </c>
      <c r="P13" s="115">
        <f t="shared" si="5"/>
        <v>21.33333333</v>
      </c>
      <c r="Q13" s="115">
        <f t="shared" si="5"/>
        <v>166.3333333</v>
      </c>
      <c r="R13" s="116"/>
      <c r="S13" s="117">
        <f t="shared" ref="S13:AD13" si="6">AVERAGE(S10:S12)</f>
        <v>0.727</v>
      </c>
      <c r="T13" s="115">
        <f t="shared" si="6"/>
        <v>0.7016666667</v>
      </c>
      <c r="U13" s="115">
        <f t="shared" si="6"/>
        <v>0.6626666667</v>
      </c>
      <c r="V13" s="117">
        <f t="shared" si="6"/>
        <v>0.7053333333</v>
      </c>
      <c r="W13" s="115">
        <f t="shared" si="6"/>
        <v>0.712</v>
      </c>
      <c r="X13" s="115">
        <f t="shared" si="6"/>
        <v>0.317</v>
      </c>
      <c r="Y13" s="115">
        <f t="shared" si="6"/>
        <v>0.762</v>
      </c>
      <c r="Z13" s="115">
        <f t="shared" si="6"/>
        <v>0.801</v>
      </c>
      <c r="AA13" s="115">
        <f t="shared" si="6"/>
        <v>46</v>
      </c>
      <c r="AB13" s="115">
        <f t="shared" si="6"/>
        <v>35.66666667</v>
      </c>
      <c r="AC13" s="115">
        <f t="shared" si="6"/>
        <v>44.66666667</v>
      </c>
      <c r="AD13" s="118">
        <f t="shared" si="6"/>
        <v>143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0.06595705674</v>
      </c>
      <c r="G14" s="123">
        <f t="shared" si="7"/>
        <v>0.04701418226</v>
      </c>
      <c r="H14" s="123">
        <f t="shared" si="7"/>
        <v>0.0943680737</v>
      </c>
      <c r="I14" s="123">
        <f t="shared" si="7"/>
        <v>0.0758045733</v>
      </c>
      <c r="J14" s="123">
        <f t="shared" si="7"/>
        <v>0.07296802953</v>
      </c>
      <c r="K14" s="123">
        <f t="shared" si="7"/>
        <v>0.1814285902</v>
      </c>
      <c r="L14" s="123">
        <f t="shared" si="7"/>
        <v>0.08115622794</v>
      </c>
      <c r="M14" s="123">
        <f t="shared" si="7"/>
        <v>0.06032412453</v>
      </c>
      <c r="N14" s="123">
        <f t="shared" si="7"/>
        <v>19.85782801</v>
      </c>
      <c r="O14" s="123">
        <f t="shared" si="7"/>
        <v>20.29778313</v>
      </c>
      <c r="P14" s="123">
        <f t="shared" si="7"/>
        <v>15.30795</v>
      </c>
      <c r="Q14" s="123">
        <f t="shared" si="7"/>
        <v>15.011107</v>
      </c>
      <c r="R14" s="123"/>
      <c r="S14" s="123">
        <f t="shared" ref="S14:AD14" si="8">STDEV(S10:S12)</f>
        <v>0.05196152423</v>
      </c>
      <c r="T14" s="123">
        <f t="shared" si="8"/>
        <v>0.02311565126</v>
      </c>
      <c r="U14" s="123">
        <f t="shared" si="8"/>
        <v>0.03453018004</v>
      </c>
      <c r="V14" s="123">
        <f t="shared" si="8"/>
        <v>0.02454248018</v>
      </c>
      <c r="W14" s="123">
        <f t="shared" si="8"/>
        <v>0.028</v>
      </c>
      <c r="X14" s="123">
        <f t="shared" si="8"/>
        <v>0.06295236294</v>
      </c>
      <c r="Y14" s="123">
        <f t="shared" si="8"/>
        <v>0.02981610303</v>
      </c>
      <c r="Z14" s="123">
        <f t="shared" si="8"/>
        <v>0.02707397274</v>
      </c>
      <c r="AA14" s="123">
        <f t="shared" si="8"/>
        <v>6.244997998</v>
      </c>
      <c r="AB14" s="123">
        <f t="shared" si="8"/>
        <v>6.658328118</v>
      </c>
      <c r="AC14" s="123">
        <f t="shared" si="8"/>
        <v>5.686240703</v>
      </c>
      <c r="AD14" s="123">
        <f t="shared" si="8"/>
        <v>5.567764363</v>
      </c>
    </row>
    <row r="15">
      <c r="A15" s="171" t="s">
        <v>79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0.762</v>
      </c>
      <c r="G15" s="91">
        <v>0.752</v>
      </c>
      <c r="H15" s="91">
        <v>0.681</v>
      </c>
      <c r="I15" s="91">
        <v>0.744</v>
      </c>
      <c r="J15" s="91">
        <v>0.742</v>
      </c>
      <c r="K15" s="91">
        <v>0.385</v>
      </c>
      <c r="L15" s="91">
        <v>0.862</v>
      </c>
      <c r="M15" s="91">
        <v>0.798</v>
      </c>
      <c r="N15" s="92">
        <v>41.0</v>
      </c>
      <c r="O15" s="92">
        <v>41.0</v>
      </c>
      <c r="P15" s="92">
        <v>26.0</v>
      </c>
      <c r="Q15" s="92">
        <v>162.0</v>
      </c>
      <c r="R15" s="93"/>
      <c r="S15" s="94">
        <v>0.702</v>
      </c>
      <c r="T15" s="95">
        <v>0.707</v>
      </c>
      <c r="U15" s="95">
        <v>0.535</v>
      </c>
      <c r="V15" s="95">
        <v>0.624</v>
      </c>
      <c r="W15" s="95">
        <v>0.683</v>
      </c>
      <c r="X15" s="94">
        <v>0.152</v>
      </c>
      <c r="Y15" s="94">
        <v>0.973</v>
      </c>
      <c r="Z15" s="94">
        <v>0.712</v>
      </c>
      <c r="AA15" s="96">
        <v>8.0</v>
      </c>
      <c r="AB15" s="97">
        <v>74.0</v>
      </c>
      <c r="AC15" s="97">
        <v>5.0</v>
      </c>
      <c r="AD15" s="98">
        <v>183.0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0.613</v>
      </c>
      <c r="G16" s="101">
        <v>0.695</v>
      </c>
      <c r="H16" s="101">
        <v>0.501</v>
      </c>
      <c r="I16" s="101">
        <v>0.58</v>
      </c>
      <c r="J16" s="101">
        <v>0.589</v>
      </c>
      <c r="K16" s="101">
        <v>0.007</v>
      </c>
      <c r="L16" s="101">
        <v>0.989</v>
      </c>
      <c r="M16" s="101">
        <v>0.699</v>
      </c>
      <c r="N16" s="102">
        <v>1.0</v>
      </c>
      <c r="O16" s="102">
        <v>80.0</v>
      </c>
      <c r="P16" s="102">
        <v>2.0</v>
      </c>
      <c r="Q16" s="102">
        <v>186.0</v>
      </c>
      <c r="R16" s="103"/>
      <c r="S16" s="104">
        <v>0.669</v>
      </c>
      <c r="T16" s="105">
        <v>0.621</v>
      </c>
      <c r="U16" s="105">
        <v>0.602</v>
      </c>
      <c r="V16" s="105">
        <v>0.634</v>
      </c>
      <c r="W16" s="105">
        <v>0.662</v>
      </c>
      <c r="X16" s="104">
        <v>0.191</v>
      </c>
      <c r="Y16" s="104">
        <v>0.649</v>
      </c>
      <c r="Z16" s="104">
        <v>0.772</v>
      </c>
      <c r="AA16" s="106">
        <v>45.0</v>
      </c>
      <c r="AB16" s="107">
        <v>36.0</v>
      </c>
      <c r="AC16" s="107">
        <v>66.0</v>
      </c>
      <c r="AD16" s="108">
        <v>122.0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0.764</v>
      </c>
      <c r="G17" s="101">
        <v>0.714</v>
      </c>
      <c r="H17" s="101">
        <v>0.558</v>
      </c>
      <c r="I17" s="101">
        <v>0.649</v>
      </c>
      <c r="J17" s="101">
        <v>0.69</v>
      </c>
      <c r="K17" s="101">
        <v>0.199</v>
      </c>
      <c r="L17" s="101">
        <v>0.957</v>
      </c>
      <c r="M17" s="101">
        <v>0.722</v>
      </c>
      <c r="N17" s="110">
        <v>13.0</v>
      </c>
      <c r="O17" s="110">
        <v>69.0</v>
      </c>
      <c r="P17" s="110">
        <v>8.0</v>
      </c>
      <c r="Q17" s="110">
        <v>179.0</v>
      </c>
      <c r="R17" s="103"/>
      <c r="S17" s="104">
        <v>0.77</v>
      </c>
      <c r="T17" s="105">
        <v>0.714</v>
      </c>
      <c r="U17" s="105">
        <v>0.609</v>
      </c>
      <c r="V17" s="105">
        <v>0.691</v>
      </c>
      <c r="W17" s="105">
        <v>0.69</v>
      </c>
      <c r="X17" s="104">
        <v>0.257</v>
      </c>
      <c r="Y17" s="104">
        <v>0.877</v>
      </c>
      <c r="Z17" s="104">
        <v>0.752</v>
      </c>
      <c r="AA17" s="111">
        <v>28.0</v>
      </c>
      <c r="AB17" s="112">
        <v>54.0</v>
      </c>
      <c r="AC17" s="112">
        <v>23.0</v>
      </c>
      <c r="AD17" s="113">
        <v>164.0</v>
      </c>
    </row>
    <row r="18">
      <c r="A18" s="7"/>
      <c r="B18" s="114" t="s">
        <v>47</v>
      </c>
      <c r="C18" s="30"/>
      <c r="D18" s="30"/>
      <c r="E18" s="72"/>
      <c r="F18" s="117">
        <f t="shared" ref="F18:Q18" si="9">AVERAGE(F15:F17)</f>
        <v>0.713</v>
      </c>
      <c r="G18" s="115">
        <f t="shared" si="9"/>
        <v>0.7203333333</v>
      </c>
      <c r="H18" s="115">
        <f t="shared" si="9"/>
        <v>0.58</v>
      </c>
      <c r="I18" s="115">
        <f t="shared" si="9"/>
        <v>0.6576666667</v>
      </c>
      <c r="J18" s="115">
        <f t="shared" si="9"/>
        <v>0.6736666667</v>
      </c>
      <c r="K18" s="115">
        <f t="shared" si="9"/>
        <v>0.197</v>
      </c>
      <c r="L18" s="161">
        <f t="shared" si="9"/>
        <v>0.936</v>
      </c>
      <c r="M18" s="115">
        <f t="shared" si="9"/>
        <v>0.7396666667</v>
      </c>
      <c r="N18" s="115">
        <f t="shared" si="9"/>
        <v>18.33333333</v>
      </c>
      <c r="O18" s="115">
        <f t="shared" si="9"/>
        <v>63.33333333</v>
      </c>
      <c r="P18" s="117">
        <f t="shared" si="9"/>
        <v>12</v>
      </c>
      <c r="Q18" s="117">
        <f t="shared" si="9"/>
        <v>175.6666667</v>
      </c>
      <c r="R18" s="116"/>
      <c r="S18" s="115">
        <f t="shared" ref="S18:AD18" si="10">AVERAGE(S15:S17)</f>
        <v>0.7136666667</v>
      </c>
      <c r="T18" s="115">
        <f t="shared" si="10"/>
        <v>0.6806666667</v>
      </c>
      <c r="U18" s="115">
        <f t="shared" si="10"/>
        <v>0.582</v>
      </c>
      <c r="V18" s="115">
        <f t="shared" si="10"/>
        <v>0.6496666667</v>
      </c>
      <c r="W18" s="115">
        <f t="shared" si="10"/>
        <v>0.6783333333</v>
      </c>
      <c r="X18" s="115">
        <f t="shared" si="10"/>
        <v>0.2</v>
      </c>
      <c r="Y18" s="115">
        <f t="shared" si="10"/>
        <v>0.833</v>
      </c>
      <c r="Z18" s="115">
        <f t="shared" si="10"/>
        <v>0.7453333333</v>
      </c>
      <c r="AA18" s="115">
        <f t="shared" si="10"/>
        <v>27</v>
      </c>
      <c r="AB18" s="115">
        <f t="shared" si="10"/>
        <v>54.66666667</v>
      </c>
      <c r="AC18" s="115">
        <f t="shared" si="10"/>
        <v>31.33333333</v>
      </c>
      <c r="AD18" s="118">
        <f t="shared" si="10"/>
        <v>156.3333333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0.08660831369</v>
      </c>
      <c r="G19" s="123">
        <f t="shared" si="11"/>
        <v>0.0290229794</v>
      </c>
      <c r="H19" s="123">
        <f t="shared" si="11"/>
        <v>0.09199456506</v>
      </c>
      <c r="I19" s="123">
        <f t="shared" si="11"/>
        <v>0.08234277949</v>
      </c>
      <c r="J19" s="123">
        <f t="shared" si="11"/>
        <v>0.07779674372</v>
      </c>
      <c r="K19" s="123">
        <f t="shared" si="11"/>
        <v>0.1890079363</v>
      </c>
      <c r="L19" s="123">
        <f t="shared" si="11"/>
        <v>0.06605300902</v>
      </c>
      <c r="M19" s="123">
        <f t="shared" si="11"/>
        <v>0.05181055234</v>
      </c>
      <c r="N19" s="123">
        <f t="shared" si="11"/>
        <v>20.52640576</v>
      </c>
      <c r="O19" s="123">
        <f t="shared" si="11"/>
        <v>20.10804151</v>
      </c>
      <c r="P19" s="123">
        <f t="shared" si="11"/>
        <v>12.489996</v>
      </c>
      <c r="Q19" s="123">
        <f t="shared" si="11"/>
        <v>12.34233905</v>
      </c>
      <c r="R19" s="123"/>
      <c r="S19" s="123">
        <f t="shared" ref="S19:AD19" si="12">STDEV(S15:S17)</f>
        <v>0.05150080906</v>
      </c>
      <c r="T19" s="123">
        <f t="shared" si="12"/>
        <v>0.05179124765</v>
      </c>
      <c r="U19" s="123">
        <f t="shared" si="12"/>
        <v>0.04085339643</v>
      </c>
      <c r="V19" s="123">
        <f t="shared" si="12"/>
        <v>0.03614323358</v>
      </c>
      <c r="W19" s="123">
        <f t="shared" si="12"/>
        <v>0.014571662</v>
      </c>
      <c r="X19" s="123">
        <f t="shared" si="12"/>
        <v>0.05307541804</v>
      </c>
      <c r="Y19" s="123">
        <f t="shared" si="12"/>
        <v>0.1664211525</v>
      </c>
      <c r="Z19" s="123">
        <f t="shared" si="12"/>
        <v>0.03055050463</v>
      </c>
      <c r="AA19" s="123">
        <f t="shared" si="12"/>
        <v>18.52025918</v>
      </c>
      <c r="AB19" s="123">
        <f t="shared" si="12"/>
        <v>19.00876991</v>
      </c>
      <c r="AC19" s="123">
        <f t="shared" si="12"/>
        <v>31.34219733</v>
      </c>
      <c r="AD19" s="123">
        <f t="shared" si="12"/>
        <v>31.21431296</v>
      </c>
    </row>
    <row r="20">
      <c r="A20" s="171" t="s">
        <v>79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0.616</v>
      </c>
      <c r="G20" s="91">
        <v>0.63</v>
      </c>
      <c r="H20" s="91">
        <v>0.542</v>
      </c>
      <c r="I20" s="91">
        <v>0.621</v>
      </c>
      <c r="J20" s="91">
        <v>0.614</v>
      </c>
      <c r="K20" s="91">
        <v>0.087</v>
      </c>
      <c r="L20" s="91">
        <v>0.766</v>
      </c>
      <c r="M20" s="91">
        <v>0.72</v>
      </c>
      <c r="N20" s="92">
        <v>26.0</v>
      </c>
      <c r="O20" s="92">
        <v>56.0</v>
      </c>
      <c r="P20" s="92">
        <v>44.0</v>
      </c>
      <c r="Q20" s="92">
        <v>144.0</v>
      </c>
      <c r="R20" s="93"/>
      <c r="S20" s="94">
        <v>0.7</v>
      </c>
      <c r="T20" s="95">
        <v>0.693</v>
      </c>
      <c r="U20" s="95">
        <v>0.563</v>
      </c>
      <c r="V20" s="95">
        <v>0.654</v>
      </c>
      <c r="W20" s="95">
        <v>0.654</v>
      </c>
      <c r="X20" s="94">
        <v>0.164</v>
      </c>
      <c r="Y20" s="94">
        <v>0.894</v>
      </c>
      <c r="Z20" s="94">
        <v>0.727</v>
      </c>
      <c r="AA20" s="96">
        <v>19.0</v>
      </c>
      <c r="AB20" s="97">
        <v>63.0</v>
      </c>
      <c r="AC20" s="97">
        <v>20.0</v>
      </c>
      <c r="AD20" s="98">
        <v>168.0</v>
      </c>
    </row>
    <row r="21">
      <c r="A21" s="7"/>
      <c r="C21" s="99" t="b">
        <v>1</v>
      </c>
      <c r="D21" s="99" t="s">
        <v>43</v>
      </c>
      <c r="E21" s="99" t="s">
        <v>45</v>
      </c>
      <c r="F21" s="100">
        <v>0.732</v>
      </c>
      <c r="G21" s="101">
        <v>0.732</v>
      </c>
      <c r="H21" s="101">
        <v>0.633</v>
      </c>
      <c r="I21" s="101">
        <v>0.714</v>
      </c>
      <c r="J21" s="101">
        <v>0.713</v>
      </c>
      <c r="K21" s="101">
        <v>0.306</v>
      </c>
      <c r="L21" s="101">
        <v>0.883</v>
      </c>
      <c r="M21" s="101">
        <v>0.769</v>
      </c>
      <c r="N21" s="102">
        <v>31.0</v>
      </c>
      <c r="O21" s="102">
        <v>50.0</v>
      </c>
      <c r="P21" s="102">
        <v>22.0</v>
      </c>
      <c r="Q21" s="102">
        <v>166.0</v>
      </c>
      <c r="R21" s="103"/>
      <c r="S21" s="104">
        <v>0.675</v>
      </c>
      <c r="T21" s="105">
        <v>0.673</v>
      </c>
      <c r="U21" s="105">
        <v>0.58</v>
      </c>
      <c r="V21" s="105">
        <v>0.66</v>
      </c>
      <c r="W21" s="105">
        <v>0.653</v>
      </c>
      <c r="X21" s="104">
        <v>0.173</v>
      </c>
      <c r="Y21" s="104">
        <v>0.814</v>
      </c>
      <c r="Z21" s="104">
        <v>0.743</v>
      </c>
      <c r="AA21" s="106">
        <v>28.0</v>
      </c>
      <c r="AB21" s="107">
        <v>53.0</v>
      </c>
      <c r="AC21" s="107">
        <v>35.0</v>
      </c>
      <c r="AD21" s="108">
        <v>153.0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0.799</v>
      </c>
      <c r="G22" s="101">
        <v>0.714</v>
      </c>
      <c r="H22" s="101">
        <v>0.558</v>
      </c>
      <c r="I22" s="101">
        <v>0.649</v>
      </c>
      <c r="J22" s="101">
        <v>0.69</v>
      </c>
      <c r="K22" s="101">
        <v>0.199</v>
      </c>
      <c r="L22" s="101">
        <v>0.957</v>
      </c>
      <c r="M22" s="101">
        <v>0.722</v>
      </c>
      <c r="N22" s="110">
        <v>13.0</v>
      </c>
      <c r="O22" s="110">
        <v>69.0</v>
      </c>
      <c r="P22" s="110">
        <v>8.0</v>
      </c>
      <c r="Q22" s="110">
        <v>179.0</v>
      </c>
      <c r="R22" s="103"/>
      <c r="S22" s="104">
        <v>0.72</v>
      </c>
      <c r="T22" s="105">
        <v>0.673</v>
      </c>
      <c r="U22" s="105">
        <v>0.665</v>
      </c>
      <c r="V22" s="105">
        <v>0.684</v>
      </c>
      <c r="W22" s="105">
        <v>0.711</v>
      </c>
      <c r="X22" s="104">
        <v>0.309</v>
      </c>
      <c r="Y22" s="104">
        <v>0.684</v>
      </c>
      <c r="Z22" s="104">
        <v>0.815</v>
      </c>
      <c r="AA22" s="111">
        <v>53.0</v>
      </c>
      <c r="AB22" s="112">
        <v>29.0</v>
      </c>
      <c r="AC22" s="112">
        <v>59.0</v>
      </c>
      <c r="AD22" s="113">
        <v>128.0</v>
      </c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0.7156666667</v>
      </c>
      <c r="G23" s="115">
        <f t="shared" si="13"/>
        <v>0.692</v>
      </c>
      <c r="H23" s="115">
        <f t="shared" si="13"/>
        <v>0.5776666667</v>
      </c>
      <c r="I23" s="115">
        <f t="shared" si="13"/>
        <v>0.6613333333</v>
      </c>
      <c r="J23" s="115">
        <f t="shared" si="13"/>
        <v>0.6723333333</v>
      </c>
      <c r="K23" s="115">
        <f t="shared" si="13"/>
        <v>0.1973333333</v>
      </c>
      <c r="L23" s="115">
        <f t="shared" si="13"/>
        <v>0.8686666667</v>
      </c>
      <c r="M23" s="115">
        <f t="shared" si="13"/>
        <v>0.737</v>
      </c>
      <c r="N23" s="115">
        <f t="shared" si="13"/>
        <v>23.33333333</v>
      </c>
      <c r="O23" s="115">
        <f t="shared" si="13"/>
        <v>58.33333333</v>
      </c>
      <c r="P23" s="115">
        <f t="shared" si="13"/>
        <v>24.66666667</v>
      </c>
      <c r="Q23" s="115">
        <f t="shared" si="13"/>
        <v>163</v>
      </c>
      <c r="R23" s="116"/>
      <c r="S23" s="115">
        <f t="shared" ref="S23:AD23" si="14">AVERAGE(S20:S22)</f>
        <v>0.6983333333</v>
      </c>
      <c r="T23" s="115">
        <f t="shared" si="14"/>
        <v>0.6796666667</v>
      </c>
      <c r="U23" s="115">
        <f t="shared" si="14"/>
        <v>0.6026666667</v>
      </c>
      <c r="V23" s="115">
        <f t="shared" si="14"/>
        <v>0.666</v>
      </c>
      <c r="W23" s="115">
        <f t="shared" si="14"/>
        <v>0.6726666667</v>
      </c>
      <c r="X23" s="115">
        <f t="shared" si="14"/>
        <v>0.2153333333</v>
      </c>
      <c r="Y23" s="115">
        <f t="shared" si="14"/>
        <v>0.7973333333</v>
      </c>
      <c r="Z23" s="115">
        <f t="shared" si="14"/>
        <v>0.7616666667</v>
      </c>
      <c r="AA23" s="115">
        <f t="shared" si="14"/>
        <v>33.33333333</v>
      </c>
      <c r="AB23" s="115">
        <f t="shared" si="14"/>
        <v>48.33333333</v>
      </c>
      <c r="AC23" s="115">
        <f t="shared" si="14"/>
        <v>38</v>
      </c>
      <c r="AD23" s="118">
        <f t="shared" si="14"/>
        <v>149.6666667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0.09258689612</v>
      </c>
      <c r="G24" s="123">
        <f t="shared" si="15"/>
        <v>0.05444263036</v>
      </c>
      <c r="H24" s="123">
        <f t="shared" si="15"/>
        <v>0.04858326186</v>
      </c>
      <c r="I24" s="123">
        <f t="shared" si="15"/>
        <v>0.04771093515</v>
      </c>
      <c r="J24" s="123">
        <f t="shared" si="15"/>
        <v>0.05181055234</v>
      </c>
      <c r="K24" s="123">
        <f t="shared" si="15"/>
        <v>0.1095095125</v>
      </c>
      <c r="L24" s="123">
        <f t="shared" si="15"/>
        <v>0.0963033402</v>
      </c>
      <c r="M24" s="123">
        <f t="shared" si="15"/>
        <v>0.02773084925</v>
      </c>
      <c r="N24" s="123">
        <f t="shared" si="15"/>
        <v>9.291573243</v>
      </c>
      <c r="O24" s="123">
        <f t="shared" si="15"/>
        <v>9.712534856</v>
      </c>
      <c r="P24" s="123">
        <f t="shared" si="15"/>
        <v>18.14754345</v>
      </c>
      <c r="Q24" s="123">
        <f t="shared" si="15"/>
        <v>17.69180601</v>
      </c>
      <c r="R24" s="123"/>
      <c r="S24" s="123">
        <f t="shared" ref="S24:AD24" si="16">STDEV(S20:S22)</f>
        <v>0.02254624876</v>
      </c>
      <c r="T24" s="123">
        <f t="shared" si="16"/>
        <v>0.01154700538</v>
      </c>
      <c r="U24" s="123">
        <f t="shared" si="16"/>
        <v>0.05464735431</v>
      </c>
      <c r="V24" s="123">
        <f t="shared" si="16"/>
        <v>0.01587450787</v>
      </c>
      <c r="W24" s="123">
        <f t="shared" si="16"/>
        <v>0.03320140559</v>
      </c>
      <c r="X24" s="123">
        <f t="shared" si="16"/>
        <v>0.08124243555</v>
      </c>
      <c r="Y24" s="123">
        <f t="shared" si="16"/>
        <v>0.1059874206</v>
      </c>
      <c r="Z24" s="123">
        <f t="shared" si="16"/>
        <v>0.04687572222</v>
      </c>
      <c r="AA24" s="123">
        <f t="shared" si="16"/>
        <v>17.61628035</v>
      </c>
      <c r="AB24" s="123">
        <f t="shared" si="16"/>
        <v>17.4737899</v>
      </c>
      <c r="AC24" s="123">
        <f t="shared" si="16"/>
        <v>19.67231557</v>
      </c>
      <c r="AD24" s="123">
        <f t="shared" si="16"/>
        <v>20.20725942</v>
      </c>
    </row>
    <row r="25">
      <c r="A25" s="171" t="s">
        <v>79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0.603</v>
      </c>
      <c r="G25" s="91">
        <v>0.685</v>
      </c>
      <c r="H25" s="91">
        <v>0.523</v>
      </c>
      <c r="I25" s="91">
        <v>0.614</v>
      </c>
      <c r="J25" s="91">
        <v>0.622</v>
      </c>
      <c r="K25" s="91">
        <v>0.079</v>
      </c>
      <c r="L25" s="91">
        <v>0.936</v>
      </c>
      <c r="M25" s="91">
        <v>0.707</v>
      </c>
      <c r="N25" s="92">
        <v>9.0</v>
      </c>
      <c r="O25" s="92">
        <v>73.0</v>
      </c>
      <c r="P25" s="92">
        <v>12.0</v>
      </c>
      <c r="Q25" s="92">
        <v>176.0</v>
      </c>
      <c r="R25" s="93"/>
      <c r="S25" s="94">
        <v>0.688</v>
      </c>
      <c r="T25" s="95">
        <v>0.726</v>
      </c>
      <c r="U25" s="95">
        <v>0.624</v>
      </c>
      <c r="V25" s="95">
        <v>0.705</v>
      </c>
      <c r="W25" s="95">
        <v>0.705</v>
      </c>
      <c r="X25" s="94">
        <v>0.29</v>
      </c>
      <c r="Y25" s="94">
        <v>0.883</v>
      </c>
      <c r="Z25" s="94">
        <v>0.761</v>
      </c>
      <c r="AA25" s="96">
        <v>30.0</v>
      </c>
      <c r="AB25" s="97">
        <v>52.0</v>
      </c>
      <c r="AC25" s="97">
        <v>22.0</v>
      </c>
      <c r="AD25" s="98">
        <v>166.0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0.74</v>
      </c>
      <c r="G26" s="101">
        <v>0.725</v>
      </c>
      <c r="H26" s="101">
        <v>0.67</v>
      </c>
      <c r="I26" s="101">
        <v>0.724</v>
      </c>
      <c r="J26" s="101">
        <v>0.723</v>
      </c>
      <c r="K26" s="101">
        <v>0.342</v>
      </c>
      <c r="L26" s="101">
        <v>0.809</v>
      </c>
      <c r="M26" s="101">
        <v>0.8</v>
      </c>
      <c r="N26" s="102">
        <v>43.0</v>
      </c>
      <c r="O26" s="102">
        <v>38.0</v>
      </c>
      <c r="P26" s="102">
        <v>36.0</v>
      </c>
      <c r="Q26" s="102">
        <v>152.0</v>
      </c>
      <c r="R26" s="103"/>
      <c r="S26" s="104">
        <v>0.713</v>
      </c>
      <c r="T26" s="105">
        <v>0.684</v>
      </c>
      <c r="U26" s="105">
        <v>0.616</v>
      </c>
      <c r="V26" s="105">
        <v>0.681</v>
      </c>
      <c r="W26" s="105">
        <v>0.679</v>
      </c>
      <c r="X26" s="104">
        <v>0.236</v>
      </c>
      <c r="Y26" s="104">
        <v>0.787</v>
      </c>
      <c r="Z26" s="104">
        <v>0.767</v>
      </c>
      <c r="AA26" s="106">
        <v>36.0</v>
      </c>
      <c r="AB26" s="107">
        <v>45.0</v>
      </c>
      <c r="AC26" s="107">
        <v>40.0</v>
      </c>
      <c r="AD26" s="108">
        <v>148.0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0.802</v>
      </c>
      <c r="G27" s="101">
        <v>0.721</v>
      </c>
      <c r="H27" s="101">
        <v>0.597</v>
      </c>
      <c r="I27" s="101">
        <v>0.686</v>
      </c>
      <c r="J27" s="101">
        <v>0.697</v>
      </c>
      <c r="K27" s="101">
        <v>0.255</v>
      </c>
      <c r="L27" s="101">
        <v>0.914</v>
      </c>
      <c r="M27" s="101">
        <v>0.743</v>
      </c>
      <c r="N27" s="110">
        <v>23.0</v>
      </c>
      <c r="O27" s="110">
        <v>59.0</v>
      </c>
      <c r="P27" s="110">
        <v>16.0</v>
      </c>
      <c r="Q27" s="110">
        <v>171.0</v>
      </c>
      <c r="R27" s="103"/>
      <c r="S27" s="104">
        <v>0.771</v>
      </c>
      <c r="T27" s="105">
        <v>0.743</v>
      </c>
      <c r="U27" s="105">
        <v>0.617</v>
      </c>
      <c r="V27" s="105">
        <v>0.706</v>
      </c>
      <c r="W27" s="105">
        <v>0.732</v>
      </c>
      <c r="X27" s="104">
        <v>0.32</v>
      </c>
      <c r="Y27" s="104">
        <v>0.941</v>
      </c>
      <c r="Z27" s="104">
        <v>0.752</v>
      </c>
      <c r="AA27" s="111">
        <v>24.0</v>
      </c>
      <c r="AB27" s="112">
        <v>58.0</v>
      </c>
      <c r="AC27" s="112">
        <v>11.0</v>
      </c>
      <c r="AD27" s="113">
        <v>176.0</v>
      </c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0.715</v>
      </c>
      <c r="G28" s="115">
        <f t="shared" si="17"/>
        <v>0.7103333333</v>
      </c>
      <c r="H28" s="117">
        <f t="shared" si="17"/>
        <v>0.5966666667</v>
      </c>
      <c r="I28" s="117">
        <f t="shared" si="17"/>
        <v>0.6746666667</v>
      </c>
      <c r="J28" s="115">
        <f t="shared" si="17"/>
        <v>0.6806666667</v>
      </c>
      <c r="K28" s="117">
        <f t="shared" si="17"/>
        <v>0.2253333333</v>
      </c>
      <c r="L28" s="115">
        <f t="shared" si="17"/>
        <v>0.8863333333</v>
      </c>
      <c r="M28" s="117">
        <f t="shared" si="17"/>
        <v>0.75</v>
      </c>
      <c r="N28" s="117">
        <f t="shared" si="17"/>
        <v>25</v>
      </c>
      <c r="O28" s="117">
        <f t="shared" si="17"/>
        <v>56.66666667</v>
      </c>
      <c r="P28" s="115">
        <f t="shared" si="17"/>
        <v>21.33333333</v>
      </c>
      <c r="Q28" s="115">
        <f t="shared" si="17"/>
        <v>166.3333333</v>
      </c>
      <c r="R28" s="116"/>
      <c r="S28" s="115">
        <f t="shared" ref="S28:AD28" si="18">AVERAGE(S25:S27)</f>
        <v>0.724</v>
      </c>
      <c r="T28" s="115">
        <f t="shared" si="18"/>
        <v>0.7176666667</v>
      </c>
      <c r="U28" s="115">
        <f t="shared" si="18"/>
        <v>0.619</v>
      </c>
      <c r="V28" s="115">
        <f t="shared" si="18"/>
        <v>0.6973333333</v>
      </c>
      <c r="W28" s="115">
        <f t="shared" si="18"/>
        <v>0.7053333333</v>
      </c>
      <c r="X28" s="115">
        <f t="shared" si="18"/>
        <v>0.282</v>
      </c>
      <c r="Y28" s="115">
        <f t="shared" si="18"/>
        <v>0.8703333333</v>
      </c>
      <c r="Z28" s="115">
        <f t="shared" si="18"/>
        <v>0.76</v>
      </c>
      <c r="AA28" s="115">
        <f t="shared" si="18"/>
        <v>30</v>
      </c>
      <c r="AB28" s="115">
        <f t="shared" si="18"/>
        <v>51.66666667</v>
      </c>
      <c r="AC28" s="115">
        <f t="shared" si="18"/>
        <v>24.33333333</v>
      </c>
      <c r="AD28" s="118">
        <f t="shared" si="18"/>
        <v>163.3333333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0.1018282868</v>
      </c>
      <c r="G29" s="123">
        <f t="shared" si="19"/>
        <v>0.02203028219</v>
      </c>
      <c r="H29" s="123">
        <f t="shared" si="19"/>
        <v>0.07350056689</v>
      </c>
      <c r="I29" s="123">
        <f t="shared" si="19"/>
        <v>0.05586889415</v>
      </c>
      <c r="J29" s="123">
        <f t="shared" si="19"/>
        <v>0.05244362052</v>
      </c>
      <c r="K29" s="123">
        <f t="shared" si="19"/>
        <v>0.1339863177</v>
      </c>
      <c r="L29" s="123">
        <f t="shared" si="19"/>
        <v>0.06786997372</v>
      </c>
      <c r="M29" s="123">
        <f t="shared" si="19"/>
        <v>0.04689349635</v>
      </c>
      <c r="N29" s="123">
        <f t="shared" si="19"/>
        <v>17.08800749</v>
      </c>
      <c r="O29" s="123">
        <f t="shared" si="19"/>
        <v>17.61628035</v>
      </c>
      <c r="P29" s="123">
        <f t="shared" si="19"/>
        <v>12.85820101</v>
      </c>
      <c r="Q29" s="123">
        <f t="shared" si="19"/>
        <v>12.66227994</v>
      </c>
      <c r="R29" s="123"/>
      <c r="S29" s="123">
        <f t="shared" ref="S29:AD29" si="20">STDEV(S25:S27)</f>
        <v>0.04257933771</v>
      </c>
      <c r="T29" s="123">
        <f t="shared" si="20"/>
        <v>0.03036994128</v>
      </c>
      <c r="U29" s="123">
        <f t="shared" si="20"/>
        <v>0.004358898944</v>
      </c>
      <c r="V29" s="123">
        <f t="shared" si="20"/>
        <v>0.01415391583</v>
      </c>
      <c r="W29" s="123">
        <f t="shared" si="20"/>
        <v>0.02650157228</v>
      </c>
      <c r="X29" s="123">
        <f t="shared" si="20"/>
        <v>0.04256759331</v>
      </c>
      <c r="Y29" s="123">
        <f t="shared" si="20"/>
        <v>0.07777746032</v>
      </c>
      <c r="Z29" s="123">
        <f t="shared" si="20"/>
        <v>0.007549834435</v>
      </c>
      <c r="AA29" s="123">
        <f t="shared" si="20"/>
        <v>6</v>
      </c>
      <c r="AB29" s="123">
        <f t="shared" si="20"/>
        <v>6.506407099</v>
      </c>
      <c r="AC29" s="123">
        <f t="shared" si="20"/>
        <v>14.6401275</v>
      </c>
      <c r="AD29" s="123">
        <f t="shared" si="20"/>
        <v>14.18919777</v>
      </c>
    </row>
    <row r="30">
      <c r="A30" s="171" t="s">
        <v>79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0.693</v>
      </c>
      <c r="G30" s="91">
        <v>0.637</v>
      </c>
      <c r="H30" s="91">
        <v>0.598</v>
      </c>
      <c r="I30" s="91">
        <v>0.645</v>
      </c>
      <c r="J30" s="91">
        <v>0.657</v>
      </c>
      <c r="K30" s="91">
        <v>0.188</v>
      </c>
      <c r="L30" s="91">
        <v>0.697</v>
      </c>
      <c r="M30" s="91">
        <v>0.762</v>
      </c>
      <c r="N30" s="92">
        <v>41.0</v>
      </c>
      <c r="O30" s="92">
        <v>41.0</v>
      </c>
      <c r="P30" s="92">
        <v>57.0</v>
      </c>
      <c r="Q30" s="92">
        <v>131.0</v>
      </c>
      <c r="R30" s="93"/>
      <c r="S30" s="94">
        <v>0.686</v>
      </c>
      <c r="T30" s="95">
        <v>0.707</v>
      </c>
      <c r="U30" s="95">
        <v>0.625</v>
      </c>
      <c r="V30" s="95">
        <v>0.697</v>
      </c>
      <c r="W30" s="95">
        <v>0.692</v>
      </c>
      <c r="X30" s="94">
        <v>0.269</v>
      </c>
      <c r="Y30" s="94">
        <v>0.835</v>
      </c>
      <c r="Z30" s="94">
        <v>0.766</v>
      </c>
      <c r="AA30" s="96">
        <v>34.0</v>
      </c>
      <c r="AB30" s="97">
        <v>48.0</v>
      </c>
      <c r="AC30" s="97">
        <v>31.0</v>
      </c>
      <c r="AD30" s="98">
        <v>157.0</v>
      </c>
    </row>
    <row r="31">
      <c r="A31" s="7"/>
      <c r="C31" s="99" t="b">
        <v>1</v>
      </c>
      <c r="D31" s="99" t="s">
        <v>43</v>
      </c>
      <c r="E31" s="99" t="s">
        <v>45</v>
      </c>
      <c r="F31" s="100">
        <v>0.744</v>
      </c>
      <c r="G31" s="101">
        <v>0.714</v>
      </c>
      <c r="H31" s="101">
        <v>0.693</v>
      </c>
      <c r="I31" s="101">
        <v>0.721</v>
      </c>
      <c r="J31" s="101">
        <v>0.736</v>
      </c>
      <c r="K31" s="101">
        <v>0.367</v>
      </c>
      <c r="L31" s="101">
        <v>0.745</v>
      </c>
      <c r="M31" s="101">
        <v>0.828</v>
      </c>
      <c r="N31" s="102">
        <v>52.0</v>
      </c>
      <c r="O31" s="102">
        <v>29.0</v>
      </c>
      <c r="P31" s="102">
        <v>48.0</v>
      </c>
      <c r="Q31" s="102">
        <v>140.0</v>
      </c>
      <c r="R31" s="103"/>
      <c r="S31" s="104">
        <v>0.593</v>
      </c>
      <c r="T31" s="105">
        <v>0.625</v>
      </c>
      <c r="U31" s="105">
        <v>0.524</v>
      </c>
      <c r="V31" s="105">
        <v>0.611</v>
      </c>
      <c r="W31" s="105">
        <v>0.601</v>
      </c>
      <c r="X31" s="104">
        <v>0.052</v>
      </c>
      <c r="Y31" s="104">
        <v>0.777</v>
      </c>
      <c r="Z31" s="104">
        <v>0.712</v>
      </c>
      <c r="AA31" s="106">
        <v>22.0</v>
      </c>
      <c r="AB31" s="107">
        <v>59.0</v>
      </c>
      <c r="AC31" s="107">
        <v>42.0</v>
      </c>
      <c r="AD31" s="108">
        <v>146.0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0.774</v>
      </c>
      <c r="G32" s="101">
        <v>0.695</v>
      </c>
      <c r="H32" s="101">
        <v>0.5</v>
      </c>
      <c r="I32" s="101">
        <v>0.57</v>
      </c>
      <c r="J32" s="101">
        <v>0.788</v>
      </c>
      <c r="K32" s="101">
        <v>0.0</v>
      </c>
      <c r="L32" s="101">
        <v>1.0</v>
      </c>
      <c r="M32" s="101">
        <v>0.695</v>
      </c>
      <c r="N32" s="110">
        <v>0.0</v>
      </c>
      <c r="O32" s="110">
        <v>82.0</v>
      </c>
      <c r="P32" s="110">
        <v>0.0</v>
      </c>
      <c r="Q32" s="110">
        <v>187.0</v>
      </c>
      <c r="R32" s="103"/>
      <c r="S32" s="104">
        <v>0.775</v>
      </c>
      <c r="T32" s="105">
        <v>0.673</v>
      </c>
      <c r="U32" s="105">
        <v>0.696</v>
      </c>
      <c r="V32" s="105">
        <v>0.686</v>
      </c>
      <c r="W32" s="105">
        <v>0.741</v>
      </c>
      <c r="X32" s="104">
        <v>0.362</v>
      </c>
      <c r="Y32" s="104">
        <v>0.636</v>
      </c>
      <c r="Z32" s="104">
        <v>0.856</v>
      </c>
      <c r="AA32" s="111">
        <v>62.0</v>
      </c>
      <c r="AB32" s="112">
        <v>20.0</v>
      </c>
      <c r="AC32" s="112">
        <v>68.0</v>
      </c>
      <c r="AD32" s="113">
        <v>119.0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0.737</v>
      </c>
      <c r="G33" s="115">
        <f t="shared" si="21"/>
        <v>0.682</v>
      </c>
      <c r="H33" s="115">
        <f t="shared" si="21"/>
        <v>0.597</v>
      </c>
      <c r="I33" s="115">
        <f t="shared" si="21"/>
        <v>0.6453333333</v>
      </c>
      <c r="J33" s="117">
        <f t="shared" si="21"/>
        <v>0.727</v>
      </c>
      <c r="K33" s="115">
        <f t="shared" si="21"/>
        <v>0.185</v>
      </c>
      <c r="L33" s="115">
        <f t="shared" si="21"/>
        <v>0.814</v>
      </c>
      <c r="M33" s="115">
        <f t="shared" si="21"/>
        <v>0.7616666667</v>
      </c>
      <c r="N33" s="115">
        <f t="shared" si="21"/>
        <v>31</v>
      </c>
      <c r="O33" s="115">
        <f t="shared" si="21"/>
        <v>50.66666667</v>
      </c>
      <c r="P33" s="115">
        <f t="shared" si="21"/>
        <v>35</v>
      </c>
      <c r="Q33" s="115">
        <f t="shared" si="21"/>
        <v>152.6666667</v>
      </c>
      <c r="R33" s="116"/>
      <c r="S33" s="115">
        <f t="shared" ref="S33:AD33" si="22">AVERAGE(S30:S32)</f>
        <v>0.6846666667</v>
      </c>
      <c r="T33" s="115">
        <f t="shared" si="22"/>
        <v>0.6683333333</v>
      </c>
      <c r="U33" s="115">
        <f t="shared" si="22"/>
        <v>0.615</v>
      </c>
      <c r="V33" s="115">
        <f t="shared" si="22"/>
        <v>0.6646666667</v>
      </c>
      <c r="W33" s="115">
        <f t="shared" si="22"/>
        <v>0.678</v>
      </c>
      <c r="X33" s="115">
        <f t="shared" si="22"/>
        <v>0.2276666667</v>
      </c>
      <c r="Y33" s="115">
        <f t="shared" si="22"/>
        <v>0.7493333333</v>
      </c>
      <c r="Z33" s="115">
        <f t="shared" si="22"/>
        <v>0.778</v>
      </c>
      <c r="AA33" s="117">
        <f t="shared" si="22"/>
        <v>39.33333333</v>
      </c>
      <c r="AB33" s="117">
        <f t="shared" si="22"/>
        <v>42.33333333</v>
      </c>
      <c r="AC33" s="115">
        <f t="shared" si="22"/>
        <v>47</v>
      </c>
      <c r="AD33" s="118">
        <f t="shared" si="22"/>
        <v>140.6666667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0.04095119046</v>
      </c>
      <c r="G34" s="123">
        <f t="shared" si="23"/>
        <v>0.04011234224</v>
      </c>
      <c r="H34" s="123">
        <f t="shared" si="23"/>
        <v>0.09650388593</v>
      </c>
      <c r="I34" s="123">
        <f t="shared" si="23"/>
        <v>0.07550055187</v>
      </c>
      <c r="J34" s="123">
        <f t="shared" si="23"/>
        <v>0.06596211034</v>
      </c>
      <c r="K34" s="123">
        <f t="shared" si="23"/>
        <v>0.1835183914</v>
      </c>
      <c r="L34" s="123">
        <f t="shared" si="23"/>
        <v>0.1628588346</v>
      </c>
      <c r="M34" s="123">
        <f t="shared" si="23"/>
        <v>0.06650062656</v>
      </c>
      <c r="N34" s="123">
        <f t="shared" si="23"/>
        <v>27.40437921</v>
      </c>
      <c r="O34" s="123">
        <f t="shared" si="23"/>
        <v>27.7908858</v>
      </c>
      <c r="P34" s="123">
        <f t="shared" si="23"/>
        <v>30.64310689</v>
      </c>
      <c r="Q34" s="123">
        <f t="shared" si="23"/>
        <v>30.0721355</v>
      </c>
      <c r="R34" s="123"/>
      <c r="S34" s="123">
        <f t="shared" ref="S34:AD34" si="24">STDEV(S30:S32)</f>
        <v>0.09100732571</v>
      </c>
      <c r="T34" s="123">
        <f t="shared" si="24"/>
        <v>0.04119870548</v>
      </c>
      <c r="U34" s="123">
        <f t="shared" si="24"/>
        <v>0.08643494664</v>
      </c>
      <c r="V34" s="123">
        <f t="shared" si="24"/>
        <v>0.04680099714</v>
      </c>
      <c r="W34" s="123">
        <f t="shared" si="24"/>
        <v>0.07104224096</v>
      </c>
      <c r="X34" s="123">
        <f t="shared" si="24"/>
        <v>0.1590796446</v>
      </c>
      <c r="Y34" s="123">
        <f t="shared" si="24"/>
        <v>0.1023441905</v>
      </c>
      <c r="Z34" s="123">
        <f t="shared" si="24"/>
        <v>0.07274613392</v>
      </c>
      <c r="AA34" s="123">
        <f t="shared" si="24"/>
        <v>20.52640576</v>
      </c>
      <c r="AB34" s="123">
        <f t="shared" si="24"/>
        <v>20.10804151</v>
      </c>
      <c r="AC34" s="123">
        <f t="shared" si="24"/>
        <v>19</v>
      </c>
      <c r="AD34" s="123">
        <f t="shared" si="24"/>
        <v>19.55334583</v>
      </c>
    </row>
    <row r="35">
      <c r="A35" s="171" t="s">
        <v>79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0.684</v>
      </c>
      <c r="G35" s="91">
        <v>0.704</v>
      </c>
      <c r="H35" s="91">
        <v>0.633</v>
      </c>
      <c r="I35" s="91">
        <v>0.698</v>
      </c>
      <c r="J35" s="91">
        <v>0.694</v>
      </c>
      <c r="K35" s="91">
        <v>0.276</v>
      </c>
      <c r="L35" s="91">
        <v>0.814</v>
      </c>
      <c r="M35" s="91">
        <v>0.773</v>
      </c>
      <c r="N35" s="92">
        <v>37.0</v>
      </c>
      <c r="O35" s="92">
        <v>45.0</v>
      </c>
      <c r="P35" s="92">
        <v>35.0</v>
      </c>
      <c r="Q35" s="92">
        <v>153.0</v>
      </c>
      <c r="R35" s="93"/>
      <c r="S35" s="94">
        <v>0.604</v>
      </c>
      <c r="T35" s="95">
        <v>0.541</v>
      </c>
      <c r="U35" s="95">
        <v>0.56</v>
      </c>
      <c r="V35" s="95">
        <v>0.559</v>
      </c>
      <c r="W35" s="95">
        <v>0.629</v>
      </c>
      <c r="X35" s="94">
        <v>0.111</v>
      </c>
      <c r="Y35" s="94">
        <v>0.511</v>
      </c>
      <c r="Z35" s="94">
        <v>0.75</v>
      </c>
      <c r="AA35" s="96">
        <v>50.0</v>
      </c>
      <c r="AB35" s="97">
        <v>32.0</v>
      </c>
      <c r="AC35" s="97">
        <v>92.0</v>
      </c>
      <c r="AD35" s="98">
        <v>96.0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0.753</v>
      </c>
      <c r="G36" s="101">
        <v>0.747</v>
      </c>
      <c r="H36" s="101">
        <v>0.71</v>
      </c>
      <c r="I36" s="101">
        <v>0.75</v>
      </c>
      <c r="J36" s="101">
        <v>0.753</v>
      </c>
      <c r="K36" s="101">
        <v>0.412</v>
      </c>
      <c r="L36" s="101">
        <v>0.803</v>
      </c>
      <c r="M36" s="101">
        <v>0.83</v>
      </c>
      <c r="N36" s="102">
        <v>50.0</v>
      </c>
      <c r="O36" s="102">
        <v>31.0</v>
      </c>
      <c r="P36" s="102">
        <v>37.0</v>
      </c>
      <c r="Q36" s="102">
        <v>151.0</v>
      </c>
      <c r="R36" s="103"/>
      <c r="S36" s="104">
        <v>0.616</v>
      </c>
      <c r="T36" s="105">
        <v>0.639</v>
      </c>
      <c r="U36" s="105">
        <v>0.5</v>
      </c>
      <c r="V36" s="105">
        <v>0.596</v>
      </c>
      <c r="W36" s="105">
        <v>0.579</v>
      </c>
      <c r="X36" s="104">
        <v>-0.001</v>
      </c>
      <c r="Y36" s="104">
        <v>0.851</v>
      </c>
      <c r="Z36" s="104">
        <v>0.699</v>
      </c>
      <c r="AA36" s="106">
        <v>12.0</v>
      </c>
      <c r="AB36" s="107">
        <v>69.0</v>
      </c>
      <c r="AC36" s="107">
        <v>28.0</v>
      </c>
      <c r="AD36" s="108">
        <v>160.0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0.613</v>
      </c>
      <c r="G37" s="101">
        <v>0.695</v>
      </c>
      <c r="H37" s="101">
        <v>0.5</v>
      </c>
      <c r="I37" s="101">
        <v>0.57</v>
      </c>
      <c r="J37" s="101">
        <v>0.788</v>
      </c>
      <c r="K37" s="101">
        <v>0.0</v>
      </c>
      <c r="L37" s="101">
        <v>1.0</v>
      </c>
      <c r="M37" s="101">
        <v>0.695</v>
      </c>
      <c r="N37" s="110">
        <v>0.0</v>
      </c>
      <c r="O37" s="110">
        <v>82.0</v>
      </c>
      <c r="P37" s="110">
        <v>0.0</v>
      </c>
      <c r="Q37" s="110">
        <v>187.0</v>
      </c>
      <c r="R37" s="103"/>
      <c r="S37" s="104">
        <v>0.763</v>
      </c>
      <c r="T37" s="105">
        <v>0.695</v>
      </c>
      <c r="U37" s="105">
        <v>0.736</v>
      </c>
      <c r="V37" s="105">
        <v>0.707</v>
      </c>
      <c r="W37" s="105">
        <v>0.779</v>
      </c>
      <c r="X37" s="104">
        <v>0.435</v>
      </c>
      <c r="Y37" s="104">
        <v>0.631</v>
      </c>
      <c r="Z37" s="104">
        <v>0.901</v>
      </c>
      <c r="AA37" s="111">
        <v>69.0</v>
      </c>
      <c r="AB37" s="112">
        <v>13.0</v>
      </c>
      <c r="AC37" s="112">
        <v>69.0</v>
      </c>
      <c r="AD37" s="113">
        <v>118.0</v>
      </c>
    </row>
    <row r="38">
      <c r="A38" s="7"/>
      <c r="B38" s="114" t="s">
        <v>47</v>
      </c>
      <c r="C38" s="30"/>
      <c r="D38" s="30"/>
      <c r="E38" s="72"/>
      <c r="F38" s="115">
        <f t="shared" ref="F38:Q38" si="25">AVERAGE(F35:F37)</f>
        <v>0.6833333333</v>
      </c>
      <c r="G38" s="117">
        <f t="shared" si="25"/>
        <v>0.7153333333</v>
      </c>
      <c r="H38" s="115">
        <f t="shared" si="25"/>
        <v>0.6143333333</v>
      </c>
      <c r="I38" s="115">
        <f t="shared" si="25"/>
        <v>0.6726666667</v>
      </c>
      <c r="J38" s="115">
        <f t="shared" si="25"/>
        <v>0.745</v>
      </c>
      <c r="K38" s="115">
        <f t="shared" si="25"/>
        <v>0.2293333333</v>
      </c>
      <c r="L38" s="117">
        <f t="shared" si="25"/>
        <v>0.8723333333</v>
      </c>
      <c r="M38" s="115">
        <f t="shared" si="25"/>
        <v>0.766</v>
      </c>
      <c r="N38" s="115">
        <f t="shared" si="25"/>
        <v>29</v>
      </c>
      <c r="O38" s="115">
        <f t="shared" si="25"/>
        <v>52.66666667</v>
      </c>
      <c r="P38" s="117">
        <f t="shared" si="25"/>
        <v>24</v>
      </c>
      <c r="Q38" s="117">
        <f t="shared" si="25"/>
        <v>163.6666667</v>
      </c>
      <c r="R38" s="116"/>
      <c r="S38" s="115">
        <f t="shared" ref="S38:AD38" si="26">AVERAGE(S35:S37)</f>
        <v>0.661</v>
      </c>
      <c r="T38" s="115">
        <f t="shared" si="26"/>
        <v>0.625</v>
      </c>
      <c r="U38" s="115">
        <f t="shared" si="26"/>
        <v>0.5986666667</v>
      </c>
      <c r="V38" s="115">
        <f t="shared" si="26"/>
        <v>0.6206666667</v>
      </c>
      <c r="W38" s="115">
        <f t="shared" si="26"/>
        <v>0.6623333333</v>
      </c>
      <c r="X38" s="115">
        <f t="shared" si="26"/>
        <v>0.1816666667</v>
      </c>
      <c r="Y38" s="115">
        <f t="shared" si="26"/>
        <v>0.6643333333</v>
      </c>
      <c r="Z38" s="115">
        <f t="shared" si="26"/>
        <v>0.7833333333</v>
      </c>
      <c r="AA38" s="115">
        <f t="shared" si="26"/>
        <v>43.66666667</v>
      </c>
      <c r="AB38" s="115">
        <f t="shared" si="26"/>
        <v>38</v>
      </c>
      <c r="AC38" s="115">
        <f t="shared" si="26"/>
        <v>63</v>
      </c>
      <c r="AD38" s="118">
        <f t="shared" si="26"/>
        <v>124.6666667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0.07000238091</v>
      </c>
      <c r="G39" s="123">
        <f t="shared" si="27"/>
        <v>0.0277908858</v>
      </c>
      <c r="H39" s="123">
        <f t="shared" si="27"/>
        <v>0.1062371561</v>
      </c>
      <c r="I39" s="123">
        <f t="shared" si="27"/>
        <v>0.09263548636</v>
      </c>
      <c r="J39" s="123">
        <f t="shared" si="27"/>
        <v>0.04750789408</v>
      </c>
      <c r="K39" s="123">
        <f t="shared" si="27"/>
        <v>0.2099269714</v>
      </c>
      <c r="L39" s="123">
        <f t="shared" si="27"/>
        <v>0.1106992924</v>
      </c>
      <c r="M39" s="123">
        <f t="shared" si="27"/>
        <v>0.0677716755</v>
      </c>
      <c r="N39" s="123">
        <f t="shared" si="27"/>
        <v>25.94224354</v>
      </c>
      <c r="O39" s="123">
        <f t="shared" si="27"/>
        <v>26.35020557</v>
      </c>
      <c r="P39" s="123">
        <f t="shared" si="27"/>
        <v>20.80865205</v>
      </c>
      <c r="Q39" s="123">
        <f t="shared" si="27"/>
        <v>20.23198787</v>
      </c>
      <c r="R39" s="123"/>
      <c r="S39" s="123">
        <f t="shared" ref="S39:AD39" si="28">STDEV(S35:S37)</f>
        <v>0.08853812738</v>
      </c>
      <c r="T39" s="123">
        <f t="shared" si="28"/>
        <v>0.07794870108</v>
      </c>
      <c r="U39" s="123">
        <f t="shared" si="28"/>
        <v>0.1226594201</v>
      </c>
      <c r="V39" s="123">
        <f t="shared" si="28"/>
        <v>0.07702164198</v>
      </c>
      <c r="W39" s="123">
        <f t="shared" si="28"/>
        <v>0.1040833</v>
      </c>
      <c r="X39" s="123">
        <f t="shared" si="28"/>
        <v>0.2264273246</v>
      </c>
      <c r="Y39" s="123">
        <f t="shared" si="28"/>
        <v>0.1724335621</v>
      </c>
      <c r="Z39" s="123">
        <f t="shared" si="28"/>
        <v>0.105044435</v>
      </c>
      <c r="AA39" s="123">
        <f t="shared" si="28"/>
        <v>29.0229794</v>
      </c>
      <c r="AB39" s="123">
        <f t="shared" si="28"/>
        <v>28.47806173</v>
      </c>
      <c r="AC39" s="123">
        <f t="shared" si="28"/>
        <v>32.41913015</v>
      </c>
      <c r="AD39" s="123">
        <f t="shared" si="28"/>
        <v>32.5166624</v>
      </c>
    </row>
    <row r="40">
      <c r="A40" s="171" t="s">
        <v>79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0.695</v>
      </c>
      <c r="G40" s="91">
        <v>0.667</v>
      </c>
      <c r="H40" s="91">
        <v>0.657</v>
      </c>
      <c r="I40" s="91">
        <v>0.678</v>
      </c>
      <c r="J40" s="91">
        <v>0.705</v>
      </c>
      <c r="K40" s="91">
        <v>0.294</v>
      </c>
      <c r="L40" s="91">
        <v>0.681</v>
      </c>
      <c r="M40" s="91">
        <v>0.81</v>
      </c>
      <c r="N40" s="92">
        <v>52.0</v>
      </c>
      <c r="O40" s="92">
        <v>30.0</v>
      </c>
      <c r="P40" s="92">
        <v>60.0</v>
      </c>
      <c r="Q40" s="92">
        <v>128.0</v>
      </c>
      <c r="R40" s="93"/>
      <c r="S40" s="94">
        <v>0.717</v>
      </c>
      <c r="T40" s="95">
        <v>0.707</v>
      </c>
      <c r="U40" s="95">
        <v>0.553</v>
      </c>
      <c r="V40" s="95">
        <v>0.645</v>
      </c>
      <c r="W40" s="95">
        <v>0.673</v>
      </c>
      <c r="X40" s="94">
        <v>0.174</v>
      </c>
      <c r="Y40" s="94">
        <v>0.947</v>
      </c>
      <c r="Z40" s="94">
        <v>0.721</v>
      </c>
      <c r="AA40" s="96">
        <v>13.0</v>
      </c>
      <c r="AB40" s="97">
        <v>69.0</v>
      </c>
      <c r="AC40" s="97">
        <v>10.0</v>
      </c>
      <c r="AD40" s="98">
        <v>178.0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0.757</v>
      </c>
      <c r="G41" s="101">
        <v>0.736</v>
      </c>
      <c r="H41" s="101">
        <v>0.625</v>
      </c>
      <c r="I41" s="101">
        <v>0.711</v>
      </c>
      <c r="J41" s="101">
        <v>0.716</v>
      </c>
      <c r="K41" s="101">
        <v>0.305</v>
      </c>
      <c r="L41" s="101">
        <v>0.904</v>
      </c>
      <c r="M41" s="101">
        <v>0.762</v>
      </c>
      <c r="N41" s="102">
        <v>28.0</v>
      </c>
      <c r="O41" s="102">
        <v>53.0</v>
      </c>
      <c r="P41" s="102">
        <v>18.0</v>
      </c>
      <c r="Q41" s="102">
        <v>170.0</v>
      </c>
      <c r="R41" s="103"/>
      <c r="S41" s="104">
        <v>0.745</v>
      </c>
      <c r="T41" s="105">
        <v>0.743</v>
      </c>
      <c r="U41" s="105">
        <v>0.662</v>
      </c>
      <c r="V41" s="105">
        <v>0.733</v>
      </c>
      <c r="W41" s="105">
        <v>0.73</v>
      </c>
      <c r="X41" s="104">
        <v>0.353</v>
      </c>
      <c r="Y41" s="104">
        <v>0.867</v>
      </c>
      <c r="Z41" s="104">
        <v>0.787</v>
      </c>
      <c r="AA41" s="106">
        <v>37.0</v>
      </c>
      <c r="AB41" s="107">
        <v>44.0</v>
      </c>
      <c r="AC41" s="107">
        <v>25.0</v>
      </c>
      <c r="AD41" s="108">
        <v>163.0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0.733</v>
      </c>
      <c r="G42" s="101">
        <v>0.721</v>
      </c>
      <c r="H42" s="101">
        <v>0.639</v>
      </c>
      <c r="I42" s="101">
        <v>0.71</v>
      </c>
      <c r="J42" s="101">
        <v>0.706</v>
      </c>
      <c r="K42" s="101">
        <v>0.301</v>
      </c>
      <c r="L42" s="101">
        <v>0.85</v>
      </c>
      <c r="M42" s="101">
        <v>0.772</v>
      </c>
      <c r="N42" s="110">
        <v>35.0</v>
      </c>
      <c r="O42" s="110">
        <v>47.0</v>
      </c>
      <c r="P42" s="110">
        <v>28.0</v>
      </c>
      <c r="Q42" s="110">
        <v>159.0</v>
      </c>
      <c r="R42" s="103"/>
      <c r="S42" s="104">
        <v>0.705</v>
      </c>
      <c r="T42" s="105">
        <v>0.721</v>
      </c>
      <c r="U42" s="105">
        <v>0.57</v>
      </c>
      <c r="V42" s="105">
        <v>0.662</v>
      </c>
      <c r="W42" s="105">
        <v>0.705</v>
      </c>
      <c r="X42" s="104">
        <v>0.231</v>
      </c>
      <c r="Y42" s="104">
        <v>0.957</v>
      </c>
      <c r="Z42" s="104">
        <v>0.728</v>
      </c>
      <c r="AA42" s="111">
        <v>15.0</v>
      </c>
      <c r="AB42" s="112">
        <v>67.0</v>
      </c>
      <c r="AC42" s="112">
        <v>8.0</v>
      </c>
      <c r="AD42" s="113">
        <v>179.0</v>
      </c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0.7283333333</v>
      </c>
      <c r="G43" s="115">
        <f t="shared" si="29"/>
        <v>0.708</v>
      </c>
      <c r="H43" s="115">
        <f t="shared" si="29"/>
        <v>0.6403333333</v>
      </c>
      <c r="I43" s="115">
        <f t="shared" si="29"/>
        <v>0.6996666667</v>
      </c>
      <c r="J43" s="115">
        <f t="shared" si="29"/>
        <v>0.709</v>
      </c>
      <c r="K43" s="115">
        <f t="shared" si="29"/>
        <v>0.3</v>
      </c>
      <c r="L43" s="115">
        <f t="shared" si="29"/>
        <v>0.8116666667</v>
      </c>
      <c r="M43" s="161">
        <f t="shared" si="29"/>
        <v>0.7813333333</v>
      </c>
      <c r="N43" s="161">
        <f t="shared" si="29"/>
        <v>38.33333333</v>
      </c>
      <c r="O43" s="161">
        <f t="shared" si="29"/>
        <v>43.33333333</v>
      </c>
      <c r="P43" s="115">
        <f t="shared" si="29"/>
        <v>35.33333333</v>
      </c>
      <c r="Q43" s="115">
        <f t="shared" si="29"/>
        <v>152.3333333</v>
      </c>
      <c r="R43" s="116"/>
      <c r="S43" s="115">
        <f t="shared" ref="S43:AD43" si="30">AVERAGE(S40:S42)</f>
        <v>0.7223333333</v>
      </c>
      <c r="T43" s="115">
        <f t="shared" si="30"/>
        <v>0.7236666667</v>
      </c>
      <c r="U43" s="115">
        <f t="shared" si="30"/>
        <v>0.595</v>
      </c>
      <c r="V43" s="115">
        <f t="shared" si="30"/>
        <v>0.68</v>
      </c>
      <c r="W43" s="115">
        <f t="shared" si="30"/>
        <v>0.7026666667</v>
      </c>
      <c r="X43" s="115">
        <f t="shared" si="30"/>
        <v>0.2526666667</v>
      </c>
      <c r="Y43" s="117">
        <f t="shared" si="30"/>
        <v>0.9236666667</v>
      </c>
      <c r="Z43" s="115">
        <f t="shared" si="30"/>
        <v>0.7453333333</v>
      </c>
      <c r="AA43" s="115">
        <f t="shared" si="30"/>
        <v>21.66666667</v>
      </c>
      <c r="AB43" s="115">
        <f t="shared" si="30"/>
        <v>60</v>
      </c>
      <c r="AC43" s="117">
        <f t="shared" si="30"/>
        <v>14.33333333</v>
      </c>
      <c r="AD43" s="162">
        <f t="shared" si="30"/>
        <v>173.3333333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0.0312623309</v>
      </c>
      <c r="G44" s="123">
        <f t="shared" si="31"/>
        <v>0.03629049462</v>
      </c>
      <c r="H44" s="123">
        <f t="shared" si="31"/>
        <v>0.01604161255</v>
      </c>
      <c r="I44" s="123">
        <f t="shared" si="31"/>
        <v>0.0187705443</v>
      </c>
      <c r="J44" s="123">
        <f t="shared" si="31"/>
        <v>0.00608276253</v>
      </c>
      <c r="K44" s="123">
        <f t="shared" si="31"/>
        <v>0.005567764363</v>
      </c>
      <c r="L44" s="123">
        <f t="shared" si="31"/>
        <v>0.1163371537</v>
      </c>
      <c r="M44" s="123">
        <f t="shared" si="31"/>
        <v>0.02532455988</v>
      </c>
      <c r="N44" s="123">
        <f t="shared" si="31"/>
        <v>12.34233905</v>
      </c>
      <c r="O44" s="123">
        <f t="shared" si="31"/>
        <v>11.93035345</v>
      </c>
      <c r="P44" s="123">
        <f t="shared" si="31"/>
        <v>21.93931023</v>
      </c>
      <c r="Q44" s="123">
        <f t="shared" si="31"/>
        <v>21.77919497</v>
      </c>
      <c r="R44" s="123"/>
      <c r="S44" s="123">
        <f t="shared" ref="S44:AD44" si="32">STDEV(S40:S42)</f>
        <v>0.02052640576</v>
      </c>
      <c r="T44" s="123">
        <f t="shared" si="32"/>
        <v>0.01814754345</v>
      </c>
      <c r="U44" s="123">
        <f t="shared" si="32"/>
        <v>0.05864298765</v>
      </c>
      <c r="V44" s="123">
        <f t="shared" si="32"/>
        <v>0.04667976007</v>
      </c>
      <c r="W44" s="123">
        <f t="shared" si="32"/>
        <v>0.02857154762</v>
      </c>
      <c r="X44" s="123">
        <f t="shared" si="32"/>
        <v>0.09144579451</v>
      </c>
      <c r="Y44" s="123">
        <f t="shared" si="32"/>
        <v>0.04932882862</v>
      </c>
      <c r="Z44" s="123">
        <f t="shared" si="32"/>
        <v>0.03625373544</v>
      </c>
      <c r="AA44" s="123">
        <f t="shared" si="32"/>
        <v>13.31665624</v>
      </c>
      <c r="AB44" s="123">
        <f t="shared" si="32"/>
        <v>13.89244399</v>
      </c>
      <c r="AC44" s="123">
        <f t="shared" si="32"/>
        <v>9.291573243</v>
      </c>
      <c r="AD44" s="123">
        <f t="shared" si="32"/>
        <v>8.96288644</v>
      </c>
    </row>
    <row r="45">
      <c r="A45" s="171" t="s">
        <v>79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0.755</v>
      </c>
      <c r="G45" s="91">
        <v>0.73</v>
      </c>
      <c r="H45" s="91">
        <v>0.696</v>
      </c>
      <c r="I45" s="91">
        <v>0.733</v>
      </c>
      <c r="J45" s="91">
        <v>0.739</v>
      </c>
      <c r="K45" s="91">
        <v>0.381</v>
      </c>
      <c r="L45" s="91">
        <v>0.782</v>
      </c>
      <c r="M45" s="91">
        <v>0.821</v>
      </c>
      <c r="N45" s="92">
        <v>50.0</v>
      </c>
      <c r="O45" s="92">
        <v>32.0</v>
      </c>
      <c r="P45" s="92">
        <v>41.0</v>
      </c>
      <c r="Q45" s="92">
        <v>147.0</v>
      </c>
      <c r="R45" s="93"/>
      <c r="S45" s="94">
        <v>0.751</v>
      </c>
      <c r="T45" s="95">
        <v>0.737</v>
      </c>
      <c r="U45" s="95">
        <v>0.701</v>
      </c>
      <c r="V45" s="95">
        <v>0.74</v>
      </c>
      <c r="W45" s="95">
        <v>0.744</v>
      </c>
      <c r="X45" s="94">
        <v>0.394</v>
      </c>
      <c r="Y45" s="94">
        <v>0.793</v>
      </c>
      <c r="Z45" s="94">
        <v>0.823</v>
      </c>
      <c r="AA45" s="96">
        <v>50.0</v>
      </c>
      <c r="AB45" s="97">
        <v>32.0</v>
      </c>
      <c r="AC45" s="97">
        <v>39.0</v>
      </c>
      <c r="AD45" s="98">
        <v>149.0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0.739</v>
      </c>
      <c r="G46" s="101">
        <v>0.717</v>
      </c>
      <c r="H46" s="101">
        <v>0.668</v>
      </c>
      <c r="I46" s="101">
        <v>0.718</v>
      </c>
      <c r="J46" s="101">
        <v>0.719</v>
      </c>
      <c r="K46" s="101">
        <v>0.333</v>
      </c>
      <c r="L46" s="101">
        <v>0.793</v>
      </c>
      <c r="M46" s="101">
        <v>0.801</v>
      </c>
      <c r="N46" s="102">
        <v>44.0</v>
      </c>
      <c r="O46" s="102">
        <v>37.0</v>
      </c>
      <c r="P46" s="102">
        <v>39.0</v>
      </c>
      <c r="Q46" s="102">
        <v>149.0</v>
      </c>
      <c r="R46" s="103"/>
      <c r="S46" s="104">
        <v>0.7</v>
      </c>
      <c r="T46" s="105">
        <v>0.703</v>
      </c>
      <c r="U46" s="105">
        <v>0.668</v>
      </c>
      <c r="V46" s="105">
        <v>0.708</v>
      </c>
      <c r="W46" s="105">
        <v>0.716</v>
      </c>
      <c r="X46" s="104">
        <v>0.324</v>
      </c>
      <c r="Y46" s="104">
        <v>0.755</v>
      </c>
      <c r="Z46" s="104">
        <v>0.807</v>
      </c>
      <c r="AA46" s="106">
        <v>47.0</v>
      </c>
      <c r="AB46" s="107">
        <v>34.0</v>
      </c>
      <c r="AC46" s="107">
        <v>46.0</v>
      </c>
      <c r="AD46" s="108">
        <v>142.0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0.721</v>
      </c>
      <c r="G47" s="101">
        <v>0.695</v>
      </c>
      <c r="H47" s="101">
        <v>0.5</v>
      </c>
      <c r="I47" s="101">
        <v>0.57</v>
      </c>
      <c r="J47" s="101">
        <v>0.788</v>
      </c>
      <c r="K47" s="101">
        <v>0.0</v>
      </c>
      <c r="L47" s="101">
        <v>1.0</v>
      </c>
      <c r="M47" s="101">
        <v>0.695</v>
      </c>
      <c r="N47" s="110">
        <v>0.0</v>
      </c>
      <c r="O47" s="110">
        <v>82.0</v>
      </c>
      <c r="P47" s="110">
        <v>0.0</v>
      </c>
      <c r="Q47" s="110">
        <v>187.0</v>
      </c>
      <c r="R47" s="103"/>
      <c r="S47" s="104">
        <v>0.754</v>
      </c>
      <c r="T47" s="105">
        <v>0.699</v>
      </c>
      <c r="U47" s="105">
        <v>0.578</v>
      </c>
      <c r="V47" s="105">
        <v>0.666</v>
      </c>
      <c r="W47" s="105">
        <v>0.667</v>
      </c>
      <c r="X47" s="104">
        <v>0.196</v>
      </c>
      <c r="Y47" s="104">
        <v>0.888</v>
      </c>
      <c r="Z47" s="104">
        <v>0.735</v>
      </c>
      <c r="AA47" s="111">
        <v>22.0</v>
      </c>
      <c r="AB47" s="112">
        <v>60.0</v>
      </c>
      <c r="AC47" s="112">
        <v>21.0</v>
      </c>
      <c r="AD47" s="113">
        <v>166.0</v>
      </c>
    </row>
    <row r="48">
      <c r="A48" s="7"/>
      <c r="B48" s="114" t="s">
        <v>47</v>
      </c>
      <c r="C48" s="30"/>
      <c r="D48" s="30"/>
      <c r="E48" s="72"/>
      <c r="F48" s="161">
        <f t="shared" ref="F48:Q48" si="33">AVERAGE(F45:F47)</f>
        <v>0.7383333333</v>
      </c>
      <c r="G48" s="115">
        <f t="shared" si="33"/>
        <v>0.714</v>
      </c>
      <c r="H48" s="115">
        <f t="shared" si="33"/>
        <v>0.6213333333</v>
      </c>
      <c r="I48" s="115">
        <f t="shared" si="33"/>
        <v>0.6736666667</v>
      </c>
      <c r="J48" s="161">
        <f t="shared" si="33"/>
        <v>0.7486666667</v>
      </c>
      <c r="K48" s="115">
        <f t="shared" si="33"/>
        <v>0.238</v>
      </c>
      <c r="L48" s="115">
        <f t="shared" si="33"/>
        <v>0.8583333333</v>
      </c>
      <c r="M48" s="115">
        <f t="shared" si="33"/>
        <v>0.7723333333</v>
      </c>
      <c r="N48" s="115">
        <f t="shared" si="33"/>
        <v>31.33333333</v>
      </c>
      <c r="O48" s="115">
        <f t="shared" si="33"/>
        <v>50.33333333</v>
      </c>
      <c r="P48" s="115">
        <f t="shared" si="33"/>
        <v>26.66666667</v>
      </c>
      <c r="Q48" s="115">
        <f t="shared" si="33"/>
        <v>161</v>
      </c>
      <c r="R48" s="116"/>
      <c r="S48" s="115">
        <f t="shared" ref="S48:AD48" si="34">AVERAGE(S45:S47)</f>
        <v>0.735</v>
      </c>
      <c r="T48" s="115">
        <f t="shared" si="34"/>
        <v>0.713</v>
      </c>
      <c r="U48" s="115">
        <f t="shared" si="34"/>
        <v>0.649</v>
      </c>
      <c r="V48" s="115">
        <f t="shared" si="34"/>
        <v>0.7046666667</v>
      </c>
      <c r="W48" s="115">
        <f t="shared" si="34"/>
        <v>0.709</v>
      </c>
      <c r="X48" s="115">
        <f t="shared" si="34"/>
        <v>0.3046666667</v>
      </c>
      <c r="Y48" s="115">
        <f t="shared" si="34"/>
        <v>0.812</v>
      </c>
      <c r="Z48" s="115">
        <f t="shared" si="34"/>
        <v>0.7883333333</v>
      </c>
      <c r="AA48" s="115">
        <f t="shared" si="34"/>
        <v>39.66666667</v>
      </c>
      <c r="AB48" s="115">
        <f t="shared" si="34"/>
        <v>42</v>
      </c>
      <c r="AC48" s="115">
        <f t="shared" si="34"/>
        <v>35.33333333</v>
      </c>
      <c r="AD48" s="118">
        <f t="shared" si="34"/>
        <v>152.3333333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0.0170098011</v>
      </c>
      <c r="G49" s="123">
        <f t="shared" si="35"/>
        <v>0.01769180601</v>
      </c>
      <c r="H49" s="123">
        <f t="shared" si="35"/>
        <v>0.1060062891</v>
      </c>
      <c r="I49" s="123">
        <f t="shared" si="35"/>
        <v>0.09009069504</v>
      </c>
      <c r="J49" s="123">
        <f t="shared" si="35"/>
        <v>0.03550117369</v>
      </c>
      <c r="K49" s="123">
        <f t="shared" si="35"/>
        <v>0.2075066264</v>
      </c>
      <c r="L49" s="123">
        <f t="shared" si="35"/>
        <v>0.1228101516</v>
      </c>
      <c r="M49" s="123">
        <f t="shared" si="35"/>
        <v>0.06771508941</v>
      </c>
      <c r="N49" s="123">
        <f t="shared" si="35"/>
        <v>27.30079364</v>
      </c>
      <c r="O49" s="123">
        <f t="shared" si="35"/>
        <v>27.53785274</v>
      </c>
      <c r="P49" s="123">
        <f t="shared" si="35"/>
        <v>23.11565126</v>
      </c>
      <c r="Q49" s="123">
        <f t="shared" si="35"/>
        <v>22.53885534</v>
      </c>
      <c r="R49" s="123"/>
      <c r="S49" s="123">
        <f t="shared" ref="S49:AD49" si="36">STDEV(S45:S47)</f>
        <v>0.03034798181</v>
      </c>
      <c r="T49" s="123">
        <f t="shared" si="36"/>
        <v>0.02088061302</v>
      </c>
      <c r="U49" s="123">
        <f t="shared" si="36"/>
        <v>0.06366317617</v>
      </c>
      <c r="V49" s="123">
        <f t="shared" si="36"/>
        <v>0.03711244176</v>
      </c>
      <c r="W49" s="123">
        <f t="shared" si="36"/>
        <v>0.03897435054</v>
      </c>
      <c r="X49" s="123">
        <f t="shared" si="36"/>
        <v>0.1004058431</v>
      </c>
      <c r="Y49" s="123">
        <f t="shared" si="36"/>
        <v>0.06850547423</v>
      </c>
      <c r="Z49" s="123">
        <f t="shared" si="36"/>
        <v>0.04687572222</v>
      </c>
      <c r="AA49" s="123">
        <f t="shared" si="36"/>
        <v>15.37313674</v>
      </c>
      <c r="AB49" s="123">
        <f t="shared" si="36"/>
        <v>15.62049935</v>
      </c>
      <c r="AC49" s="123">
        <f t="shared" si="36"/>
        <v>12.89702808</v>
      </c>
      <c r="AD49" s="123">
        <f t="shared" si="36"/>
        <v>12.34233905</v>
      </c>
    </row>
    <row r="50">
      <c r="A50" s="171" t="s">
        <v>79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0.702</v>
      </c>
      <c r="G50" s="125">
        <v>0.7</v>
      </c>
      <c r="H50" s="125">
        <v>0.547</v>
      </c>
      <c r="I50" s="125">
        <v>0.64</v>
      </c>
      <c r="J50" s="125">
        <v>0.658</v>
      </c>
      <c r="K50" s="125">
        <v>0.15</v>
      </c>
      <c r="L50" s="125">
        <v>0.936</v>
      </c>
      <c r="M50" s="125">
        <v>0.718</v>
      </c>
      <c r="N50" s="126">
        <v>13.0</v>
      </c>
      <c r="O50" s="126">
        <v>69.0</v>
      </c>
      <c r="P50" s="126">
        <v>12.0</v>
      </c>
      <c r="Q50" s="126">
        <v>176.0</v>
      </c>
      <c r="R50" s="127"/>
      <c r="S50" s="128">
        <v>0.672</v>
      </c>
      <c r="T50" s="129">
        <v>0.674</v>
      </c>
      <c r="U50" s="129">
        <v>0.584</v>
      </c>
      <c r="V50" s="129">
        <v>0.661</v>
      </c>
      <c r="W50" s="129">
        <v>0.655</v>
      </c>
      <c r="X50" s="128">
        <v>0.181</v>
      </c>
      <c r="Y50" s="128">
        <v>0.814</v>
      </c>
      <c r="Z50" s="128">
        <v>0.743</v>
      </c>
      <c r="AA50" s="148">
        <v>29.0</v>
      </c>
      <c r="AB50" s="149">
        <v>53.0</v>
      </c>
      <c r="AC50" s="149">
        <v>35.0</v>
      </c>
      <c r="AD50" s="150">
        <v>153.0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0.718</v>
      </c>
      <c r="G51" s="134">
        <v>0.717</v>
      </c>
      <c r="H51" s="134">
        <v>0.541</v>
      </c>
      <c r="I51" s="134">
        <v>0.632</v>
      </c>
      <c r="J51" s="134">
        <v>0.72</v>
      </c>
      <c r="K51" s="134">
        <v>0.192</v>
      </c>
      <c r="L51" s="134">
        <v>0.984</v>
      </c>
      <c r="M51" s="134">
        <v>0.717</v>
      </c>
      <c r="N51" s="135">
        <v>8.0</v>
      </c>
      <c r="O51" s="135">
        <v>73.0</v>
      </c>
      <c r="P51" s="135">
        <v>3.0</v>
      </c>
      <c r="Q51" s="135">
        <v>185.0</v>
      </c>
      <c r="R51" s="136"/>
      <c r="S51" s="137">
        <v>0.654</v>
      </c>
      <c r="T51" s="138">
        <v>0.717</v>
      </c>
      <c r="U51" s="138">
        <v>0.615</v>
      </c>
      <c r="V51" s="138">
        <v>0.698</v>
      </c>
      <c r="W51" s="138">
        <v>0.695</v>
      </c>
      <c r="X51" s="137">
        <v>0.266</v>
      </c>
      <c r="Y51" s="137">
        <v>0.872</v>
      </c>
      <c r="Z51" s="137">
        <v>0.759</v>
      </c>
      <c r="AA51" s="139">
        <v>29.0</v>
      </c>
      <c r="AB51" s="140">
        <v>52.0</v>
      </c>
      <c r="AC51" s="140">
        <v>24.0</v>
      </c>
      <c r="AD51" s="141">
        <v>164.0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0.789</v>
      </c>
      <c r="G52" s="143">
        <v>0.729</v>
      </c>
      <c r="H52" s="143">
        <v>0.654</v>
      </c>
      <c r="I52" s="143">
        <v>0.72</v>
      </c>
      <c r="J52" s="143">
        <v>0.717</v>
      </c>
      <c r="K52" s="143">
        <v>0.328</v>
      </c>
      <c r="L52" s="143">
        <v>0.845</v>
      </c>
      <c r="M52" s="143">
        <v>0.782</v>
      </c>
      <c r="N52" s="144">
        <v>38.0</v>
      </c>
      <c r="O52" s="144">
        <v>44.0</v>
      </c>
      <c r="P52" s="144">
        <v>29.0</v>
      </c>
      <c r="Q52" s="144">
        <v>158.0</v>
      </c>
      <c r="R52" s="145"/>
      <c r="S52" s="146">
        <v>0.757</v>
      </c>
      <c r="T52" s="147">
        <v>0.71</v>
      </c>
      <c r="U52" s="147">
        <v>0.583</v>
      </c>
      <c r="V52" s="147">
        <v>0.672</v>
      </c>
      <c r="W52" s="147">
        <v>0.68</v>
      </c>
      <c r="X52" s="146">
        <v>0.218</v>
      </c>
      <c r="Y52" s="146">
        <v>0.909</v>
      </c>
      <c r="Z52" s="146">
        <v>0.736</v>
      </c>
      <c r="AA52" s="148">
        <v>21.0</v>
      </c>
      <c r="AB52" s="149">
        <v>61.0</v>
      </c>
      <c r="AC52" s="149">
        <v>17.0</v>
      </c>
      <c r="AD52" s="150">
        <v>170.0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0.7363333333</v>
      </c>
      <c r="G53" s="151">
        <f t="shared" si="37"/>
        <v>0.7153333333</v>
      </c>
      <c r="H53" s="151">
        <f t="shared" si="37"/>
        <v>0.5806666667</v>
      </c>
      <c r="I53" s="151">
        <f t="shared" si="37"/>
        <v>0.664</v>
      </c>
      <c r="J53" s="151">
        <f t="shared" si="37"/>
        <v>0.6983333333</v>
      </c>
      <c r="K53" s="151">
        <f t="shared" si="37"/>
        <v>0.2233333333</v>
      </c>
      <c r="L53" s="151">
        <f t="shared" si="37"/>
        <v>0.9216666667</v>
      </c>
      <c r="M53" s="151">
        <f t="shared" si="37"/>
        <v>0.739</v>
      </c>
      <c r="N53" s="151">
        <f t="shared" si="37"/>
        <v>19.66666667</v>
      </c>
      <c r="O53" s="151">
        <f t="shared" si="37"/>
        <v>62</v>
      </c>
      <c r="P53" s="151">
        <f t="shared" si="37"/>
        <v>14.66666667</v>
      </c>
      <c r="Q53" s="151">
        <f t="shared" si="37"/>
        <v>173</v>
      </c>
      <c r="R53" s="152"/>
      <c r="S53" s="151">
        <f t="shared" ref="S53:AD53" si="38">AVERAGE(S50:S52)</f>
        <v>0.6943333333</v>
      </c>
      <c r="T53" s="151">
        <f t="shared" si="38"/>
        <v>0.7003333333</v>
      </c>
      <c r="U53" s="151">
        <f t="shared" si="38"/>
        <v>0.594</v>
      </c>
      <c r="V53" s="151">
        <f t="shared" si="38"/>
        <v>0.677</v>
      </c>
      <c r="W53" s="151">
        <f t="shared" si="38"/>
        <v>0.6766666667</v>
      </c>
      <c r="X53" s="151">
        <f t="shared" si="38"/>
        <v>0.2216666667</v>
      </c>
      <c r="Y53" s="151">
        <f t="shared" si="38"/>
        <v>0.865</v>
      </c>
      <c r="Z53" s="151">
        <f t="shared" si="38"/>
        <v>0.746</v>
      </c>
      <c r="AA53" s="151">
        <f t="shared" si="38"/>
        <v>26.33333333</v>
      </c>
      <c r="AB53" s="151">
        <f t="shared" si="38"/>
        <v>55.33333333</v>
      </c>
      <c r="AC53" s="151">
        <f t="shared" si="38"/>
        <v>25.33333333</v>
      </c>
      <c r="AD53" s="153">
        <f t="shared" si="38"/>
        <v>162.3333333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0.04630694692</v>
      </c>
      <c r="G54" s="154">
        <f t="shared" si="39"/>
        <v>0.014571662</v>
      </c>
      <c r="H54" s="154">
        <f t="shared" si="39"/>
        <v>0.06357934675</v>
      </c>
      <c r="I54" s="154">
        <f t="shared" si="39"/>
        <v>0.04866210024</v>
      </c>
      <c r="J54" s="154">
        <f t="shared" si="39"/>
        <v>0.03496188401</v>
      </c>
      <c r="K54" s="154">
        <f t="shared" si="39"/>
        <v>0.09304479208</v>
      </c>
      <c r="L54" s="154">
        <f t="shared" si="39"/>
        <v>0.07059981114</v>
      </c>
      <c r="M54" s="154">
        <f t="shared" si="39"/>
        <v>0.0372424489</v>
      </c>
      <c r="N54" s="154">
        <f t="shared" si="39"/>
        <v>16.07275127</v>
      </c>
      <c r="O54" s="154">
        <f t="shared" si="39"/>
        <v>15.71623365</v>
      </c>
      <c r="P54" s="154">
        <f t="shared" si="39"/>
        <v>13.20353488</v>
      </c>
      <c r="Q54" s="154">
        <f t="shared" si="39"/>
        <v>13.74772708</v>
      </c>
      <c r="R54" s="154"/>
      <c r="S54" s="154">
        <f t="shared" ref="S54:AD54" si="40">STDEV(S50:S52)</f>
        <v>0.05501211988</v>
      </c>
      <c r="T54" s="154">
        <f t="shared" si="40"/>
        <v>0.02307234997</v>
      </c>
      <c r="U54" s="154">
        <f t="shared" si="40"/>
        <v>0.0181934054</v>
      </c>
      <c r="V54" s="154">
        <f t="shared" si="40"/>
        <v>0.019</v>
      </c>
      <c r="W54" s="154">
        <f t="shared" si="40"/>
        <v>0.02020725942</v>
      </c>
      <c r="X54" s="154">
        <f t="shared" si="40"/>
        <v>0.04261846235</v>
      </c>
      <c r="Y54" s="154">
        <f t="shared" si="40"/>
        <v>0.04788527958</v>
      </c>
      <c r="Z54" s="154">
        <f t="shared" si="40"/>
        <v>0.01178982612</v>
      </c>
      <c r="AA54" s="154">
        <f t="shared" si="40"/>
        <v>4.618802154</v>
      </c>
      <c r="AB54" s="154">
        <f t="shared" si="40"/>
        <v>4.932882862</v>
      </c>
      <c r="AC54" s="154">
        <f t="shared" si="40"/>
        <v>9.073771726</v>
      </c>
      <c r="AD54" s="154">
        <f t="shared" si="40"/>
        <v>8.621678104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0.7201666667</v>
      </c>
      <c r="G55" s="167">
        <f t="shared" si="41"/>
        <v>0.7109</v>
      </c>
      <c r="H55" s="167">
        <f t="shared" si="41"/>
        <v>0.6048666667</v>
      </c>
      <c r="I55" s="167">
        <f t="shared" si="41"/>
        <v>0.6725</v>
      </c>
      <c r="J55" s="167">
        <f t="shared" si="41"/>
        <v>0.7113666667</v>
      </c>
      <c r="K55" s="167">
        <f t="shared" si="41"/>
        <v>0.2323</v>
      </c>
      <c r="L55" s="167">
        <f t="shared" si="41"/>
        <v>0.8747666667</v>
      </c>
      <c r="M55" s="167">
        <f t="shared" si="41"/>
        <v>0.7578333333</v>
      </c>
      <c r="N55" s="167">
        <f t="shared" si="41"/>
        <v>27.33333333</v>
      </c>
      <c r="O55" s="167">
        <f t="shared" si="41"/>
        <v>54.33333333</v>
      </c>
      <c r="P55" s="167">
        <f t="shared" si="41"/>
        <v>23.53333333</v>
      </c>
      <c r="Q55" s="167">
        <f t="shared" si="41"/>
        <v>164.1333333</v>
      </c>
      <c r="R55" s="168"/>
      <c r="S55" s="167">
        <f t="shared" ref="S55:AD55" si="42">AVERAGE(S8, S13, S18, S23,S28,S33,S38,S43,S48,S53)</f>
        <v>0.7074</v>
      </c>
      <c r="T55" s="167">
        <f t="shared" si="42"/>
        <v>0.6913</v>
      </c>
      <c r="U55" s="167">
        <f t="shared" si="42"/>
        <v>0.6143333333</v>
      </c>
      <c r="V55" s="167">
        <f t="shared" si="42"/>
        <v>0.6757666667</v>
      </c>
      <c r="W55" s="167">
        <f t="shared" si="42"/>
        <v>0.6888333333</v>
      </c>
      <c r="X55" s="167">
        <f t="shared" si="42"/>
        <v>0.2466333333</v>
      </c>
      <c r="Y55" s="167">
        <f t="shared" si="42"/>
        <v>0.8099333333</v>
      </c>
      <c r="Z55" s="167">
        <f t="shared" si="42"/>
        <v>0.7678666667</v>
      </c>
      <c r="AA55" s="167">
        <f t="shared" si="42"/>
        <v>34.2</v>
      </c>
      <c r="AB55" s="167">
        <f t="shared" si="42"/>
        <v>47.46666667</v>
      </c>
      <c r="AC55" s="167">
        <f t="shared" si="42"/>
        <v>35.66666667</v>
      </c>
      <c r="AD55" s="167">
        <f t="shared" si="42"/>
        <v>152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STDEV(F8,F13,F18,F23,F28,F33,F38,F43,F48,F53)</f>
        <v>0.01695327639</v>
      </c>
      <c r="G57" s="168">
        <f t="shared" si="43"/>
        <v>0.0153277365</v>
      </c>
      <c r="H57" s="168">
        <f t="shared" si="43"/>
        <v>0.02417283446</v>
      </c>
      <c r="I57" s="168">
        <f t="shared" si="43"/>
        <v>0.01989928344</v>
      </c>
      <c r="J57" s="168">
        <f t="shared" si="43"/>
        <v>0.02904039332</v>
      </c>
      <c r="K57" s="168">
        <f t="shared" si="43"/>
        <v>0.04508358492</v>
      </c>
      <c r="L57" s="168">
        <f t="shared" si="43"/>
        <v>0.04015096512</v>
      </c>
      <c r="M57" s="168">
        <f t="shared" si="43"/>
        <v>0.01650233803</v>
      </c>
      <c r="N57" s="168">
        <f t="shared" si="43"/>
        <v>6.236095645</v>
      </c>
      <c r="O57" s="168">
        <f t="shared" si="43"/>
        <v>6.236095645</v>
      </c>
      <c r="P57" s="168">
        <f t="shared" si="43"/>
        <v>7.554248253</v>
      </c>
      <c r="Q57" s="168">
        <f t="shared" si="43"/>
        <v>7.554248253</v>
      </c>
      <c r="R57" s="168"/>
      <c r="S57" s="168">
        <f t="shared" ref="S57:AD57" si="44">STDEV(S8,S13,S18,S23,S28,S33,S38,S43,S48,S53)</f>
        <v>0.0227198722</v>
      </c>
      <c r="T57" s="168">
        <f t="shared" si="44"/>
        <v>0.02927116729</v>
      </c>
      <c r="U57" s="168">
        <f t="shared" si="44"/>
        <v>0.02559369135</v>
      </c>
      <c r="V57" s="168">
        <f t="shared" si="44"/>
        <v>0.02667548465</v>
      </c>
      <c r="W57" s="168">
        <f t="shared" si="44"/>
        <v>0.01748809119</v>
      </c>
      <c r="X57" s="168">
        <f t="shared" si="44"/>
        <v>0.04503673398</v>
      </c>
      <c r="Y57" s="168">
        <f t="shared" si="44"/>
        <v>0.07275068198</v>
      </c>
      <c r="Z57" s="168">
        <f t="shared" si="44"/>
        <v>0.01959541393</v>
      </c>
      <c r="AA57" s="168">
        <f t="shared" si="44"/>
        <v>7.99258916</v>
      </c>
      <c r="AB57" s="168">
        <f t="shared" si="44"/>
        <v>7.99258916</v>
      </c>
      <c r="AC57" s="168">
        <f t="shared" si="44"/>
        <v>13.64904012</v>
      </c>
      <c r="AD57" s="168">
        <f t="shared" si="44"/>
        <v>13.64904012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80</v>
      </c>
      <c r="O2" s="77" t="s">
        <v>3</v>
      </c>
      <c r="P2" s="77" t="s">
        <v>4</v>
      </c>
      <c r="Q2" s="77" t="s">
        <v>81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82</v>
      </c>
      <c r="AB2" s="77" t="s">
        <v>3</v>
      </c>
      <c r="AC2" s="77" t="s">
        <v>4</v>
      </c>
      <c r="AD2" s="78" t="s">
        <v>83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84</v>
      </c>
      <c r="B5" s="88">
        <v>1.0</v>
      </c>
      <c r="C5" s="89" t="b">
        <v>1</v>
      </c>
      <c r="D5" s="89" t="s">
        <v>43</v>
      </c>
      <c r="E5" s="89" t="s">
        <v>44</v>
      </c>
      <c r="F5" s="90">
        <v>0.767</v>
      </c>
      <c r="G5" s="91">
        <v>0.722</v>
      </c>
      <c r="H5" s="91">
        <v>0.68</v>
      </c>
      <c r="I5" s="91">
        <v>0.724</v>
      </c>
      <c r="J5" s="91">
        <v>0.727</v>
      </c>
      <c r="K5" s="91">
        <v>0.355</v>
      </c>
      <c r="L5" s="91">
        <v>0.787</v>
      </c>
      <c r="M5" s="91">
        <v>0.809</v>
      </c>
      <c r="N5" s="92">
        <v>47.0</v>
      </c>
      <c r="O5" s="92">
        <v>35.0</v>
      </c>
      <c r="P5" s="92">
        <v>40.0</v>
      </c>
      <c r="Q5" s="92">
        <v>148.0</v>
      </c>
      <c r="R5" s="93"/>
      <c r="S5" s="94">
        <v>0.769</v>
      </c>
      <c r="T5" s="95">
        <v>0.7</v>
      </c>
      <c r="U5" s="95">
        <v>0.688</v>
      </c>
      <c r="V5" s="95">
        <v>0.709</v>
      </c>
      <c r="W5" s="95">
        <v>0.73</v>
      </c>
      <c r="X5" s="94">
        <v>0.354</v>
      </c>
      <c r="Y5" s="94">
        <v>0.718</v>
      </c>
      <c r="Z5" s="94">
        <v>0.828</v>
      </c>
      <c r="AA5" s="96">
        <v>54.0</v>
      </c>
      <c r="AB5" s="97">
        <v>28.0</v>
      </c>
      <c r="AC5" s="97">
        <v>53.0</v>
      </c>
      <c r="AD5" s="98">
        <v>135.0</v>
      </c>
    </row>
    <row r="6">
      <c r="A6" s="7"/>
      <c r="C6" s="203" t="b">
        <v>1</v>
      </c>
      <c r="D6" s="99" t="s">
        <v>43</v>
      </c>
      <c r="E6" s="99" t="s">
        <v>45</v>
      </c>
      <c r="F6" s="100">
        <v>0.722</v>
      </c>
      <c r="G6" s="101">
        <v>0.725</v>
      </c>
      <c r="H6" s="101">
        <v>0.638</v>
      </c>
      <c r="I6" s="101">
        <v>0.712</v>
      </c>
      <c r="J6" s="101">
        <v>0.709</v>
      </c>
      <c r="K6" s="101">
        <v>0.303</v>
      </c>
      <c r="L6" s="101">
        <v>0.856</v>
      </c>
      <c r="M6" s="101">
        <v>0.774</v>
      </c>
      <c r="N6" s="102">
        <v>34.0</v>
      </c>
      <c r="O6" s="102">
        <v>47.0</v>
      </c>
      <c r="P6" s="102">
        <v>27.0</v>
      </c>
      <c r="Q6" s="102">
        <v>161.0</v>
      </c>
      <c r="R6" s="103"/>
      <c r="S6" s="104">
        <v>0.715</v>
      </c>
      <c r="T6" s="105">
        <v>0.703</v>
      </c>
      <c r="U6" s="105">
        <v>0.633</v>
      </c>
      <c r="V6" s="105">
        <v>0.698</v>
      </c>
      <c r="W6" s="105">
        <v>0.695</v>
      </c>
      <c r="X6" s="104">
        <v>0.274</v>
      </c>
      <c r="Y6" s="104">
        <v>0.809</v>
      </c>
      <c r="Z6" s="104">
        <v>0.776</v>
      </c>
      <c r="AA6" s="106">
        <v>37.0</v>
      </c>
      <c r="AB6" s="107">
        <v>44.0</v>
      </c>
      <c r="AC6" s="107">
        <v>36.0</v>
      </c>
      <c r="AD6" s="108">
        <v>152.0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00">
        <v>0.768</v>
      </c>
      <c r="G7" s="101">
        <v>0.725</v>
      </c>
      <c r="H7" s="101">
        <v>0.586</v>
      </c>
      <c r="I7" s="101">
        <v>0.678</v>
      </c>
      <c r="J7" s="101">
        <v>0.705</v>
      </c>
      <c r="K7" s="101">
        <v>0.253</v>
      </c>
      <c r="L7" s="101">
        <v>0.941</v>
      </c>
      <c r="M7" s="101">
        <v>0.736</v>
      </c>
      <c r="N7" s="110">
        <v>19.0</v>
      </c>
      <c r="O7" s="110">
        <v>63.0</v>
      </c>
      <c r="P7" s="110">
        <v>11.0</v>
      </c>
      <c r="Q7" s="110">
        <v>176.0</v>
      </c>
      <c r="R7" s="103"/>
      <c r="S7" s="104">
        <v>0.736</v>
      </c>
      <c r="T7" s="105">
        <v>0.691</v>
      </c>
      <c r="U7" s="105">
        <v>0.651</v>
      </c>
      <c r="V7" s="105">
        <v>0.696</v>
      </c>
      <c r="W7" s="105">
        <v>0.701</v>
      </c>
      <c r="X7" s="104">
        <v>0.295</v>
      </c>
      <c r="Y7" s="104">
        <v>0.754</v>
      </c>
      <c r="Z7" s="104">
        <v>0.792</v>
      </c>
      <c r="AA7" s="111">
        <v>45.0</v>
      </c>
      <c r="AB7" s="112">
        <v>37.0</v>
      </c>
      <c r="AC7" s="112">
        <v>46.0</v>
      </c>
      <c r="AD7" s="113">
        <v>141.0</v>
      </c>
    </row>
    <row r="8">
      <c r="A8" s="7"/>
      <c r="B8" s="114" t="s">
        <v>47</v>
      </c>
      <c r="C8" s="30"/>
      <c r="D8" s="30"/>
      <c r="E8" s="72"/>
      <c r="F8" s="115">
        <f t="shared" ref="F8:Q8" si="1">AVERAGE(F5:F7)</f>
        <v>0.7523333333</v>
      </c>
      <c r="G8" s="115">
        <f t="shared" si="1"/>
        <v>0.724</v>
      </c>
      <c r="H8" s="115">
        <f t="shared" si="1"/>
        <v>0.6346666667</v>
      </c>
      <c r="I8" s="115">
        <f t="shared" si="1"/>
        <v>0.7046666667</v>
      </c>
      <c r="J8" s="117">
        <f t="shared" si="1"/>
        <v>0.7136666667</v>
      </c>
      <c r="K8" s="115">
        <f t="shared" si="1"/>
        <v>0.3036666667</v>
      </c>
      <c r="L8" s="115">
        <f t="shared" si="1"/>
        <v>0.8613333333</v>
      </c>
      <c r="M8" s="115">
        <f t="shared" si="1"/>
        <v>0.773</v>
      </c>
      <c r="N8" s="115">
        <f t="shared" si="1"/>
        <v>33.33333333</v>
      </c>
      <c r="O8" s="115">
        <f t="shared" si="1"/>
        <v>48.33333333</v>
      </c>
      <c r="P8" s="115">
        <f t="shared" si="1"/>
        <v>26</v>
      </c>
      <c r="Q8" s="115">
        <f t="shared" si="1"/>
        <v>161.6666667</v>
      </c>
      <c r="R8" s="116"/>
      <c r="S8" s="115">
        <f t="shared" ref="S8:AD8" si="2">AVERAGE(S5:S7)</f>
        <v>0.74</v>
      </c>
      <c r="T8" s="117">
        <f t="shared" si="2"/>
        <v>0.698</v>
      </c>
      <c r="U8" s="115">
        <f t="shared" si="2"/>
        <v>0.6573333333</v>
      </c>
      <c r="V8" s="115">
        <f t="shared" si="2"/>
        <v>0.701</v>
      </c>
      <c r="W8" s="115">
        <f t="shared" si="2"/>
        <v>0.7086666667</v>
      </c>
      <c r="X8" s="115">
        <f t="shared" si="2"/>
        <v>0.3076666667</v>
      </c>
      <c r="Y8" s="115">
        <f t="shared" si="2"/>
        <v>0.7603333333</v>
      </c>
      <c r="Z8" s="115">
        <f t="shared" si="2"/>
        <v>0.7986666667</v>
      </c>
      <c r="AA8" s="115">
        <f t="shared" si="2"/>
        <v>45.33333333</v>
      </c>
      <c r="AB8" s="115">
        <f t="shared" si="2"/>
        <v>36.33333333</v>
      </c>
      <c r="AC8" s="115">
        <f t="shared" si="2"/>
        <v>45</v>
      </c>
      <c r="AD8" s="118">
        <f t="shared" si="2"/>
        <v>142.6666667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0.0262741952</v>
      </c>
      <c r="G9" s="123">
        <f t="shared" si="3"/>
        <v>0.001732050808</v>
      </c>
      <c r="H9" s="123">
        <f t="shared" si="3"/>
        <v>0.04708856903</v>
      </c>
      <c r="I9" s="123">
        <f t="shared" si="3"/>
        <v>0.02386070689</v>
      </c>
      <c r="J9" s="123">
        <f t="shared" si="3"/>
        <v>0.01171893055</v>
      </c>
      <c r="K9" s="123">
        <f t="shared" si="3"/>
        <v>0.05100326787</v>
      </c>
      <c r="L9" s="123">
        <f t="shared" si="3"/>
        <v>0.07713840375</v>
      </c>
      <c r="M9" s="123">
        <f t="shared" si="3"/>
        <v>0.03651027253</v>
      </c>
      <c r="N9" s="123">
        <f t="shared" si="3"/>
        <v>14.0118997</v>
      </c>
      <c r="O9" s="123">
        <f t="shared" si="3"/>
        <v>14.04753834</v>
      </c>
      <c r="P9" s="123">
        <f t="shared" si="3"/>
        <v>14.52583905</v>
      </c>
      <c r="Q9" s="123">
        <f t="shared" si="3"/>
        <v>14.0118997</v>
      </c>
      <c r="R9" s="123"/>
      <c r="S9" s="123">
        <f t="shared" ref="S9:AD9" si="4">STDEV(S5:S7)</f>
        <v>0.02722131518</v>
      </c>
      <c r="T9" s="123">
        <f t="shared" si="4"/>
        <v>0.006244997998</v>
      </c>
      <c r="U9" s="123">
        <f t="shared" si="4"/>
        <v>0.02804163571</v>
      </c>
      <c r="V9" s="123">
        <f t="shared" si="4"/>
        <v>0.007</v>
      </c>
      <c r="W9" s="123">
        <f t="shared" si="4"/>
        <v>0.01871719352</v>
      </c>
      <c r="X9" s="123">
        <f t="shared" si="4"/>
        <v>0.0414769012</v>
      </c>
      <c r="Y9" s="123">
        <f t="shared" si="4"/>
        <v>0.04582939377</v>
      </c>
      <c r="Z9" s="123">
        <f t="shared" si="4"/>
        <v>0.02663331247</v>
      </c>
      <c r="AA9" s="123">
        <f t="shared" si="4"/>
        <v>8.504900548</v>
      </c>
      <c r="AB9" s="123">
        <f t="shared" si="4"/>
        <v>8.020806277</v>
      </c>
      <c r="AC9" s="123">
        <f t="shared" si="4"/>
        <v>8.544003745</v>
      </c>
      <c r="AD9" s="123">
        <f t="shared" si="4"/>
        <v>8.621678104</v>
      </c>
    </row>
    <row r="10">
      <c r="A10" s="171" t="s">
        <v>84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0.792</v>
      </c>
      <c r="G10" s="91">
        <v>0.774</v>
      </c>
      <c r="H10" s="91">
        <v>0.738</v>
      </c>
      <c r="I10" s="91">
        <v>0.775</v>
      </c>
      <c r="J10" s="91">
        <v>0.777</v>
      </c>
      <c r="K10" s="91">
        <v>0.471</v>
      </c>
      <c r="L10" s="91">
        <v>0.83</v>
      </c>
      <c r="M10" s="91">
        <v>0.843</v>
      </c>
      <c r="N10" s="204">
        <v>53.0</v>
      </c>
      <c r="O10" s="205">
        <v>29.0</v>
      </c>
      <c r="P10" s="205">
        <v>32.0</v>
      </c>
      <c r="Q10" s="206">
        <v>156.0</v>
      </c>
      <c r="R10" s="93"/>
      <c r="S10" s="94">
        <v>0.729</v>
      </c>
      <c r="T10" s="95">
        <v>0.756</v>
      </c>
      <c r="U10" s="95">
        <v>0.687</v>
      </c>
      <c r="V10" s="95">
        <v>0.749</v>
      </c>
      <c r="W10" s="95">
        <v>0.746</v>
      </c>
      <c r="X10" s="94">
        <v>0.396</v>
      </c>
      <c r="Y10" s="94">
        <v>0.862</v>
      </c>
      <c r="Z10" s="94">
        <v>0.802</v>
      </c>
      <c r="AA10" s="96">
        <v>42.0</v>
      </c>
      <c r="AB10" s="97">
        <v>40.0</v>
      </c>
      <c r="AC10" s="97">
        <v>26.0</v>
      </c>
      <c r="AD10" s="98">
        <v>162.0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0.76</v>
      </c>
      <c r="G11" s="101">
        <v>0.773</v>
      </c>
      <c r="H11" s="101">
        <v>0.701</v>
      </c>
      <c r="I11" s="101">
        <v>0.765</v>
      </c>
      <c r="J11" s="101">
        <v>0.764</v>
      </c>
      <c r="K11" s="101">
        <v>0.433</v>
      </c>
      <c r="L11" s="101">
        <v>0.883</v>
      </c>
      <c r="M11" s="101">
        <v>0.81</v>
      </c>
      <c r="N11" s="102">
        <v>42.0</v>
      </c>
      <c r="O11" s="102">
        <v>39.0</v>
      </c>
      <c r="P11" s="102">
        <v>22.0</v>
      </c>
      <c r="Q11" s="102">
        <v>166.0</v>
      </c>
      <c r="R11" s="103"/>
      <c r="S11" s="104">
        <v>0.738</v>
      </c>
      <c r="T11" s="105">
        <v>0.743</v>
      </c>
      <c r="U11" s="105">
        <v>0.69</v>
      </c>
      <c r="V11" s="105">
        <v>0.742</v>
      </c>
      <c r="W11" s="105">
        <v>0.741</v>
      </c>
      <c r="X11" s="104">
        <v>0.384</v>
      </c>
      <c r="Y11" s="104">
        <v>0.824</v>
      </c>
      <c r="Z11" s="104">
        <v>0.812</v>
      </c>
      <c r="AA11" s="106">
        <v>45.0</v>
      </c>
      <c r="AB11" s="107">
        <v>36.0</v>
      </c>
      <c r="AC11" s="107">
        <v>33.0</v>
      </c>
      <c r="AD11" s="108">
        <v>155.0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0.804</v>
      </c>
      <c r="G12" s="101">
        <v>0.71</v>
      </c>
      <c r="H12" s="101">
        <v>0.596</v>
      </c>
      <c r="I12" s="101">
        <v>0.682</v>
      </c>
      <c r="J12" s="101">
        <v>0.683</v>
      </c>
      <c r="K12" s="101">
        <v>0.235</v>
      </c>
      <c r="L12" s="101">
        <v>0.888</v>
      </c>
      <c r="M12" s="101">
        <v>0.744</v>
      </c>
      <c r="N12" s="110">
        <v>25.0</v>
      </c>
      <c r="O12" s="110">
        <v>57.0</v>
      </c>
      <c r="P12" s="110">
        <v>21.0</v>
      </c>
      <c r="Q12" s="110">
        <v>166.0</v>
      </c>
      <c r="R12" s="103"/>
      <c r="S12" s="104">
        <v>0.802</v>
      </c>
      <c r="T12" s="105">
        <v>0.729</v>
      </c>
      <c r="U12" s="105">
        <v>0.599</v>
      </c>
      <c r="V12" s="105">
        <v>0.689</v>
      </c>
      <c r="W12" s="105">
        <v>0.709</v>
      </c>
      <c r="X12" s="104">
        <v>0.272</v>
      </c>
      <c r="Y12" s="104">
        <v>0.93</v>
      </c>
      <c r="Z12" s="104">
        <v>0.744</v>
      </c>
      <c r="AA12" s="111">
        <v>22.0</v>
      </c>
      <c r="AB12" s="112">
        <v>60.0</v>
      </c>
      <c r="AC12" s="112">
        <v>13.0</v>
      </c>
      <c r="AD12" s="113">
        <v>174.0</v>
      </c>
    </row>
    <row r="13">
      <c r="A13" s="7"/>
      <c r="B13" s="114" t="s">
        <v>47</v>
      </c>
      <c r="C13" s="30"/>
      <c r="D13" s="30"/>
      <c r="E13" s="72"/>
      <c r="F13" s="161">
        <f t="shared" ref="F13:Q13" si="5">AVERAGE(F10:F12)</f>
        <v>0.7853333333</v>
      </c>
      <c r="G13" s="161">
        <f t="shared" si="5"/>
        <v>0.7523333333</v>
      </c>
      <c r="H13" s="161">
        <f t="shared" si="5"/>
        <v>0.6783333333</v>
      </c>
      <c r="I13" s="161">
        <f t="shared" si="5"/>
        <v>0.7406666667</v>
      </c>
      <c r="J13" s="161">
        <f t="shared" si="5"/>
        <v>0.7413333333</v>
      </c>
      <c r="K13" s="161">
        <f t="shared" si="5"/>
        <v>0.3796666667</v>
      </c>
      <c r="L13" s="117">
        <f t="shared" si="5"/>
        <v>0.867</v>
      </c>
      <c r="M13" s="115">
        <f t="shared" si="5"/>
        <v>0.799</v>
      </c>
      <c r="N13" s="115">
        <f t="shared" si="5"/>
        <v>40</v>
      </c>
      <c r="O13" s="115">
        <f t="shared" si="5"/>
        <v>41.66666667</v>
      </c>
      <c r="P13" s="115">
        <f t="shared" si="5"/>
        <v>25</v>
      </c>
      <c r="Q13" s="115">
        <f t="shared" si="5"/>
        <v>162.6666667</v>
      </c>
      <c r="R13" s="116"/>
      <c r="S13" s="117">
        <f t="shared" ref="S13:AD13" si="6">AVERAGE(S10:S12)</f>
        <v>0.7563333333</v>
      </c>
      <c r="T13" s="115">
        <f t="shared" si="6"/>
        <v>0.7426666667</v>
      </c>
      <c r="U13" s="115">
        <f t="shared" si="6"/>
        <v>0.6586666667</v>
      </c>
      <c r="V13" s="117">
        <f t="shared" si="6"/>
        <v>0.7266666667</v>
      </c>
      <c r="W13" s="115">
        <f t="shared" si="6"/>
        <v>0.732</v>
      </c>
      <c r="X13" s="115">
        <f t="shared" si="6"/>
        <v>0.3506666667</v>
      </c>
      <c r="Y13" s="115">
        <f t="shared" si="6"/>
        <v>0.872</v>
      </c>
      <c r="Z13" s="115">
        <f t="shared" si="6"/>
        <v>0.786</v>
      </c>
      <c r="AA13" s="115">
        <f t="shared" si="6"/>
        <v>36.33333333</v>
      </c>
      <c r="AB13" s="115">
        <f t="shared" si="6"/>
        <v>45.33333333</v>
      </c>
      <c r="AC13" s="115">
        <f t="shared" si="6"/>
        <v>24</v>
      </c>
      <c r="AD13" s="118">
        <f t="shared" si="6"/>
        <v>163.6666667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0.02274496281</v>
      </c>
      <c r="G14" s="123">
        <f t="shared" si="7"/>
        <v>0.03666515148</v>
      </c>
      <c r="H14" s="123">
        <f t="shared" si="7"/>
        <v>0.07366365001</v>
      </c>
      <c r="I14" s="123">
        <f t="shared" si="7"/>
        <v>0.05105226081</v>
      </c>
      <c r="J14" s="123">
        <f t="shared" si="7"/>
        <v>0.05093459859</v>
      </c>
      <c r="K14" s="123">
        <f t="shared" si="7"/>
        <v>0.1267175336</v>
      </c>
      <c r="L14" s="123">
        <f t="shared" si="7"/>
        <v>0.03214031736</v>
      </c>
      <c r="M14" s="123">
        <f t="shared" si="7"/>
        <v>0.05040833264</v>
      </c>
      <c r="N14" s="123">
        <f t="shared" si="7"/>
        <v>14.10673598</v>
      </c>
      <c r="O14" s="123">
        <f t="shared" si="7"/>
        <v>14.18919777</v>
      </c>
      <c r="P14" s="123">
        <f t="shared" si="7"/>
        <v>6.08276253</v>
      </c>
      <c r="Q14" s="123">
        <f t="shared" si="7"/>
        <v>5.773502692</v>
      </c>
      <c r="R14" s="123"/>
      <c r="S14" s="123">
        <f t="shared" ref="S14:AD14" si="8">STDEV(S10:S12)</f>
        <v>0.03980368492</v>
      </c>
      <c r="T14" s="123">
        <f t="shared" si="8"/>
        <v>0.01350308607</v>
      </c>
      <c r="U14" s="123">
        <f t="shared" si="8"/>
        <v>0.0516946161</v>
      </c>
      <c r="V14" s="123">
        <f t="shared" si="8"/>
        <v>0.03280751946</v>
      </c>
      <c r="W14" s="123">
        <f t="shared" si="8"/>
        <v>0.0200748599</v>
      </c>
      <c r="X14" s="123">
        <f t="shared" si="8"/>
        <v>0.06839103255</v>
      </c>
      <c r="Y14" s="123">
        <f t="shared" si="8"/>
        <v>0.05370288633</v>
      </c>
      <c r="Z14" s="123">
        <f t="shared" si="8"/>
        <v>0.0367151195</v>
      </c>
      <c r="AA14" s="123">
        <f t="shared" si="8"/>
        <v>12.50333289</v>
      </c>
      <c r="AB14" s="123">
        <f t="shared" si="8"/>
        <v>12.85820101</v>
      </c>
      <c r="AC14" s="123">
        <f t="shared" si="8"/>
        <v>10.14889157</v>
      </c>
      <c r="AD14" s="123">
        <f t="shared" si="8"/>
        <v>9.609023537</v>
      </c>
    </row>
    <row r="15">
      <c r="A15" s="171" t="s">
        <v>84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0.761</v>
      </c>
      <c r="G15" s="91">
        <v>0.73</v>
      </c>
      <c r="H15" s="91">
        <v>0.672</v>
      </c>
      <c r="I15" s="91">
        <v>0.727</v>
      </c>
      <c r="J15" s="91">
        <v>0.725</v>
      </c>
      <c r="K15" s="91">
        <v>0.35</v>
      </c>
      <c r="L15" s="91">
        <v>0.819</v>
      </c>
      <c r="M15" s="91">
        <v>0.798</v>
      </c>
      <c r="N15" s="92">
        <v>43.0</v>
      </c>
      <c r="O15" s="92">
        <v>39.0</v>
      </c>
      <c r="P15" s="92">
        <v>34.0</v>
      </c>
      <c r="Q15" s="92">
        <v>154.0</v>
      </c>
      <c r="R15" s="93"/>
      <c r="S15" s="94">
        <v>0.745</v>
      </c>
      <c r="T15" s="95">
        <v>0.744</v>
      </c>
      <c r="U15" s="95">
        <v>0.686</v>
      </c>
      <c r="V15" s="95">
        <v>0.741</v>
      </c>
      <c r="W15" s="95">
        <v>0.739</v>
      </c>
      <c r="X15" s="94">
        <v>0.382</v>
      </c>
      <c r="Y15" s="94">
        <v>0.835</v>
      </c>
      <c r="Z15" s="94">
        <v>0.805</v>
      </c>
      <c r="AA15" s="96">
        <v>44.0</v>
      </c>
      <c r="AB15" s="97">
        <v>38.0</v>
      </c>
      <c r="AC15" s="97">
        <v>31.0</v>
      </c>
      <c r="AD15" s="98">
        <v>157.0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0.739</v>
      </c>
      <c r="G16" s="101">
        <v>0.747</v>
      </c>
      <c r="H16" s="101">
        <v>0.636</v>
      </c>
      <c r="I16" s="101">
        <v>0.722</v>
      </c>
      <c r="J16" s="101">
        <v>0.731</v>
      </c>
      <c r="K16" s="101">
        <v>0.335</v>
      </c>
      <c r="L16" s="101">
        <v>0.915</v>
      </c>
      <c r="M16" s="101">
        <v>0.768</v>
      </c>
      <c r="N16" s="102">
        <v>29.0</v>
      </c>
      <c r="O16" s="102">
        <v>52.0</v>
      </c>
      <c r="P16" s="102">
        <v>16.0</v>
      </c>
      <c r="Q16" s="102">
        <v>172.0</v>
      </c>
      <c r="R16" s="103"/>
      <c r="S16" s="104">
        <v>0.717</v>
      </c>
      <c r="T16" s="105">
        <v>0.71</v>
      </c>
      <c r="U16" s="105">
        <v>0.656</v>
      </c>
      <c r="V16" s="105">
        <v>0.71</v>
      </c>
      <c r="W16" s="105">
        <v>0.71</v>
      </c>
      <c r="X16" s="104">
        <v>0.311</v>
      </c>
      <c r="Y16" s="104">
        <v>0.793</v>
      </c>
      <c r="Z16" s="104">
        <v>0.793</v>
      </c>
      <c r="AA16" s="106">
        <v>42.0</v>
      </c>
      <c r="AB16" s="107">
        <v>39.0</v>
      </c>
      <c r="AC16" s="107">
        <v>39.0</v>
      </c>
      <c r="AD16" s="108">
        <v>149.0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0.794</v>
      </c>
      <c r="G17" s="101">
        <v>0.721</v>
      </c>
      <c r="H17" s="101">
        <v>0.594</v>
      </c>
      <c r="I17" s="101">
        <v>0.683</v>
      </c>
      <c r="J17" s="101">
        <v>0.697</v>
      </c>
      <c r="K17" s="101">
        <v>0.251</v>
      </c>
      <c r="L17" s="101">
        <v>0.92</v>
      </c>
      <c r="M17" s="101">
        <v>0.741</v>
      </c>
      <c r="N17" s="110">
        <v>22.0</v>
      </c>
      <c r="O17" s="110">
        <v>60.0</v>
      </c>
      <c r="P17" s="110">
        <v>15.0</v>
      </c>
      <c r="Q17" s="110">
        <v>172.0</v>
      </c>
      <c r="R17" s="103"/>
      <c r="S17" s="104">
        <v>0.75</v>
      </c>
      <c r="T17" s="105">
        <v>0.71</v>
      </c>
      <c r="U17" s="105">
        <v>0.634</v>
      </c>
      <c r="V17" s="105">
        <v>0.702</v>
      </c>
      <c r="W17" s="105">
        <v>0.697</v>
      </c>
      <c r="X17" s="104">
        <v>0.284</v>
      </c>
      <c r="Y17" s="104">
        <v>0.829</v>
      </c>
      <c r="Z17" s="104">
        <v>0.771</v>
      </c>
      <c r="AA17" s="111">
        <v>36.0</v>
      </c>
      <c r="AB17" s="112">
        <v>46.0</v>
      </c>
      <c r="AC17" s="112">
        <v>32.0</v>
      </c>
      <c r="AD17" s="113">
        <v>155.0</v>
      </c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0.7646666667</v>
      </c>
      <c r="G18" s="115">
        <f t="shared" si="9"/>
        <v>0.7326666667</v>
      </c>
      <c r="H18" s="115">
        <f t="shared" si="9"/>
        <v>0.634</v>
      </c>
      <c r="I18" s="115">
        <f t="shared" si="9"/>
        <v>0.7106666667</v>
      </c>
      <c r="J18" s="115">
        <f t="shared" si="9"/>
        <v>0.7176666667</v>
      </c>
      <c r="K18" s="115">
        <f t="shared" si="9"/>
        <v>0.312</v>
      </c>
      <c r="L18" s="115">
        <f t="shared" si="9"/>
        <v>0.8846666667</v>
      </c>
      <c r="M18" s="115">
        <f t="shared" si="9"/>
        <v>0.769</v>
      </c>
      <c r="N18" s="115">
        <f t="shared" si="9"/>
        <v>31.33333333</v>
      </c>
      <c r="O18" s="115">
        <f t="shared" si="9"/>
        <v>50.33333333</v>
      </c>
      <c r="P18" s="115">
        <f t="shared" si="9"/>
        <v>21.66666667</v>
      </c>
      <c r="Q18" s="115">
        <f t="shared" si="9"/>
        <v>166</v>
      </c>
      <c r="R18" s="116"/>
      <c r="S18" s="115">
        <f t="shared" ref="S18:AD18" si="10">AVERAGE(S15:S17)</f>
        <v>0.7373333333</v>
      </c>
      <c r="T18" s="115">
        <f t="shared" si="10"/>
        <v>0.7213333333</v>
      </c>
      <c r="U18" s="115">
        <f t="shared" si="10"/>
        <v>0.6586666667</v>
      </c>
      <c r="V18" s="115">
        <f t="shared" si="10"/>
        <v>0.7176666667</v>
      </c>
      <c r="W18" s="115">
        <f t="shared" si="10"/>
        <v>0.7153333333</v>
      </c>
      <c r="X18" s="115">
        <f t="shared" si="10"/>
        <v>0.3256666667</v>
      </c>
      <c r="Y18" s="115">
        <f t="shared" si="10"/>
        <v>0.819</v>
      </c>
      <c r="Z18" s="115">
        <f t="shared" si="10"/>
        <v>0.7896666667</v>
      </c>
      <c r="AA18" s="115">
        <f t="shared" si="10"/>
        <v>40.66666667</v>
      </c>
      <c r="AB18" s="115">
        <f t="shared" si="10"/>
        <v>41</v>
      </c>
      <c r="AC18" s="115">
        <f t="shared" si="10"/>
        <v>34</v>
      </c>
      <c r="AD18" s="118">
        <f t="shared" si="10"/>
        <v>153.6666667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0.02768272626</v>
      </c>
      <c r="G19" s="123">
        <f t="shared" si="11"/>
        <v>0.01320353488</v>
      </c>
      <c r="H19" s="123">
        <f t="shared" si="11"/>
        <v>0.03903844259</v>
      </c>
      <c r="I19" s="123">
        <f t="shared" si="11"/>
        <v>0.02409010862</v>
      </c>
      <c r="J19" s="123">
        <f t="shared" si="11"/>
        <v>0.01814754345</v>
      </c>
      <c r="K19" s="123">
        <f t="shared" si="11"/>
        <v>0.05335728629</v>
      </c>
      <c r="L19" s="123">
        <f t="shared" si="11"/>
        <v>0.05692392584</v>
      </c>
      <c r="M19" s="123">
        <f t="shared" si="11"/>
        <v>0.02851315486</v>
      </c>
      <c r="N19" s="123">
        <f t="shared" si="11"/>
        <v>10.69267662</v>
      </c>
      <c r="O19" s="123">
        <f t="shared" si="11"/>
        <v>10.59874206</v>
      </c>
      <c r="P19" s="123">
        <f t="shared" si="11"/>
        <v>10.69267662</v>
      </c>
      <c r="Q19" s="123">
        <f t="shared" si="11"/>
        <v>10.39230485</v>
      </c>
      <c r="R19" s="123"/>
      <c r="S19" s="123">
        <f t="shared" ref="S19:AD19" si="12">STDEV(S15:S17)</f>
        <v>0.0177857621</v>
      </c>
      <c r="T19" s="123">
        <f t="shared" si="12"/>
        <v>0.01962990915</v>
      </c>
      <c r="U19" s="123">
        <f t="shared" si="12"/>
        <v>0.0261023626</v>
      </c>
      <c r="V19" s="123">
        <f t="shared" si="12"/>
        <v>0.02059935274</v>
      </c>
      <c r="W19" s="123">
        <f t="shared" si="12"/>
        <v>0.0215019379</v>
      </c>
      <c r="X19" s="123">
        <f t="shared" si="12"/>
        <v>0.05061949559</v>
      </c>
      <c r="Y19" s="123">
        <f t="shared" si="12"/>
        <v>0.02271563338</v>
      </c>
      <c r="Z19" s="123">
        <f t="shared" si="12"/>
        <v>0.01724335621</v>
      </c>
      <c r="AA19" s="123">
        <f t="shared" si="12"/>
        <v>4.163331999</v>
      </c>
      <c r="AB19" s="123">
        <f t="shared" si="12"/>
        <v>4.358898944</v>
      </c>
      <c r="AC19" s="123">
        <f t="shared" si="12"/>
        <v>4.358898944</v>
      </c>
      <c r="AD19" s="123">
        <f t="shared" si="12"/>
        <v>4.163331999</v>
      </c>
    </row>
    <row r="20">
      <c r="A20" s="171" t="s">
        <v>84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0.763</v>
      </c>
      <c r="G20" s="91">
        <v>0.722</v>
      </c>
      <c r="H20" s="91">
        <v>0.67</v>
      </c>
      <c r="I20" s="91">
        <v>0.722</v>
      </c>
      <c r="J20" s="91">
        <v>0.721</v>
      </c>
      <c r="K20" s="91">
        <v>0.341</v>
      </c>
      <c r="L20" s="91">
        <v>0.803</v>
      </c>
      <c r="M20" s="91">
        <v>0.799</v>
      </c>
      <c r="N20" s="92">
        <v>44.0</v>
      </c>
      <c r="O20" s="92">
        <v>38.0</v>
      </c>
      <c r="P20" s="92">
        <v>37.0</v>
      </c>
      <c r="Q20" s="92">
        <v>151.0</v>
      </c>
      <c r="R20" s="93"/>
      <c r="S20" s="94">
        <v>0.708</v>
      </c>
      <c r="T20" s="95">
        <v>0.674</v>
      </c>
      <c r="U20" s="95">
        <v>0.673</v>
      </c>
      <c r="V20" s="95">
        <v>0.686</v>
      </c>
      <c r="W20" s="95">
        <v>0.718</v>
      </c>
      <c r="X20" s="94">
        <v>0.322</v>
      </c>
      <c r="Y20" s="94">
        <v>0.676</v>
      </c>
      <c r="Z20" s="94">
        <v>0.825</v>
      </c>
      <c r="AA20" s="96">
        <v>55.0</v>
      </c>
      <c r="AB20" s="97">
        <v>27.0</v>
      </c>
      <c r="AC20" s="97">
        <v>61.0</v>
      </c>
      <c r="AD20" s="98">
        <v>127.0</v>
      </c>
    </row>
    <row r="21">
      <c r="A21" s="7"/>
      <c r="C21" s="99" t="b">
        <v>1</v>
      </c>
      <c r="D21" s="99" t="s">
        <v>43</v>
      </c>
      <c r="E21" s="99" t="s">
        <v>45</v>
      </c>
      <c r="F21" s="100">
        <v>0.751</v>
      </c>
      <c r="G21" s="101">
        <v>0.751</v>
      </c>
      <c r="H21" s="101">
        <v>0.667</v>
      </c>
      <c r="I21" s="101">
        <v>0.739</v>
      </c>
      <c r="J21" s="101">
        <v>0.737</v>
      </c>
      <c r="K21" s="101">
        <v>0.369</v>
      </c>
      <c r="L21" s="101">
        <v>0.878</v>
      </c>
      <c r="M21" s="101">
        <v>0.789</v>
      </c>
      <c r="N21" s="102">
        <v>37.0</v>
      </c>
      <c r="O21" s="102">
        <v>44.0</v>
      </c>
      <c r="P21" s="102">
        <v>23.0</v>
      </c>
      <c r="Q21" s="102">
        <v>165.0</v>
      </c>
      <c r="R21" s="103"/>
      <c r="S21" s="104">
        <v>0.739</v>
      </c>
      <c r="T21" s="105">
        <v>0.703</v>
      </c>
      <c r="U21" s="105">
        <v>0.661</v>
      </c>
      <c r="V21" s="105">
        <v>0.706</v>
      </c>
      <c r="W21" s="105">
        <v>0.711</v>
      </c>
      <c r="X21" s="104">
        <v>0.313</v>
      </c>
      <c r="Y21" s="104">
        <v>0.766</v>
      </c>
      <c r="Z21" s="104">
        <v>0.8</v>
      </c>
      <c r="AA21" s="106">
        <v>45.0</v>
      </c>
      <c r="AB21" s="107">
        <v>36.0</v>
      </c>
      <c r="AC21" s="107">
        <v>44.0</v>
      </c>
      <c r="AD21" s="108">
        <v>144.0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0.794</v>
      </c>
      <c r="G22" s="101">
        <v>0.714</v>
      </c>
      <c r="H22" s="101">
        <v>0.654</v>
      </c>
      <c r="I22" s="101">
        <v>0.711</v>
      </c>
      <c r="J22" s="101">
        <v>0.709</v>
      </c>
      <c r="K22" s="101">
        <v>0.313</v>
      </c>
      <c r="L22" s="101">
        <v>0.807</v>
      </c>
      <c r="M22" s="101">
        <v>0.786</v>
      </c>
      <c r="N22" s="110">
        <v>41.0</v>
      </c>
      <c r="O22" s="110">
        <v>41.0</v>
      </c>
      <c r="P22" s="110">
        <v>36.0</v>
      </c>
      <c r="Q22" s="110">
        <v>151.0</v>
      </c>
      <c r="R22" s="103"/>
      <c r="S22" s="104">
        <v>0.77</v>
      </c>
      <c r="T22" s="105">
        <v>0.695</v>
      </c>
      <c r="U22" s="105">
        <v>0.647</v>
      </c>
      <c r="V22" s="105">
        <v>0.697</v>
      </c>
      <c r="W22" s="105">
        <v>0.699</v>
      </c>
      <c r="X22" s="104">
        <v>0.291</v>
      </c>
      <c r="Y22" s="104">
        <v>0.77</v>
      </c>
      <c r="Z22" s="104">
        <v>0.787</v>
      </c>
      <c r="AA22" s="111">
        <v>43.0</v>
      </c>
      <c r="AB22" s="112">
        <v>39.0</v>
      </c>
      <c r="AC22" s="112">
        <v>43.0</v>
      </c>
      <c r="AD22" s="113">
        <v>144.0</v>
      </c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0.7693333333</v>
      </c>
      <c r="G23" s="115">
        <f t="shared" si="13"/>
        <v>0.729</v>
      </c>
      <c r="H23" s="115">
        <f t="shared" si="13"/>
        <v>0.6636666667</v>
      </c>
      <c r="I23" s="115">
        <f t="shared" si="13"/>
        <v>0.724</v>
      </c>
      <c r="J23" s="115">
        <f t="shared" si="13"/>
        <v>0.7223333333</v>
      </c>
      <c r="K23" s="115">
        <f t="shared" si="13"/>
        <v>0.341</v>
      </c>
      <c r="L23" s="115">
        <f t="shared" si="13"/>
        <v>0.8293333333</v>
      </c>
      <c r="M23" s="115">
        <f t="shared" si="13"/>
        <v>0.7913333333</v>
      </c>
      <c r="N23" s="115">
        <f t="shared" si="13"/>
        <v>40.66666667</v>
      </c>
      <c r="O23" s="115">
        <f t="shared" si="13"/>
        <v>41</v>
      </c>
      <c r="P23" s="115">
        <f t="shared" si="13"/>
        <v>32</v>
      </c>
      <c r="Q23" s="115">
        <f t="shared" si="13"/>
        <v>155.6666667</v>
      </c>
      <c r="R23" s="116"/>
      <c r="S23" s="115">
        <f t="shared" ref="S23:AD23" si="14">AVERAGE(S20:S22)</f>
        <v>0.739</v>
      </c>
      <c r="T23" s="115">
        <f t="shared" si="14"/>
        <v>0.6906666667</v>
      </c>
      <c r="U23" s="115">
        <f t="shared" si="14"/>
        <v>0.6603333333</v>
      </c>
      <c r="V23" s="115">
        <f t="shared" si="14"/>
        <v>0.6963333333</v>
      </c>
      <c r="W23" s="115">
        <f t="shared" si="14"/>
        <v>0.7093333333</v>
      </c>
      <c r="X23" s="115">
        <f t="shared" si="14"/>
        <v>0.3086666667</v>
      </c>
      <c r="Y23" s="115">
        <f t="shared" si="14"/>
        <v>0.7373333333</v>
      </c>
      <c r="Z23" s="115">
        <f t="shared" si="14"/>
        <v>0.804</v>
      </c>
      <c r="AA23" s="115">
        <f t="shared" si="14"/>
        <v>47.66666667</v>
      </c>
      <c r="AB23" s="115">
        <f t="shared" si="14"/>
        <v>34</v>
      </c>
      <c r="AC23" s="115">
        <f t="shared" si="14"/>
        <v>49.33333333</v>
      </c>
      <c r="AD23" s="118">
        <f t="shared" si="14"/>
        <v>138.3333333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0.02218858565</v>
      </c>
      <c r="G24" s="123">
        <f t="shared" si="15"/>
        <v>0.01946792233</v>
      </c>
      <c r="H24" s="123">
        <f t="shared" si="15"/>
        <v>0.008504900548</v>
      </c>
      <c r="I24" s="123">
        <f t="shared" si="15"/>
        <v>0.01410673598</v>
      </c>
      <c r="J24" s="123">
        <f t="shared" si="15"/>
        <v>0.01404753834</v>
      </c>
      <c r="K24" s="123">
        <f t="shared" si="15"/>
        <v>0.028</v>
      </c>
      <c r="L24" s="123">
        <f t="shared" si="15"/>
        <v>0.04219399641</v>
      </c>
      <c r="M24" s="123">
        <f t="shared" si="15"/>
        <v>0.006806859286</v>
      </c>
      <c r="N24" s="123">
        <f t="shared" si="15"/>
        <v>3.511884584</v>
      </c>
      <c r="O24" s="123">
        <f t="shared" si="15"/>
        <v>3</v>
      </c>
      <c r="P24" s="123">
        <f t="shared" si="15"/>
        <v>7.810249676</v>
      </c>
      <c r="Q24" s="123">
        <f t="shared" si="15"/>
        <v>8.082903769</v>
      </c>
      <c r="R24" s="123"/>
      <c r="S24" s="123">
        <f t="shared" ref="S24:AD24" si="16">STDEV(S20:S22)</f>
        <v>0.031</v>
      </c>
      <c r="T24" s="123">
        <f t="shared" si="16"/>
        <v>0.01497776129</v>
      </c>
      <c r="U24" s="123">
        <f t="shared" si="16"/>
        <v>0.0130128142</v>
      </c>
      <c r="V24" s="123">
        <f t="shared" si="16"/>
        <v>0.0100166528</v>
      </c>
      <c r="W24" s="123">
        <f t="shared" si="16"/>
        <v>0.009609023537</v>
      </c>
      <c r="X24" s="123">
        <f t="shared" si="16"/>
        <v>0.01594783162</v>
      </c>
      <c r="Y24" s="123">
        <f t="shared" si="16"/>
        <v>0.05315386471</v>
      </c>
      <c r="Z24" s="123">
        <f t="shared" si="16"/>
        <v>0.01931320792</v>
      </c>
      <c r="AA24" s="123">
        <f t="shared" si="16"/>
        <v>6.429100507</v>
      </c>
      <c r="AB24" s="123">
        <f t="shared" si="16"/>
        <v>6.244997998</v>
      </c>
      <c r="AC24" s="123">
        <f t="shared" si="16"/>
        <v>10.11599394</v>
      </c>
      <c r="AD24" s="123">
        <f t="shared" si="16"/>
        <v>9.814954576</v>
      </c>
    </row>
    <row r="25">
      <c r="A25" s="171" t="s">
        <v>84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0.801</v>
      </c>
      <c r="G25" s="91">
        <v>0.77</v>
      </c>
      <c r="H25" s="91">
        <v>0.718</v>
      </c>
      <c r="I25" s="91">
        <v>0.768</v>
      </c>
      <c r="J25" s="91">
        <v>0.766</v>
      </c>
      <c r="K25" s="91">
        <v>0.446</v>
      </c>
      <c r="L25" s="91">
        <v>0.851</v>
      </c>
      <c r="M25" s="91">
        <v>0.825</v>
      </c>
      <c r="N25" s="92">
        <v>48.0</v>
      </c>
      <c r="O25" s="92">
        <v>34.0</v>
      </c>
      <c r="P25" s="92">
        <v>28.0</v>
      </c>
      <c r="Q25" s="92">
        <v>160.0</v>
      </c>
      <c r="R25" s="93"/>
      <c r="S25" s="94">
        <v>0.772</v>
      </c>
      <c r="T25" s="95">
        <v>0.756</v>
      </c>
      <c r="U25" s="95">
        <v>0.701</v>
      </c>
      <c r="V25" s="95">
        <v>0.753</v>
      </c>
      <c r="W25" s="95">
        <v>0.751</v>
      </c>
      <c r="X25" s="94">
        <v>0.41</v>
      </c>
      <c r="Y25" s="94">
        <v>0.84</v>
      </c>
      <c r="Z25" s="94">
        <v>0.814</v>
      </c>
      <c r="AA25" s="96">
        <v>46.0</v>
      </c>
      <c r="AB25" s="97">
        <v>36.0</v>
      </c>
      <c r="AC25" s="97">
        <v>30.0</v>
      </c>
      <c r="AD25" s="98">
        <v>158.0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0.73</v>
      </c>
      <c r="G26" s="101">
        <v>0.725</v>
      </c>
      <c r="H26" s="101">
        <v>0.677</v>
      </c>
      <c r="I26" s="101">
        <v>0.726</v>
      </c>
      <c r="J26" s="101">
        <v>0.727</v>
      </c>
      <c r="K26" s="101">
        <v>0.351</v>
      </c>
      <c r="L26" s="101">
        <v>0.798</v>
      </c>
      <c r="M26" s="101">
        <v>0.806</v>
      </c>
      <c r="N26" s="102">
        <v>45.0</v>
      </c>
      <c r="O26" s="102">
        <v>36.0</v>
      </c>
      <c r="P26" s="102">
        <v>38.0</v>
      </c>
      <c r="Q26" s="102">
        <v>150.0</v>
      </c>
      <c r="R26" s="103"/>
      <c r="S26" s="104">
        <v>0.728</v>
      </c>
      <c r="T26" s="105">
        <v>0.651</v>
      </c>
      <c r="U26" s="105">
        <v>0.666</v>
      </c>
      <c r="V26" s="105">
        <v>0.665</v>
      </c>
      <c r="W26" s="105">
        <v>0.716</v>
      </c>
      <c r="X26" s="104">
        <v>0.304</v>
      </c>
      <c r="Y26" s="104">
        <v>0.628</v>
      </c>
      <c r="Z26" s="104">
        <v>0.831</v>
      </c>
      <c r="AA26" s="106">
        <v>57.0</v>
      </c>
      <c r="AB26" s="107">
        <v>24.0</v>
      </c>
      <c r="AC26" s="107">
        <v>70.0</v>
      </c>
      <c r="AD26" s="108">
        <v>118.0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0.729</v>
      </c>
      <c r="G27" s="101">
        <v>0.717</v>
      </c>
      <c r="H27" s="101">
        <v>0.598</v>
      </c>
      <c r="I27" s="101">
        <v>0.686</v>
      </c>
      <c r="J27" s="101">
        <v>0.692</v>
      </c>
      <c r="K27" s="101">
        <v>0.249</v>
      </c>
      <c r="L27" s="101">
        <v>0.904</v>
      </c>
      <c r="M27" s="101">
        <v>0.744</v>
      </c>
      <c r="N27" s="110">
        <v>24.0</v>
      </c>
      <c r="O27" s="110">
        <v>58.0</v>
      </c>
      <c r="P27" s="110">
        <v>18.0</v>
      </c>
      <c r="Q27" s="110">
        <v>169.0</v>
      </c>
      <c r="R27" s="103"/>
      <c r="S27" s="104">
        <v>0.709</v>
      </c>
      <c r="T27" s="105">
        <v>0.736</v>
      </c>
      <c r="U27" s="105">
        <v>0.639</v>
      </c>
      <c r="V27" s="105">
        <v>0.717</v>
      </c>
      <c r="W27" s="105">
        <v>0.718</v>
      </c>
      <c r="X27" s="104">
        <v>0.322</v>
      </c>
      <c r="Y27" s="104">
        <v>0.888</v>
      </c>
      <c r="Z27" s="104">
        <v>0.769</v>
      </c>
      <c r="AA27" s="111">
        <v>32.0</v>
      </c>
      <c r="AB27" s="112">
        <v>50.0</v>
      </c>
      <c r="AC27" s="112">
        <v>21.0</v>
      </c>
      <c r="AD27" s="113">
        <v>166.0</v>
      </c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0.7533333333</v>
      </c>
      <c r="G28" s="115">
        <f t="shared" si="17"/>
        <v>0.7373333333</v>
      </c>
      <c r="H28" s="117">
        <f t="shared" si="17"/>
        <v>0.6643333333</v>
      </c>
      <c r="I28" s="117">
        <f t="shared" si="17"/>
        <v>0.7266666667</v>
      </c>
      <c r="J28" s="115">
        <f t="shared" si="17"/>
        <v>0.7283333333</v>
      </c>
      <c r="K28" s="117">
        <f t="shared" si="17"/>
        <v>0.3486666667</v>
      </c>
      <c r="L28" s="115">
        <f t="shared" si="17"/>
        <v>0.851</v>
      </c>
      <c r="M28" s="117">
        <f t="shared" si="17"/>
        <v>0.7916666667</v>
      </c>
      <c r="N28" s="117">
        <f t="shared" si="17"/>
        <v>39</v>
      </c>
      <c r="O28" s="117">
        <f t="shared" si="17"/>
        <v>42.66666667</v>
      </c>
      <c r="P28" s="115">
        <f t="shared" si="17"/>
        <v>28</v>
      </c>
      <c r="Q28" s="115">
        <f t="shared" si="17"/>
        <v>159.6666667</v>
      </c>
      <c r="R28" s="116"/>
      <c r="S28" s="115">
        <f t="shared" ref="S28:AD28" si="18">AVERAGE(S25:S27)</f>
        <v>0.7363333333</v>
      </c>
      <c r="T28" s="115">
        <f t="shared" si="18"/>
        <v>0.7143333333</v>
      </c>
      <c r="U28" s="115">
        <f t="shared" si="18"/>
        <v>0.6686666667</v>
      </c>
      <c r="V28" s="115">
        <f t="shared" si="18"/>
        <v>0.7116666667</v>
      </c>
      <c r="W28" s="115">
        <f t="shared" si="18"/>
        <v>0.7283333333</v>
      </c>
      <c r="X28" s="115">
        <f t="shared" si="18"/>
        <v>0.3453333333</v>
      </c>
      <c r="Y28" s="115">
        <f t="shared" si="18"/>
        <v>0.7853333333</v>
      </c>
      <c r="Z28" s="115">
        <f t="shared" si="18"/>
        <v>0.8046666667</v>
      </c>
      <c r="AA28" s="115">
        <f t="shared" si="18"/>
        <v>45</v>
      </c>
      <c r="AB28" s="115">
        <f t="shared" si="18"/>
        <v>36.66666667</v>
      </c>
      <c r="AC28" s="115">
        <f t="shared" si="18"/>
        <v>40.33333333</v>
      </c>
      <c r="AD28" s="118">
        <f t="shared" si="18"/>
        <v>147.3333333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0.0412835722</v>
      </c>
      <c r="G29" s="123">
        <f t="shared" si="19"/>
        <v>0.02857154762</v>
      </c>
      <c r="H29" s="123">
        <f t="shared" si="19"/>
        <v>0.06099453527</v>
      </c>
      <c r="I29" s="123">
        <f t="shared" si="19"/>
        <v>0.04100406484</v>
      </c>
      <c r="J29" s="123">
        <f t="shared" si="19"/>
        <v>0.03701801363</v>
      </c>
      <c r="K29" s="123">
        <f t="shared" si="19"/>
        <v>0.0985207254</v>
      </c>
      <c r="L29" s="123">
        <f t="shared" si="19"/>
        <v>0.053</v>
      </c>
      <c r="M29" s="123">
        <f t="shared" si="19"/>
        <v>0.04235957192</v>
      </c>
      <c r="N29" s="123">
        <f t="shared" si="19"/>
        <v>13.07669683</v>
      </c>
      <c r="O29" s="123">
        <f t="shared" si="19"/>
        <v>13.31665624</v>
      </c>
      <c r="P29" s="123">
        <f t="shared" si="19"/>
        <v>10</v>
      </c>
      <c r="Q29" s="123">
        <f t="shared" si="19"/>
        <v>9.504384953</v>
      </c>
      <c r="R29" s="123"/>
      <c r="S29" s="123">
        <f t="shared" ref="S29:AD29" si="20">STDEV(S25:S27)</f>
        <v>0.03231614663</v>
      </c>
      <c r="T29" s="123">
        <f t="shared" si="20"/>
        <v>0.05575242895</v>
      </c>
      <c r="U29" s="123">
        <f t="shared" si="20"/>
        <v>0.03108590249</v>
      </c>
      <c r="V29" s="123">
        <f t="shared" si="20"/>
        <v>0.04424176006</v>
      </c>
      <c r="W29" s="123">
        <f t="shared" si="20"/>
        <v>0.01965536398</v>
      </c>
      <c r="X29" s="123">
        <f t="shared" si="20"/>
        <v>0.05672154206</v>
      </c>
      <c r="Y29" s="123">
        <f t="shared" si="20"/>
        <v>0.1383522075</v>
      </c>
      <c r="Z29" s="123">
        <f t="shared" si="20"/>
        <v>0.03203643759</v>
      </c>
      <c r="AA29" s="123">
        <f t="shared" si="20"/>
        <v>12.52996409</v>
      </c>
      <c r="AB29" s="123">
        <f t="shared" si="20"/>
        <v>13.0128142</v>
      </c>
      <c r="AC29" s="123">
        <f t="shared" si="20"/>
        <v>26.08320021</v>
      </c>
      <c r="AD29" s="123">
        <f t="shared" si="20"/>
        <v>25.71640203</v>
      </c>
    </row>
    <row r="30">
      <c r="A30" s="171" t="s">
        <v>84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0.778</v>
      </c>
      <c r="G30" s="91">
        <v>0.726</v>
      </c>
      <c r="H30" s="91">
        <v>0.71</v>
      </c>
      <c r="I30" s="91">
        <v>0.733</v>
      </c>
      <c r="J30" s="91">
        <v>0.748</v>
      </c>
      <c r="K30" s="91">
        <v>0.399</v>
      </c>
      <c r="L30" s="91">
        <v>0.75</v>
      </c>
      <c r="M30" s="91">
        <v>0.839</v>
      </c>
      <c r="N30" s="92">
        <v>55.0</v>
      </c>
      <c r="O30" s="92">
        <v>27.0</v>
      </c>
      <c r="P30" s="92">
        <v>47.0</v>
      </c>
      <c r="Q30" s="92">
        <v>141.0</v>
      </c>
      <c r="R30" s="93"/>
      <c r="S30" s="94">
        <v>0.723</v>
      </c>
      <c r="T30" s="95">
        <v>0.689</v>
      </c>
      <c r="U30" s="95">
        <v>0.66</v>
      </c>
      <c r="V30" s="95">
        <v>0.696</v>
      </c>
      <c r="W30" s="95">
        <v>0.707</v>
      </c>
      <c r="X30" s="94">
        <v>0.305</v>
      </c>
      <c r="Y30" s="94">
        <v>0.734</v>
      </c>
      <c r="Z30" s="94">
        <v>0.802</v>
      </c>
      <c r="AA30" s="96">
        <v>48.0</v>
      </c>
      <c r="AB30" s="97">
        <v>34.0</v>
      </c>
      <c r="AC30" s="97">
        <v>50.0</v>
      </c>
      <c r="AD30" s="98">
        <v>138.0</v>
      </c>
    </row>
    <row r="31">
      <c r="A31" s="7"/>
      <c r="C31" s="99" t="b">
        <v>1</v>
      </c>
      <c r="D31" s="99" t="s">
        <v>43</v>
      </c>
      <c r="E31" s="99" t="s">
        <v>45</v>
      </c>
      <c r="F31" s="100">
        <v>0.74</v>
      </c>
      <c r="G31" s="101">
        <v>0.732</v>
      </c>
      <c r="H31" s="101">
        <v>0.679</v>
      </c>
      <c r="I31" s="101">
        <v>0.731</v>
      </c>
      <c r="J31" s="101">
        <v>0.73</v>
      </c>
      <c r="K31" s="101">
        <v>0.36</v>
      </c>
      <c r="L31" s="101">
        <v>0.814</v>
      </c>
      <c r="M31" s="101">
        <v>0.805</v>
      </c>
      <c r="N31" s="102">
        <v>44.0</v>
      </c>
      <c r="O31" s="102">
        <v>37.0</v>
      </c>
      <c r="P31" s="102">
        <v>35.0</v>
      </c>
      <c r="Q31" s="102">
        <v>153.0</v>
      </c>
      <c r="R31" s="103"/>
      <c r="S31" s="104">
        <v>0.74</v>
      </c>
      <c r="T31" s="105">
        <v>0.751</v>
      </c>
      <c r="U31" s="105">
        <v>0.692</v>
      </c>
      <c r="V31" s="105">
        <v>0.748</v>
      </c>
      <c r="W31" s="105">
        <v>0.745</v>
      </c>
      <c r="X31" s="104">
        <v>0.394</v>
      </c>
      <c r="Y31" s="104">
        <v>0.84</v>
      </c>
      <c r="Z31" s="104">
        <v>0.81</v>
      </c>
      <c r="AA31" s="106">
        <v>44.0</v>
      </c>
      <c r="AB31" s="107">
        <v>37.0</v>
      </c>
      <c r="AC31" s="107">
        <v>30.0</v>
      </c>
      <c r="AD31" s="108">
        <v>158.0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0.81</v>
      </c>
      <c r="G32" s="101">
        <v>0.732</v>
      </c>
      <c r="H32" s="101">
        <v>0.599</v>
      </c>
      <c r="I32" s="101">
        <v>0.689</v>
      </c>
      <c r="J32" s="101">
        <v>0.716</v>
      </c>
      <c r="K32" s="101">
        <v>0.281</v>
      </c>
      <c r="L32" s="101">
        <v>0.941</v>
      </c>
      <c r="M32" s="101">
        <v>0.743</v>
      </c>
      <c r="N32" s="110">
        <v>21.0</v>
      </c>
      <c r="O32" s="110">
        <v>61.0</v>
      </c>
      <c r="P32" s="110">
        <v>11.0</v>
      </c>
      <c r="Q32" s="110">
        <v>176.0</v>
      </c>
      <c r="R32" s="103"/>
      <c r="S32" s="104">
        <v>0.777</v>
      </c>
      <c r="T32" s="105">
        <v>0.714</v>
      </c>
      <c r="U32" s="105">
        <v>0.64</v>
      </c>
      <c r="V32" s="105">
        <v>0.706</v>
      </c>
      <c r="W32" s="105">
        <v>0.702</v>
      </c>
      <c r="X32" s="104">
        <v>0.295</v>
      </c>
      <c r="Y32" s="104">
        <v>0.829</v>
      </c>
      <c r="Z32" s="104">
        <v>0.775</v>
      </c>
      <c r="AA32" s="111">
        <v>37.0</v>
      </c>
      <c r="AB32" s="112">
        <v>45.0</v>
      </c>
      <c r="AC32" s="112">
        <v>32.0</v>
      </c>
      <c r="AD32" s="113">
        <v>155.0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0.776</v>
      </c>
      <c r="G33" s="115">
        <f t="shared" si="21"/>
        <v>0.73</v>
      </c>
      <c r="H33" s="115">
        <f t="shared" si="21"/>
        <v>0.6626666667</v>
      </c>
      <c r="I33" s="115">
        <f t="shared" si="21"/>
        <v>0.7176666667</v>
      </c>
      <c r="J33" s="117">
        <f t="shared" si="21"/>
        <v>0.7313333333</v>
      </c>
      <c r="K33" s="115">
        <f t="shared" si="21"/>
        <v>0.3466666667</v>
      </c>
      <c r="L33" s="115">
        <f t="shared" si="21"/>
        <v>0.835</v>
      </c>
      <c r="M33" s="115">
        <f t="shared" si="21"/>
        <v>0.7956666667</v>
      </c>
      <c r="N33" s="115">
        <f t="shared" si="21"/>
        <v>40</v>
      </c>
      <c r="O33" s="115">
        <f t="shared" si="21"/>
        <v>41.66666667</v>
      </c>
      <c r="P33" s="115">
        <f t="shared" si="21"/>
        <v>31</v>
      </c>
      <c r="Q33" s="115">
        <f t="shared" si="21"/>
        <v>156.6666667</v>
      </c>
      <c r="R33" s="116"/>
      <c r="S33" s="115">
        <f t="shared" ref="S33:AD33" si="22">AVERAGE(S30:S32)</f>
        <v>0.7466666667</v>
      </c>
      <c r="T33" s="115">
        <f t="shared" si="22"/>
        <v>0.718</v>
      </c>
      <c r="U33" s="115">
        <f t="shared" si="22"/>
        <v>0.664</v>
      </c>
      <c r="V33" s="115">
        <f t="shared" si="22"/>
        <v>0.7166666667</v>
      </c>
      <c r="W33" s="115">
        <f t="shared" si="22"/>
        <v>0.718</v>
      </c>
      <c r="X33" s="115">
        <f t="shared" si="22"/>
        <v>0.3313333333</v>
      </c>
      <c r="Y33" s="115">
        <f t="shared" si="22"/>
        <v>0.801</v>
      </c>
      <c r="Z33" s="115">
        <f t="shared" si="22"/>
        <v>0.7956666667</v>
      </c>
      <c r="AA33" s="117">
        <f t="shared" si="22"/>
        <v>43</v>
      </c>
      <c r="AB33" s="117">
        <f t="shared" si="22"/>
        <v>38.66666667</v>
      </c>
      <c r="AC33" s="115">
        <f t="shared" si="22"/>
        <v>37.33333333</v>
      </c>
      <c r="AD33" s="118">
        <f t="shared" si="22"/>
        <v>150.3333333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0.03504283094</v>
      </c>
      <c r="G34" s="123">
        <f t="shared" si="23"/>
        <v>0.003464101615</v>
      </c>
      <c r="H34" s="123">
        <f t="shared" si="23"/>
        <v>0.05727419431</v>
      </c>
      <c r="I34" s="123">
        <f t="shared" si="23"/>
        <v>0.02484619354</v>
      </c>
      <c r="J34" s="123">
        <f t="shared" si="23"/>
        <v>0.01604161255</v>
      </c>
      <c r="K34" s="123">
        <f t="shared" si="23"/>
        <v>0.06011932579</v>
      </c>
      <c r="L34" s="123">
        <f t="shared" si="23"/>
        <v>0.09721625379</v>
      </c>
      <c r="M34" s="123">
        <f t="shared" si="23"/>
        <v>0.04867579823</v>
      </c>
      <c r="N34" s="123">
        <f t="shared" si="23"/>
        <v>17.34935157</v>
      </c>
      <c r="O34" s="123">
        <f t="shared" si="23"/>
        <v>17.4737899</v>
      </c>
      <c r="P34" s="123">
        <f t="shared" si="23"/>
        <v>18.33030278</v>
      </c>
      <c r="Q34" s="123">
        <f t="shared" si="23"/>
        <v>17.7857621</v>
      </c>
      <c r="R34" s="123"/>
      <c r="S34" s="123">
        <f t="shared" ref="S34:AD34" si="24">STDEV(S30:S32)</f>
        <v>0.02761038452</v>
      </c>
      <c r="T34" s="123">
        <f t="shared" si="24"/>
        <v>0.03119294792</v>
      </c>
      <c r="U34" s="123">
        <f t="shared" si="24"/>
        <v>0.0262297541</v>
      </c>
      <c r="V34" s="123">
        <f t="shared" si="24"/>
        <v>0.02759226945</v>
      </c>
      <c r="W34" s="123">
        <f t="shared" si="24"/>
        <v>0.02351595203</v>
      </c>
      <c r="X34" s="123">
        <f t="shared" si="24"/>
        <v>0.05450076452</v>
      </c>
      <c r="Y34" s="123">
        <f t="shared" si="24"/>
        <v>0.05828378848</v>
      </c>
      <c r="Z34" s="123">
        <f t="shared" si="24"/>
        <v>0.01833939294</v>
      </c>
      <c r="AA34" s="123">
        <f t="shared" si="24"/>
        <v>5.567764363</v>
      </c>
      <c r="AB34" s="123">
        <f t="shared" si="24"/>
        <v>5.686240703</v>
      </c>
      <c r="AC34" s="123">
        <f t="shared" si="24"/>
        <v>11.01514109</v>
      </c>
      <c r="AD34" s="123">
        <f t="shared" si="24"/>
        <v>10.78579312</v>
      </c>
    </row>
    <row r="35">
      <c r="A35" s="171" t="s">
        <v>84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0.752</v>
      </c>
      <c r="G35" s="91">
        <v>0.726</v>
      </c>
      <c r="H35" s="91">
        <v>0.662</v>
      </c>
      <c r="I35" s="91">
        <v>0.722</v>
      </c>
      <c r="J35" s="91">
        <v>0.719</v>
      </c>
      <c r="K35" s="91">
        <v>0.335</v>
      </c>
      <c r="L35" s="91">
        <v>0.824</v>
      </c>
      <c r="M35" s="91">
        <v>0.791</v>
      </c>
      <c r="N35" s="92">
        <v>41.0</v>
      </c>
      <c r="O35" s="92">
        <v>41.0</v>
      </c>
      <c r="P35" s="92">
        <v>33.0</v>
      </c>
      <c r="Q35" s="92">
        <v>155.0</v>
      </c>
      <c r="R35" s="93"/>
      <c r="S35" s="94">
        <v>0.756</v>
      </c>
      <c r="T35" s="95">
        <v>0.748</v>
      </c>
      <c r="U35" s="95">
        <v>0.685</v>
      </c>
      <c r="V35" s="95">
        <v>0.743</v>
      </c>
      <c r="W35" s="95">
        <v>0.741</v>
      </c>
      <c r="X35" s="94">
        <v>0.385</v>
      </c>
      <c r="Y35" s="94">
        <v>0.846</v>
      </c>
      <c r="Z35" s="94">
        <v>0.803</v>
      </c>
      <c r="AA35" s="96">
        <v>43.0</v>
      </c>
      <c r="AB35" s="97">
        <v>39.0</v>
      </c>
      <c r="AC35" s="97">
        <v>29.0</v>
      </c>
      <c r="AD35" s="98">
        <v>159.0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0.736</v>
      </c>
      <c r="G36" s="101">
        <v>0.732</v>
      </c>
      <c r="H36" s="101">
        <v>0.619</v>
      </c>
      <c r="I36" s="101">
        <v>0.706</v>
      </c>
      <c r="J36" s="101">
        <v>0.711</v>
      </c>
      <c r="K36" s="101">
        <v>0.292</v>
      </c>
      <c r="L36" s="101">
        <v>0.904</v>
      </c>
      <c r="M36" s="101">
        <v>0.759</v>
      </c>
      <c r="N36" s="102">
        <v>27.0</v>
      </c>
      <c r="O36" s="102">
        <v>54.0</v>
      </c>
      <c r="P36" s="102">
        <v>18.0</v>
      </c>
      <c r="Q36" s="102">
        <v>170.0</v>
      </c>
      <c r="R36" s="103"/>
      <c r="S36" s="104">
        <v>0.728</v>
      </c>
      <c r="T36" s="105">
        <v>0.688</v>
      </c>
      <c r="U36" s="105">
        <v>0.692</v>
      </c>
      <c r="V36" s="105">
        <v>0.7</v>
      </c>
      <c r="W36" s="105">
        <v>0.735</v>
      </c>
      <c r="X36" s="104">
        <v>0.356</v>
      </c>
      <c r="Y36" s="104">
        <v>0.681</v>
      </c>
      <c r="Z36" s="104">
        <v>0.842</v>
      </c>
      <c r="AA36" s="106">
        <v>57.0</v>
      </c>
      <c r="AB36" s="107">
        <v>24.0</v>
      </c>
      <c r="AC36" s="107">
        <v>60.0</v>
      </c>
      <c r="AD36" s="108">
        <v>128.0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0.792</v>
      </c>
      <c r="G37" s="101">
        <v>0.725</v>
      </c>
      <c r="H37" s="101">
        <v>0.621</v>
      </c>
      <c r="I37" s="101">
        <v>0.702</v>
      </c>
      <c r="J37" s="101">
        <v>0.704</v>
      </c>
      <c r="K37" s="101">
        <v>0.286</v>
      </c>
      <c r="L37" s="101">
        <v>0.888</v>
      </c>
      <c r="M37" s="101">
        <v>0.758</v>
      </c>
      <c r="N37" s="110">
        <v>29.0</v>
      </c>
      <c r="O37" s="110">
        <v>53.0</v>
      </c>
      <c r="P37" s="110">
        <v>21.0</v>
      </c>
      <c r="Q37" s="110">
        <v>166.0</v>
      </c>
      <c r="R37" s="103"/>
      <c r="S37" s="104">
        <v>0.771</v>
      </c>
      <c r="T37" s="105">
        <v>0.71</v>
      </c>
      <c r="U37" s="105">
        <v>0.62</v>
      </c>
      <c r="V37" s="105">
        <v>0.696</v>
      </c>
      <c r="W37" s="105">
        <v>0.691</v>
      </c>
      <c r="X37" s="104">
        <v>0.266</v>
      </c>
      <c r="Y37" s="104">
        <v>0.85</v>
      </c>
      <c r="Z37" s="104">
        <v>0.761</v>
      </c>
      <c r="AA37" s="111">
        <v>32.0</v>
      </c>
      <c r="AB37" s="112">
        <v>50.0</v>
      </c>
      <c r="AC37" s="112">
        <v>28.0</v>
      </c>
      <c r="AD37" s="113">
        <v>159.0</v>
      </c>
    </row>
    <row r="38">
      <c r="A38" s="7"/>
      <c r="B38" s="114" t="s">
        <v>47</v>
      </c>
      <c r="C38" s="30"/>
      <c r="D38" s="30"/>
      <c r="E38" s="72"/>
      <c r="F38" s="115">
        <f t="shared" ref="F38:Q38" si="25">AVERAGE(F35:F37)</f>
        <v>0.76</v>
      </c>
      <c r="G38" s="117">
        <f t="shared" si="25"/>
        <v>0.7276666667</v>
      </c>
      <c r="H38" s="115">
        <f t="shared" si="25"/>
        <v>0.634</v>
      </c>
      <c r="I38" s="115">
        <f t="shared" si="25"/>
        <v>0.71</v>
      </c>
      <c r="J38" s="115">
        <f t="shared" si="25"/>
        <v>0.7113333333</v>
      </c>
      <c r="K38" s="115">
        <f t="shared" si="25"/>
        <v>0.3043333333</v>
      </c>
      <c r="L38" s="117">
        <f t="shared" si="25"/>
        <v>0.872</v>
      </c>
      <c r="M38" s="115">
        <f t="shared" si="25"/>
        <v>0.7693333333</v>
      </c>
      <c r="N38" s="115">
        <f t="shared" si="25"/>
        <v>32.33333333</v>
      </c>
      <c r="O38" s="115">
        <f t="shared" si="25"/>
        <v>49.33333333</v>
      </c>
      <c r="P38" s="117">
        <f t="shared" si="25"/>
        <v>24</v>
      </c>
      <c r="Q38" s="117">
        <f t="shared" si="25"/>
        <v>163.6666667</v>
      </c>
      <c r="R38" s="116"/>
      <c r="S38" s="115">
        <f t="shared" ref="S38:AD38" si="26">AVERAGE(S35:S37)</f>
        <v>0.7516666667</v>
      </c>
      <c r="T38" s="115">
        <f t="shared" si="26"/>
        <v>0.7153333333</v>
      </c>
      <c r="U38" s="115">
        <f t="shared" si="26"/>
        <v>0.6656666667</v>
      </c>
      <c r="V38" s="115">
        <f t="shared" si="26"/>
        <v>0.713</v>
      </c>
      <c r="W38" s="115">
        <f t="shared" si="26"/>
        <v>0.7223333333</v>
      </c>
      <c r="X38" s="115">
        <f t="shared" si="26"/>
        <v>0.3356666667</v>
      </c>
      <c r="Y38" s="115">
        <f t="shared" si="26"/>
        <v>0.7923333333</v>
      </c>
      <c r="Z38" s="115">
        <f t="shared" si="26"/>
        <v>0.802</v>
      </c>
      <c r="AA38" s="115">
        <f t="shared" si="26"/>
        <v>44</v>
      </c>
      <c r="AB38" s="115">
        <f t="shared" si="26"/>
        <v>37.66666667</v>
      </c>
      <c r="AC38" s="115">
        <f t="shared" si="26"/>
        <v>39</v>
      </c>
      <c r="AD38" s="118">
        <f t="shared" si="26"/>
        <v>148.6666667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0.0288444102</v>
      </c>
      <c r="G39" s="123">
        <f t="shared" si="27"/>
        <v>0.003785938897</v>
      </c>
      <c r="H39" s="123">
        <f t="shared" si="27"/>
        <v>0.0242693222</v>
      </c>
      <c r="I39" s="123">
        <f t="shared" si="27"/>
        <v>0.01058300524</v>
      </c>
      <c r="J39" s="123">
        <f t="shared" si="27"/>
        <v>0.007505553499</v>
      </c>
      <c r="K39" s="123">
        <f t="shared" si="27"/>
        <v>0.02672701505</v>
      </c>
      <c r="L39" s="123">
        <f t="shared" si="27"/>
        <v>0.04233202098</v>
      </c>
      <c r="M39" s="123">
        <f t="shared" si="27"/>
        <v>0.0187705443</v>
      </c>
      <c r="N39" s="123">
        <f t="shared" si="27"/>
        <v>7.571877794</v>
      </c>
      <c r="O39" s="123">
        <f t="shared" si="27"/>
        <v>7.234178138</v>
      </c>
      <c r="P39" s="123">
        <f t="shared" si="27"/>
        <v>7.937253933</v>
      </c>
      <c r="Q39" s="123">
        <f t="shared" si="27"/>
        <v>7.767453465</v>
      </c>
      <c r="R39" s="123"/>
      <c r="S39" s="123">
        <f t="shared" ref="S39:AD39" si="28">STDEV(S35:S37)</f>
        <v>0.02182506205</v>
      </c>
      <c r="T39" s="123">
        <f t="shared" si="28"/>
        <v>0.03035347317</v>
      </c>
      <c r="U39" s="123">
        <f t="shared" si="28"/>
        <v>0.03970306453</v>
      </c>
      <c r="V39" s="123">
        <f t="shared" si="28"/>
        <v>0.02605762844</v>
      </c>
      <c r="W39" s="123">
        <f t="shared" si="28"/>
        <v>0.02730079364</v>
      </c>
      <c r="X39" s="123">
        <f t="shared" si="28"/>
        <v>0.06205105425</v>
      </c>
      <c r="Y39" s="123">
        <f t="shared" si="28"/>
        <v>0.09643823585</v>
      </c>
      <c r="Z39" s="123">
        <f t="shared" si="28"/>
        <v>0.0405092582</v>
      </c>
      <c r="AA39" s="123">
        <f t="shared" si="28"/>
        <v>12.52996409</v>
      </c>
      <c r="AB39" s="123">
        <f t="shared" si="28"/>
        <v>13.0511813</v>
      </c>
      <c r="AC39" s="123">
        <f t="shared" si="28"/>
        <v>18.1934054</v>
      </c>
      <c r="AD39" s="123">
        <f t="shared" si="28"/>
        <v>17.89785834</v>
      </c>
    </row>
    <row r="40">
      <c r="A40" s="171" t="s">
        <v>84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0.796</v>
      </c>
      <c r="G40" s="91">
        <v>0.741</v>
      </c>
      <c r="H40" s="91">
        <v>0.718</v>
      </c>
      <c r="I40" s="91">
        <v>0.746</v>
      </c>
      <c r="J40" s="91">
        <v>0.755</v>
      </c>
      <c r="K40" s="91">
        <v>0.418</v>
      </c>
      <c r="L40" s="91">
        <v>0.777</v>
      </c>
      <c r="M40" s="91">
        <v>0.839</v>
      </c>
      <c r="N40" s="92">
        <v>54.0</v>
      </c>
      <c r="O40" s="92">
        <v>28.0</v>
      </c>
      <c r="P40" s="92">
        <v>42.0</v>
      </c>
      <c r="Q40" s="92">
        <v>146.0</v>
      </c>
      <c r="R40" s="93"/>
      <c r="S40" s="94">
        <v>0.781</v>
      </c>
      <c r="T40" s="95">
        <v>0.633</v>
      </c>
      <c r="U40" s="95">
        <v>0.706</v>
      </c>
      <c r="V40" s="95">
        <v>0.644</v>
      </c>
      <c r="W40" s="95">
        <v>0.774</v>
      </c>
      <c r="X40" s="94">
        <v>0.387</v>
      </c>
      <c r="Y40" s="94">
        <v>0.521</v>
      </c>
      <c r="Z40" s="94">
        <v>0.916</v>
      </c>
      <c r="AA40" s="96">
        <v>73.0</v>
      </c>
      <c r="AB40" s="97">
        <v>9.0</v>
      </c>
      <c r="AC40" s="97">
        <v>90.0</v>
      </c>
      <c r="AD40" s="98">
        <v>98.0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0.748</v>
      </c>
      <c r="G41" s="101">
        <v>0.721</v>
      </c>
      <c r="H41" s="101">
        <v>0.664</v>
      </c>
      <c r="I41" s="101">
        <v>0.72</v>
      </c>
      <c r="J41" s="101">
        <v>0.718</v>
      </c>
      <c r="K41" s="101">
        <v>0.331</v>
      </c>
      <c r="L41" s="101">
        <v>0.809</v>
      </c>
      <c r="M41" s="101">
        <v>0.796</v>
      </c>
      <c r="N41" s="102">
        <v>42.0</v>
      </c>
      <c r="O41" s="102">
        <v>39.0</v>
      </c>
      <c r="P41" s="102">
        <v>36.0</v>
      </c>
      <c r="Q41" s="102">
        <v>152.0</v>
      </c>
      <c r="R41" s="103"/>
      <c r="S41" s="104">
        <v>0.729</v>
      </c>
      <c r="T41" s="105">
        <v>0.706</v>
      </c>
      <c r="U41" s="105">
        <v>0.53</v>
      </c>
      <c r="V41" s="105">
        <v>0.62</v>
      </c>
      <c r="W41" s="105">
        <v>0.673</v>
      </c>
      <c r="X41" s="104">
        <v>0.133</v>
      </c>
      <c r="Y41" s="104">
        <v>0.973</v>
      </c>
      <c r="Z41" s="104">
        <v>0.712</v>
      </c>
      <c r="AA41" s="106">
        <v>7.0</v>
      </c>
      <c r="AB41" s="107">
        <v>74.0</v>
      </c>
      <c r="AC41" s="107">
        <v>5.0</v>
      </c>
      <c r="AD41" s="108">
        <v>183.0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0.768</v>
      </c>
      <c r="G42" s="101">
        <v>0.729</v>
      </c>
      <c r="H42" s="101">
        <v>0.647</v>
      </c>
      <c r="I42" s="101">
        <v>0.717</v>
      </c>
      <c r="J42" s="101">
        <v>0.714</v>
      </c>
      <c r="K42" s="101">
        <v>0.32</v>
      </c>
      <c r="L42" s="101">
        <v>0.856</v>
      </c>
      <c r="M42" s="101">
        <v>0.777</v>
      </c>
      <c r="N42" s="110">
        <v>36.0</v>
      </c>
      <c r="O42" s="110">
        <v>46.0</v>
      </c>
      <c r="P42" s="110">
        <v>27.0</v>
      </c>
      <c r="Q42" s="110">
        <v>160.0</v>
      </c>
      <c r="R42" s="103"/>
      <c r="S42" s="104">
        <v>0.759</v>
      </c>
      <c r="T42" s="105">
        <v>0.74</v>
      </c>
      <c r="U42" s="105">
        <v>0.72</v>
      </c>
      <c r="V42" s="105">
        <v>0.746</v>
      </c>
      <c r="W42" s="105">
        <v>0.756</v>
      </c>
      <c r="X42" s="104">
        <v>0.422</v>
      </c>
      <c r="Y42" s="104">
        <v>0.77</v>
      </c>
      <c r="Z42" s="104">
        <v>0.842</v>
      </c>
      <c r="AA42" s="111">
        <v>55.0</v>
      </c>
      <c r="AB42" s="112">
        <v>27.0</v>
      </c>
      <c r="AC42" s="112">
        <v>43.0</v>
      </c>
      <c r="AD42" s="113">
        <v>144.0</v>
      </c>
    </row>
    <row r="43">
      <c r="A43" s="7"/>
      <c r="B43" s="114" t="s">
        <v>47</v>
      </c>
      <c r="C43" s="30"/>
      <c r="D43" s="30"/>
      <c r="E43" s="72"/>
      <c r="F43" s="117">
        <f t="shared" ref="F43:Q43" si="29">AVERAGE(F40:F42)</f>
        <v>0.7706666667</v>
      </c>
      <c r="G43" s="117">
        <f t="shared" si="29"/>
        <v>0.7303333333</v>
      </c>
      <c r="H43" s="115">
        <f t="shared" si="29"/>
        <v>0.6763333333</v>
      </c>
      <c r="I43" s="117">
        <f t="shared" si="29"/>
        <v>0.7276666667</v>
      </c>
      <c r="J43" s="115">
        <f t="shared" si="29"/>
        <v>0.729</v>
      </c>
      <c r="K43" s="117">
        <f t="shared" si="29"/>
        <v>0.3563333333</v>
      </c>
      <c r="L43" s="115">
        <f t="shared" si="29"/>
        <v>0.814</v>
      </c>
      <c r="M43" s="161">
        <f t="shared" si="29"/>
        <v>0.804</v>
      </c>
      <c r="N43" s="115">
        <f t="shared" si="29"/>
        <v>44</v>
      </c>
      <c r="O43" s="115">
        <f t="shared" si="29"/>
        <v>37.66666667</v>
      </c>
      <c r="P43" s="115">
        <f t="shared" si="29"/>
        <v>35</v>
      </c>
      <c r="Q43" s="115">
        <f t="shared" si="29"/>
        <v>152.6666667</v>
      </c>
      <c r="R43" s="116"/>
      <c r="S43" s="115">
        <f t="shared" ref="S43:AD43" si="30">AVERAGE(S40:S42)</f>
        <v>0.7563333333</v>
      </c>
      <c r="T43" s="115">
        <f t="shared" si="30"/>
        <v>0.693</v>
      </c>
      <c r="U43" s="115">
        <f t="shared" si="30"/>
        <v>0.652</v>
      </c>
      <c r="V43" s="115">
        <f t="shared" si="30"/>
        <v>0.67</v>
      </c>
      <c r="W43" s="115">
        <f t="shared" si="30"/>
        <v>0.7343333333</v>
      </c>
      <c r="X43" s="115">
        <f t="shared" si="30"/>
        <v>0.314</v>
      </c>
      <c r="Y43" s="117">
        <f t="shared" si="30"/>
        <v>0.7546666667</v>
      </c>
      <c r="Z43" s="115">
        <f t="shared" si="30"/>
        <v>0.8233333333</v>
      </c>
      <c r="AA43" s="115">
        <f t="shared" si="30"/>
        <v>45</v>
      </c>
      <c r="AB43" s="115">
        <f t="shared" si="30"/>
        <v>36.66666667</v>
      </c>
      <c r="AC43" s="117">
        <f t="shared" si="30"/>
        <v>46</v>
      </c>
      <c r="AD43" s="162">
        <f t="shared" si="30"/>
        <v>141.6666667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0.02411085509</v>
      </c>
      <c r="G44" s="123">
        <f t="shared" si="31"/>
        <v>0.01006644591</v>
      </c>
      <c r="H44" s="123">
        <f t="shared" si="31"/>
        <v>0.03707200201</v>
      </c>
      <c r="I44" s="123">
        <f t="shared" si="31"/>
        <v>0.01594783162</v>
      </c>
      <c r="J44" s="123">
        <f t="shared" si="31"/>
        <v>0.02260530911</v>
      </c>
      <c r="K44" s="123">
        <f t="shared" si="31"/>
        <v>0.05368736661</v>
      </c>
      <c r="L44" s="123">
        <f t="shared" si="31"/>
        <v>0.03973663297</v>
      </c>
      <c r="M44" s="123">
        <f t="shared" si="31"/>
        <v>0.03176476035</v>
      </c>
      <c r="N44" s="123">
        <f t="shared" si="31"/>
        <v>9.16515139</v>
      </c>
      <c r="O44" s="123">
        <f t="shared" si="31"/>
        <v>9.073771726</v>
      </c>
      <c r="P44" s="123">
        <f t="shared" si="31"/>
        <v>7.549834435</v>
      </c>
      <c r="Q44" s="123">
        <f t="shared" si="31"/>
        <v>7.023769169</v>
      </c>
      <c r="R44" s="123"/>
      <c r="S44" s="123">
        <f t="shared" ref="S44:AD44" si="32">STDEV(S40:S42)</f>
        <v>0.0261023626</v>
      </c>
      <c r="T44" s="123">
        <f t="shared" si="32"/>
        <v>0.05467174773</v>
      </c>
      <c r="U44" s="123">
        <f t="shared" si="32"/>
        <v>0.1058867319</v>
      </c>
      <c r="V44" s="123">
        <f t="shared" si="32"/>
        <v>0.06690291473</v>
      </c>
      <c r="W44" s="123">
        <f t="shared" si="32"/>
        <v>0.05387330817</v>
      </c>
      <c r="X44" s="123">
        <f t="shared" si="32"/>
        <v>0.1577244433</v>
      </c>
      <c r="Y44" s="123">
        <f t="shared" si="32"/>
        <v>0.2263897819</v>
      </c>
      <c r="Z44" s="123">
        <f t="shared" si="32"/>
        <v>0.1032731007</v>
      </c>
      <c r="AA44" s="123">
        <f t="shared" si="32"/>
        <v>34.11744422</v>
      </c>
      <c r="AB44" s="123">
        <f t="shared" si="32"/>
        <v>33.56088994</v>
      </c>
      <c r="AC44" s="123">
        <f t="shared" si="32"/>
        <v>42.57933771</v>
      </c>
      <c r="AD44" s="123">
        <f t="shared" si="32"/>
        <v>42.5480121</v>
      </c>
    </row>
    <row r="45">
      <c r="A45" s="171" t="s">
        <v>84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0.765</v>
      </c>
      <c r="G45" s="91">
        <v>0.689</v>
      </c>
      <c r="H45" s="91">
        <v>0.718</v>
      </c>
      <c r="I45" s="91">
        <v>0.701</v>
      </c>
      <c r="J45" s="91">
        <v>0.76</v>
      </c>
      <c r="K45" s="91">
        <v>0.401</v>
      </c>
      <c r="L45" s="91">
        <v>0.644</v>
      </c>
      <c r="M45" s="91">
        <v>0.877</v>
      </c>
      <c r="N45" s="92">
        <v>65.0</v>
      </c>
      <c r="O45" s="92">
        <v>17.0</v>
      </c>
      <c r="P45" s="92">
        <v>67.0</v>
      </c>
      <c r="Q45" s="92">
        <v>121.0</v>
      </c>
      <c r="R45" s="93"/>
      <c r="S45" s="94">
        <v>0.745</v>
      </c>
      <c r="T45" s="95">
        <v>0.689</v>
      </c>
      <c r="U45" s="95">
        <v>0.673</v>
      </c>
      <c r="V45" s="95">
        <v>0.698</v>
      </c>
      <c r="W45" s="95">
        <v>0.718</v>
      </c>
      <c r="X45" s="94">
        <v>0.327</v>
      </c>
      <c r="Y45" s="94">
        <v>0.713</v>
      </c>
      <c r="Z45" s="94">
        <v>0.817</v>
      </c>
      <c r="AA45" s="96">
        <v>52.0</v>
      </c>
      <c r="AB45" s="97">
        <v>30.0</v>
      </c>
      <c r="AC45" s="97">
        <v>54.0</v>
      </c>
      <c r="AD45" s="98">
        <v>134.0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0.724</v>
      </c>
      <c r="G46" s="101">
        <v>0.717</v>
      </c>
      <c r="H46" s="101">
        <v>0.64</v>
      </c>
      <c r="I46" s="101">
        <v>0.709</v>
      </c>
      <c r="J46" s="101">
        <v>0.705</v>
      </c>
      <c r="K46" s="101">
        <v>0.297</v>
      </c>
      <c r="L46" s="101">
        <v>0.835</v>
      </c>
      <c r="M46" s="101">
        <v>0.777</v>
      </c>
      <c r="N46" s="102">
        <v>36.0</v>
      </c>
      <c r="O46" s="102">
        <v>45.0</v>
      </c>
      <c r="P46" s="102">
        <v>31.0</v>
      </c>
      <c r="Q46" s="102">
        <v>157.0</v>
      </c>
      <c r="R46" s="103"/>
      <c r="S46" s="104">
        <v>0.743</v>
      </c>
      <c r="T46" s="105">
        <v>0.729</v>
      </c>
      <c r="U46" s="105">
        <v>0.585</v>
      </c>
      <c r="V46" s="105">
        <v>0.679</v>
      </c>
      <c r="W46" s="105">
        <v>0.71</v>
      </c>
      <c r="X46" s="104">
        <v>0.254</v>
      </c>
      <c r="Y46" s="104">
        <v>0.947</v>
      </c>
      <c r="Z46" s="104">
        <v>0.739</v>
      </c>
      <c r="AA46" s="106">
        <v>18.0</v>
      </c>
      <c r="AB46" s="107">
        <v>10.0</v>
      </c>
      <c r="AC46" s="107">
        <v>63.0</v>
      </c>
      <c r="AD46" s="108">
        <v>178.0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0.749</v>
      </c>
      <c r="G47" s="101">
        <v>0.706</v>
      </c>
      <c r="H47" s="101">
        <v>0.563</v>
      </c>
      <c r="I47" s="101">
        <v>0.654</v>
      </c>
      <c r="J47" s="101">
        <v>0.672</v>
      </c>
      <c r="K47" s="101">
        <v>0.186</v>
      </c>
      <c r="L47" s="101">
        <v>0.93</v>
      </c>
      <c r="M47" s="101">
        <v>0.725</v>
      </c>
      <c r="N47" s="110">
        <v>16.0</v>
      </c>
      <c r="O47" s="110">
        <v>66.0</v>
      </c>
      <c r="P47" s="110">
        <v>13.0</v>
      </c>
      <c r="Q47" s="110">
        <v>174.0</v>
      </c>
      <c r="R47" s="103"/>
      <c r="S47" s="104">
        <v>0.788</v>
      </c>
      <c r="T47" s="105">
        <v>0.729</v>
      </c>
      <c r="U47" s="105">
        <v>0.736</v>
      </c>
      <c r="V47" s="105">
        <v>0.738</v>
      </c>
      <c r="W47" s="105">
        <v>0.769</v>
      </c>
      <c r="X47" s="104">
        <v>0.44</v>
      </c>
      <c r="Y47" s="104">
        <v>0.717</v>
      </c>
      <c r="Z47" s="104">
        <v>0.87</v>
      </c>
      <c r="AA47" s="111">
        <v>62.0</v>
      </c>
      <c r="AB47" s="112">
        <v>20.0</v>
      </c>
      <c r="AC47" s="112">
        <v>53.0</v>
      </c>
      <c r="AD47" s="113">
        <v>134.0</v>
      </c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0.746</v>
      </c>
      <c r="G48" s="115">
        <f t="shared" si="33"/>
        <v>0.704</v>
      </c>
      <c r="H48" s="115">
        <f t="shared" si="33"/>
        <v>0.6403333333</v>
      </c>
      <c r="I48" s="115">
        <f t="shared" si="33"/>
        <v>0.688</v>
      </c>
      <c r="J48" s="115">
        <f t="shared" si="33"/>
        <v>0.7123333333</v>
      </c>
      <c r="K48" s="115">
        <f t="shared" si="33"/>
        <v>0.2946666667</v>
      </c>
      <c r="L48" s="115">
        <f t="shared" si="33"/>
        <v>0.803</v>
      </c>
      <c r="M48" s="115">
        <f t="shared" si="33"/>
        <v>0.793</v>
      </c>
      <c r="N48" s="115">
        <f t="shared" si="33"/>
        <v>39</v>
      </c>
      <c r="O48" s="115">
        <f t="shared" si="33"/>
        <v>42.66666667</v>
      </c>
      <c r="P48" s="115">
        <f t="shared" si="33"/>
        <v>37</v>
      </c>
      <c r="Q48" s="115">
        <f t="shared" si="33"/>
        <v>150.6666667</v>
      </c>
      <c r="R48" s="116"/>
      <c r="S48" s="115">
        <f t="shared" ref="S48:AD48" si="34">AVERAGE(S45:S47)</f>
        <v>0.7586666667</v>
      </c>
      <c r="T48" s="115">
        <f t="shared" si="34"/>
        <v>0.7156666667</v>
      </c>
      <c r="U48" s="115">
        <f t="shared" si="34"/>
        <v>0.6646666667</v>
      </c>
      <c r="V48" s="115">
        <f t="shared" si="34"/>
        <v>0.705</v>
      </c>
      <c r="W48" s="115">
        <f t="shared" si="34"/>
        <v>0.7323333333</v>
      </c>
      <c r="X48" s="115">
        <f t="shared" si="34"/>
        <v>0.3403333333</v>
      </c>
      <c r="Y48" s="115">
        <f t="shared" si="34"/>
        <v>0.7923333333</v>
      </c>
      <c r="Z48" s="115">
        <f t="shared" si="34"/>
        <v>0.8086666667</v>
      </c>
      <c r="AA48" s="115">
        <f t="shared" si="34"/>
        <v>44</v>
      </c>
      <c r="AB48" s="115">
        <f t="shared" si="34"/>
        <v>20</v>
      </c>
      <c r="AC48" s="115">
        <f t="shared" si="34"/>
        <v>56.66666667</v>
      </c>
      <c r="AD48" s="118">
        <f t="shared" si="34"/>
        <v>148.6666667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0.02066397832</v>
      </c>
      <c r="G49" s="123">
        <f t="shared" si="35"/>
        <v>0.01410673598</v>
      </c>
      <c r="H49" s="123">
        <f t="shared" si="35"/>
        <v>0.07750053763</v>
      </c>
      <c r="I49" s="123">
        <f t="shared" si="35"/>
        <v>0.02971531592</v>
      </c>
      <c r="J49" s="123">
        <f t="shared" si="35"/>
        <v>0.04445597073</v>
      </c>
      <c r="K49" s="123">
        <f t="shared" si="35"/>
        <v>0.1075189906</v>
      </c>
      <c r="L49" s="123">
        <f t="shared" si="35"/>
        <v>0.1456605643</v>
      </c>
      <c r="M49" s="123">
        <f t="shared" si="35"/>
        <v>0.07725283166</v>
      </c>
      <c r="N49" s="123">
        <f t="shared" si="35"/>
        <v>24.63736999</v>
      </c>
      <c r="O49" s="123">
        <f t="shared" si="35"/>
        <v>24.58319209</v>
      </c>
      <c r="P49" s="123">
        <f t="shared" si="35"/>
        <v>27.49545417</v>
      </c>
      <c r="Q49" s="123">
        <f t="shared" si="35"/>
        <v>27.06165799</v>
      </c>
      <c r="R49" s="123"/>
      <c r="S49" s="123">
        <f t="shared" ref="S49:AD49" si="36">STDEV(S45:S47)</f>
        <v>0.02542308662</v>
      </c>
      <c r="T49" s="123">
        <f t="shared" si="36"/>
        <v>0.02309401077</v>
      </c>
      <c r="U49" s="123">
        <f t="shared" si="36"/>
        <v>0.07584413842</v>
      </c>
      <c r="V49" s="123">
        <f t="shared" si="36"/>
        <v>0.03011644069</v>
      </c>
      <c r="W49" s="123">
        <f t="shared" si="36"/>
        <v>0.03200520791</v>
      </c>
      <c r="X49" s="123">
        <f t="shared" si="36"/>
        <v>0.09371410424</v>
      </c>
      <c r="Y49" s="123">
        <f t="shared" si="36"/>
        <v>0.1339601931</v>
      </c>
      <c r="Z49" s="123">
        <f t="shared" si="36"/>
        <v>0.06589638331</v>
      </c>
      <c r="AA49" s="123">
        <f t="shared" si="36"/>
        <v>23.06512519</v>
      </c>
      <c r="AB49" s="123">
        <f t="shared" si="36"/>
        <v>10</v>
      </c>
      <c r="AC49" s="123">
        <f t="shared" si="36"/>
        <v>5.507570547</v>
      </c>
      <c r="AD49" s="123">
        <f t="shared" si="36"/>
        <v>25.40341184</v>
      </c>
    </row>
    <row r="50">
      <c r="A50" s="171" t="s">
        <v>84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0.776</v>
      </c>
      <c r="G50" s="125">
        <v>0.763</v>
      </c>
      <c r="H50" s="125">
        <v>0.668</v>
      </c>
      <c r="I50" s="125">
        <v>0.745</v>
      </c>
      <c r="J50" s="125">
        <v>0.751</v>
      </c>
      <c r="K50" s="125">
        <v>0.392</v>
      </c>
      <c r="L50" s="125">
        <v>0.91</v>
      </c>
      <c r="M50" s="125">
        <v>0.784</v>
      </c>
      <c r="N50" s="126">
        <v>35.0</v>
      </c>
      <c r="O50" s="126">
        <v>47.0</v>
      </c>
      <c r="P50" s="126">
        <v>17.0</v>
      </c>
      <c r="Q50" s="126">
        <v>171.0</v>
      </c>
      <c r="R50" s="127"/>
      <c r="S50" s="128">
        <v>0.745</v>
      </c>
      <c r="T50" s="129">
        <v>0.674</v>
      </c>
      <c r="U50" s="129">
        <v>0.69</v>
      </c>
      <c r="V50" s="129">
        <v>0.687</v>
      </c>
      <c r="W50" s="129">
        <v>0.735</v>
      </c>
      <c r="X50" s="128">
        <v>0.351</v>
      </c>
      <c r="Y50" s="128">
        <v>0.649</v>
      </c>
      <c r="Z50" s="128">
        <v>0.847</v>
      </c>
      <c r="AA50" s="148">
        <v>60.0</v>
      </c>
      <c r="AB50" s="149">
        <v>22.0</v>
      </c>
      <c r="AC50" s="149">
        <v>66.0</v>
      </c>
      <c r="AD50" s="150">
        <v>122.0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0.724</v>
      </c>
      <c r="G51" s="134">
        <v>0.743</v>
      </c>
      <c r="H51" s="134">
        <v>0.651</v>
      </c>
      <c r="I51" s="134">
        <v>0.728</v>
      </c>
      <c r="J51" s="134">
        <v>0.727</v>
      </c>
      <c r="K51" s="134">
        <v>0.342</v>
      </c>
      <c r="L51" s="134">
        <v>0.883</v>
      </c>
      <c r="M51" s="134">
        <v>0.779</v>
      </c>
      <c r="N51" s="135">
        <v>34.0</v>
      </c>
      <c r="O51" s="135">
        <v>47.0</v>
      </c>
      <c r="P51" s="135">
        <v>22.0</v>
      </c>
      <c r="Q51" s="135">
        <v>166.0</v>
      </c>
      <c r="R51" s="136"/>
      <c r="S51" s="137">
        <v>0.748</v>
      </c>
      <c r="T51" s="138">
        <v>0.74</v>
      </c>
      <c r="U51" s="138">
        <v>0.659</v>
      </c>
      <c r="V51" s="138">
        <v>0.729</v>
      </c>
      <c r="W51" s="138">
        <v>0.726</v>
      </c>
      <c r="X51" s="137">
        <v>0.345</v>
      </c>
      <c r="Y51" s="137">
        <v>0.862</v>
      </c>
      <c r="Z51" s="137">
        <v>0.786</v>
      </c>
      <c r="AA51" s="139">
        <v>37.0</v>
      </c>
      <c r="AB51" s="140">
        <v>44.0</v>
      </c>
      <c r="AC51" s="140">
        <v>26.0</v>
      </c>
      <c r="AD51" s="141">
        <v>162.0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0.779</v>
      </c>
      <c r="G52" s="143">
        <v>0.729</v>
      </c>
      <c r="H52" s="143">
        <v>0.637</v>
      </c>
      <c r="I52" s="143">
        <v>0.713</v>
      </c>
      <c r="J52" s="143">
        <v>0.711</v>
      </c>
      <c r="K52" s="143">
        <v>0.309</v>
      </c>
      <c r="L52" s="143">
        <v>0.872</v>
      </c>
      <c r="M52" s="143">
        <v>0.769</v>
      </c>
      <c r="N52" s="144">
        <v>33.0</v>
      </c>
      <c r="O52" s="144">
        <v>49.0</v>
      </c>
      <c r="P52" s="144">
        <v>24.0</v>
      </c>
      <c r="Q52" s="144">
        <v>163.0</v>
      </c>
      <c r="R52" s="145"/>
      <c r="S52" s="146">
        <v>0.709</v>
      </c>
      <c r="T52" s="147">
        <v>0.699</v>
      </c>
      <c r="U52" s="147">
        <v>0.64</v>
      </c>
      <c r="V52" s="147">
        <v>0.697</v>
      </c>
      <c r="W52" s="147">
        <v>0.696</v>
      </c>
      <c r="X52" s="146">
        <v>0.282</v>
      </c>
      <c r="Y52" s="146">
        <v>0.791</v>
      </c>
      <c r="Z52" s="146">
        <v>0.779</v>
      </c>
      <c r="AA52" s="148">
        <v>40.0</v>
      </c>
      <c r="AB52" s="149">
        <v>42.0</v>
      </c>
      <c r="AC52" s="149">
        <v>39.0</v>
      </c>
      <c r="AD52" s="150">
        <v>148.0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0.7596666667</v>
      </c>
      <c r="G53" s="151">
        <f t="shared" si="37"/>
        <v>0.745</v>
      </c>
      <c r="H53" s="151">
        <f t="shared" si="37"/>
        <v>0.652</v>
      </c>
      <c r="I53" s="151">
        <f t="shared" si="37"/>
        <v>0.7286666667</v>
      </c>
      <c r="J53" s="151">
        <f t="shared" si="37"/>
        <v>0.7296666667</v>
      </c>
      <c r="K53" s="151">
        <f t="shared" si="37"/>
        <v>0.3476666667</v>
      </c>
      <c r="L53" s="161">
        <f t="shared" si="37"/>
        <v>0.8883333333</v>
      </c>
      <c r="M53" s="151">
        <f t="shared" si="37"/>
        <v>0.7773333333</v>
      </c>
      <c r="N53" s="151">
        <f t="shared" si="37"/>
        <v>34</v>
      </c>
      <c r="O53" s="151">
        <f t="shared" si="37"/>
        <v>47.66666667</v>
      </c>
      <c r="P53" s="151">
        <f t="shared" si="37"/>
        <v>21</v>
      </c>
      <c r="Q53" s="151">
        <f t="shared" si="37"/>
        <v>166.6666667</v>
      </c>
      <c r="R53" s="152"/>
      <c r="S53" s="151">
        <f t="shared" ref="S53:AD53" si="38">AVERAGE(S50:S52)</f>
        <v>0.734</v>
      </c>
      <c r="T53" s="151">
        <f t="shared" si="38"/>
        <v>0.7043333333</v>
      </c>
      <c r="U53" s="151">
        <f t="shared" si="38"/>
        <v>0.663</v>
      </c>
      <c r="V53" s="151">
        <f t="shared" si="38"/>
        <v>0.7043333333</v>
      </c>
      <c r="W53" s="151">
        <f t="shared" si="38"/>
        <v>0.719</v>
      </c>
      <c r="X53" s="151">
        <f t="shared" si="38"/>
        <v>0.326</v>
      </c>
      <c r="Y53" s="151">
        <f t="shared" si="38"/>
        <v>0.7673333333</v>
      </c>
      <c r="Z53" s="151">
        <f t="shared" si="38"/>
        <v>0.804</v>
      </c>
      <c r="AA53" s="151">
        <f t="shared" si="38"/>
        <v>45.66666667</v>
      </c>
      <c r="AB53" s="151">
        <f t="shared" si="38"/>
        <v>36</v>
      </c>
      <c r="AC53" s="151">
        <f t="shared" si="38"/>
        <v>43.66666667</v>
      </c>
      <c r="AD53" s="153">
        <f t="shared" si="38"/>
        <v>144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0.03092463958</v>
      </c>
      <c r="G54" s="154">
        <f t="shared" si="39"/>
        <v>0.01708800749</v>
      </c>
      <c r="H54" s="154">
        <f t="shared" si="39"/>
        <v>0.0155241747</v>
      </c>
      <c r="I54" s="154">
        <f t="shared" si="39"/>
        <v>0.01601041328</v>
      </c>
      <c r="J54" s="154">
        <f t="shared" si="39"/>
        <v>0.02013289183</v>
      </c>
      <c r="K54" s="154">
        <f t="shared" si="39"/>
        <v>0.0417891533</v>
      </c>
      <c r="L54" s="154">
        <f t="shared" si="39"/>
        <v>0.01955334583</v>
      </c>
      <c r="M54" s="154">
        <f t="shared" si="39"/>
        <v>0.007637626158</v>
      </c>
      <c r="N54" s="154">
        <f t="shared" si="39"/>
        <v>1</v>
      </c>
      <c r="O54" s="154">
        <f t="shared" si="39"/>
        <v>1.154700538</v>
      </c>
      <c r="P54" s="154">
        <f t="shared" si="39"/>
        <v>3.605551275</v>
      </c>
      <c r="Q54" s="154">
        <f t="shared" si="39"/>
        <v>4.041451884</v>
      </c>
      <c r="R54" s="154"/>
      <c r="S54" s="154">
        <f t="shared" ref="S54:AD54" si="40">STDEV(S50:S52)</f>
        <v>0.02170253441</v>
      </c>
      <c r="T54" s="154">
        <f t="shared" si="40"/>
        <v>0.03332166462</v>
      </c>
      <c r="U54" s="154">
        <f t="shared" si="40"/>
        <v>0.02523885893</v>
      </c>
      <c r="V54" s="154">
        <f t="shared" si="40"/>
        <v>0.02193931023</v>
      </c>
      <c r="W54" s="154">
        <f t="shared" si="40"/>
        <v>0.02042057786</v>
      </c>
      <c r="X54" s="154">
        <f t="shared" si="40"/>
        <v>0.03822302971</v>
      </c>
      <c r="Y54" s="154">
        <f t="shared" si="40"/>
        <v>0.1084542914</v>
      </c>
      <c r="Z54" s="154">
        <f t="shared" si="40"/>
        <v>0.03740320842</v>
      </c>
      <c r="AA54" s="154">
        <f t="shared" si="40"/>
        <v>12.50333289</v>
      </c>
      <c r="AB54" s="154">
        <f t="shared" si="40"/>
        <v>12.16552506</v>
      </c>
      <c r="AC54" s="154">
        <f t="shared" si="40"/>
        <v>20.40424792</v>
      </c>
      <c r="AD54" s="154">
        <f t="shared" si="40"/>
        <v>20.29778313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AVERAGE(F8,F13,F18,F23,F28,F33,F38,F43,F48,F53)</f>
        <v>0.7637333333</v>
      </c>
      <c r="G55" s="167">
        <f t="shared" si="41"/>
        <v>0.7312333333</v>
      </c>
      <c r="H55" s="167">
        <f t="shared" si="41"/>
        <v>0.6540333333</v>
      </c>
      <c r="I55" s="167">
        <f t="shared" si="41"/>
        <v>0.7178666667</v>
      </c>
      <c r="J55" s="167">
        <f t="shared" si="41"/>
        <v>0.7237</v>
      </c>
      <c r="K55" s="167">
        <f t="shared" si="41"/>
        <v>0.3334666667</v>
      </c>
      <c r="L55" s="167">
        <f t="shared" si="41"/>
        <v>0.8505666667</v>
      </c>
      <c r="M55" s="167">
        <f t="shared" si="41"/>
        <v>0.7863333333</v>
      </c>
      <c r="N55" s="167">
        <f t="shared" si="41"/>
        <v>37.36666667</v>
      </c>
      <c r="O55" s="167">
        <f t="shared" si="41"/>
        <v>44.3</v>
      </c>
      <c r="P55" s="167">
        <f t="shared" si="41"/>
        <v>28.06666667</v>
      </c>
      <c r="Q55" s="167">
        <f t="shared" si="41"/>
        <v>159.6</v>
      </c>
      <c r="R55" s="168"/>
      <c r="S55" s="167">
        <f t="shared" ref="S55:AD55" si="42">AVERAGE(S8,S13,S18,S23,S28,S33,S38,S43,S48,S53)</f>
        <v>0.7456333333</v>
      </c>
      <c r="T55" s="167">
        <f t="shared" si="42"/>
        <v>0.7113333333</v>
      </c>
      <c r="U55" s="167">
        <f t="shared" si="42"/>
        <v>0.6613</v>
      </c>
      <c r="V55" s="167">
        <f t="shared" si="42"/>
        <v>0.7062333333</v>
      </c>
      <c r="W55" s="167">
        <f t="shared" si="42"/>
        <v>0.7219666667</v>
      </c>
      <c r="X55" s="167">
        <f t="shared" si="42"/>
        <v>0.3285333333</v>
      </c>
      <c r="Y55" s="167">
        <f t="shared" si="42"/>
        <v>0.7881666667</v>
      </c>
      <c r="Z55" s="167">
        <f t="shared" si="42"/>
        <v>0.8016666667</v>
      </c>
      <c r="AA55" s="167">
        <f t="shared" si="42"/>
        <v>43.66666667</v>
      </c>
      <c r="AB55" s="167">
        <f t="shared" si="42"/>
        <v>36.23333333</v>
      </c>
      <c r="AC55" s="167">
        <f t="shared" si="42"/>
        <v>41.53333333</v>
      </c>
      <c r="AD55" s="167">
        <f t="shared" si="42"/>
        <v>147.9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_xlfn.STDEV.P(F8,F13,F18,F23,F28,F33,F38,F43,F48,F53)</f>
        <v>0.01131547613</v>
      </c>
      <c r="G57" s="168">
        <f t="shared" si="43"/>
        <v>0.01219840609</v>
      </c>
      <c r="H57" s="168">
        <f t="shared" si="43"/>
        <v>0.01652503152</v>
      </c>
      <c r="I57" s="168">
        <f t="shared" si="43"/>
        <v>0.01423938201</v>
      </c>
      <c r="J57" s="168">
        <f t="shared" si="43"/>
        <v>0.009356459444</v>
      </c>
      <c r="K57" s="168">
        <f t="shared" si="43"/>
        <v>0.02650291389</v>
      </c>
      <c r="L57" s="168">
        <f t="shared" si="43"/>
        <v>0.02779850116</v>
      </c>
      <c r="M57" s="168">
        <f t="shared" si="43"/>
        <v>0.01227101372</v>
      </c>
      <c r="N57" s="168">
        <f t="shared" si="43"/>
        <v>4.042688874</v>
      </c>
      <c r="O57" s="168">
        <f t="shared" si="43"/>
        <v>4.042688874</v>
      </c>
      <c r="P57" s="168">
        <f t="shared" si="43"/>
        <v>5.225578118</v>
      </c>
      <c r="Q57" s="168">
        <f t="shared" si="43"/>
        <v>5.225578118</v>
      </c>
      <c r="R57" s="168"/>
      <c r="S57" s="168">
        <f t="shared" ref="S57:AD57" si="44">_xlfn.STDEV.P(S8,S13,S18,S23,S28,S33,S38,S43,S48,S53)</f>
        <v>0.008959724698</v>
      </c>
      <c r="T57" s="168">
        <f t="shared" si="44"/>
        <v>0.01469693846</v>
      </c>
      <c r="U57" s="168">
        <f t="shared" si="44"/>
        <v>0.004603018333</v>
      </c>
      <c r="V57" s="168">
        <f t="shared" si="44"/>
        <v>0.01475055555</v>
      </c>
      <c r="W57" s="168">
        <f t="shared" si="44"/>
        <v>0.008982019075</v>
      </c>
      <c r="X57" s="168">
        <f t="shared" si="44"/>
        <v>0.0142339188</v>
      </c>
      <c r="Y57" s="168">
        <f t="shared" si="44"/>
        <v>0.03619553379</v>
      </c>
      <c r="Z57" s="168">
        <f t="shared" si="44"/>
        <v>0.00986351301</v>
      </c>
      <c r="AA57" s="168">
        <f t="shared" si="44"/>
        <v>2.996294007</v>
      </c>
      <c r="AB57" s="168">
        <f t="shared" si="44"/>
        <v>6.184299116</v>
      </c>
      <c r="AC57" s="168">
        <f t="shared" si="44"/>
        <v>8.461940938</v>
      </c>
      <c r="AD57" s="168">
        <f t="shared" si="44"/>
        <v>6.798774399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85</v>
      </c>
      <c r="O2" s="77" t="s">
        <v>3</v>
      </c>
      <c r="P2" s="77" t="s">
        <v>4</v>
      </c>
      <c r="Q2" s="77" t="s">
        <v>86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87</v>
      </c>
      <c r="AB2" s="77" t="s">
        <v>3</v>
      </c>
      <c r="AC2" s="77" t="s">
        <v>4</v>
      </c>
      <c r="AD2" s="78" t="s">
        <v>88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89</v>
      </c>
      <c r="B5" s="88">
        <v>1.0</v>
      </c>
      <c r="C5" s="89" t="b">
        <v>1</v>
      </c>
      <c r="D5" s="89" t="s">
        <v>43</v>
      </c>
      <c r="E5" s="89" t="s">
        <v>44</v>
      </c>
      <c r="F5" s="172">
        <v>0.762</v>
      </c>
      <c r="G5" s="173">
        <v>0.759</v>
      </c>
      <c r="H5" s="173">
        <v>0.707</v>
      </c>
      <c r="I5" s="173">
        <v>0.757</v>
      </c>
      <c r="J5" s="173">
        <v>0.755</v>
      </c>
      <c r="K5" s="173">
        <v>0.421</v>
      </c>
      <c r="L5" s="173">
        <v>0.84</v>
      </c>
      <c r="M5" s="173">
        <v>0.819</v>
      </c>
      <c r="N5" s="174">
        <v>47.0</v>
      </c>
      <c r="O5" s="174">
        <v>35.0</v>
      </c>
      <c r="P5" s="174">
        <v>30.0</v>
      </c>
      <c r="Q5" s="174">
        <v>158.0</v>
      </c>
      <c r="R5" s="175"/>
      <c r="S5" s="176">
        <v>0.739</v>
      </c>
      <c r="T5" s="177">
        <v>0.696</v>
      </c>
      <c r="U5" s="177">
        <v>0.693</v>
      </c>
      <c r="V5" s="177">
        <v>0.707</v>
      </c>
      <c r="W5" s="177">
        <v>0.734</v>
      </c>
      <c r="X5" s="176">
        <v>0.359</v>
      </c>
      <c r="Y5" s="176">
        <v>0.702</v>
      </c>
      <c r="Z5" s="176">
        <v>0.835</v>
      </c>
      <c r="AA5" s="178">
        <v>56.0</v>
      </c>
      <c r="AB5" s="179">
        <v>26.0</v>
      </c>
      <c r="AC5" s="179">
        <v>56.0</v>
      </c>
      <c r="AD5" s="180">
        <v>132.0</v>
      </c>
    </row>
    <row r="6">
      <c r="A6" s="7"/>
      <c r="C6" s="99" t="b">
        <v>1</v>
      </c>
      <c r="D6" s="99" t="s">
        <v>43</v>
      </c>
      <c r="E6" s="99" t="s">
        <v>45</v>
      </c>
      <c r="F6" s="100">
        <v>0.753</v>
      </c>
      <c r="G6" s="101">
        <v>0.747</v>
      </c>
      <c r="H6" s="101">
        <v>0.689</v>
      </c>
      <c r="I6" s="101">
        <v>0.744</v>
      </c>
      <c r="J6" s="101">
        <v>0.742</v>
      </c>
      <c r="K6" s="101">
        <v>0.387</v>
      </c>
      <c r="L6" s="101">
        <v>0.835</v>
      </c>
      <c r="M6" s="101">
        <v>0.809</v>
      </c>
      <c r="N6" s="102">
        <v>44.0</v>
      </c>
      <c r="O6" s="102">
        <v>37.0</v>
      </c>
      <c r="P6" s="102">
        <v>31.0</v>
      </c>
      <c r="Q6" s="102">
        <v>157.0</v>
      </c>
      <c r="R6" s="103"/>
      <c r="S6" s="104">
        <v>0.724</v>
      </c>
      <c r="T6" s="105">
        <v>0.725</v>
      </c>
      <c r="U6" s="105">
        <v>0.649</v>
      </c>
      <c r="V6" s="105">
        <v>0.717</v>
      </c>
      <c r="W6" s="105">
        <v>0.713</v>
      </c>
      <c r="X6" s="104">
        <v>0.315</v>
      </c>
      <c r="Y6" s="104">
        <v>0.84</v>
      </c>
      <c r="Z6" s="104">
        <v>0.782</v>
      </c>
      <c r="AA6" s="106">
        <v>37.0</v>
      </c>
      <c r="AB6" s="107">
        <v>44.0</v>
      </c>
      <c r="AC6" s="107">
        <v>30.0</v>
      </c>
      <c r="AD6" s="108">
        <v>158.0</v>
      </c>
    </row>
    <row r="7">
      <c r="A7" s="7"/>
      <c r="B7" s="109"/>
      <c r="C7" s="99" t="b">
        <v>1</v>
      </c>
      <c r="D7" s="99" t="s">
        <v>43</v>
      </c>
      <c r="E7" s="99" t="s">
        <v>46</v>
      </c>
      <c r="F7" s="100">
        <v>0.792</v>
      </c>
      <c r="G7" s="101">
        <v>0.729</v>
      </c>
      <c r="H7" s="101">
        <v>0.613</v>
      </c>
      <c r="I7" s="101">
        <v>0.699</v>
      </c>
      <c r="J7" s="101">
        <v>0.707</v>
      </c>
      <c r="K7" s="101">
        <v>0.284</v>
      </c>
      <c r="L7" s="101">
        <v>0.909</v>
      </c>
      <c r="M7" s="101">
        <v>0.752</v>
      </c>
      <c r="N7" s="110">
        <v>26.0</v>
      </c>
      <c r="O7" s="110">
        <v>56.0</v>
      </c>
      <c r="P7" s="110">
        <v>17.0</v>
      </c>
      <c r="Q7" s="110">
        <v>170.0</v>
      </c>
      <c r="R7" s="103"/>
      <c r="S7" s="104">
        <v>0.779</v>
      </c>
      <c r="T7" s="105">
        <v>0.717</v>
      </c>
      <c r="U7" s="105">
        <v>0.68</v>
      </c>
      <c r="V7" s="105">
        <v>0.721</v>
      </c>
      <c r="W7" s="105">
        <v>0.726</v>
      </c>
      <c r="X7" s="104">
        <v>0.352</v>
      </c>
      <c r="Y7" s="104">
        <v>0.775</v>
      </c>
      <c r="Z7" s="104">
        <v>0.81</v>
      </c>
      <c r="AA7" s="111">
        <v>48.0</v>
      </c>
      <c r="AB7" s="112">
        <v>34.0</v>
      </c>
      <c r="AC7" s="112">
        <v>42.0</v>
      </c>
      <c r="AD7" s="113">
        <v>145.0</v>
      </c>
    </row>
    <row r="8">
      <c r="A8" s="7"/>
      <c r="B8" s="114" t="s">
        <v>47</v>
      </c>
      <c r="C8" s="30"/>
      <c r="D8" s="30"/>
      <c r="E8" s="72"/>
      <c r="F8" s="117">
        <f t="shared" ref="F8:Q8" si="1">AVERAGE(F5:F7)</f>
        <v>0.769</v>
      </c>
      <c r="G8" s="117">
        <f t="shared" si="1"/>
        <v>0.745</v>
      </c>
      <c r="H8" s="161">
        <f t="shared" si="1"/>
        <v>0.6696666667</v>
      </c>
      <c r="I8" s="117">
        <f t="shared" si="1"/>
        <v>0.7333333333</v>
      </c>
      <c r="J8" s="115">
        <f t="shared" si="1"/>
        <v>0.7346666667</v>
      </c>
      <c r="K8" s="117">
        <f t="shared" si="1"/>
        <v>0.364</v>
      </c>
      <c r="L8" s="115">
        <f t="shared" si="1"/>
        <v>0.8613333333</v>
      </c>
      <c r="M8" s="117">
        <f t="shared" si="1"/>
        <v>0.7933333333</v>
      </c>
      <c r="N8" s="117">
        <f t="shared" si="1"/>
        <v>39</v>
      </c>
      <c r="O8" s="117">
        <f t="shared" si="1"/>
        <v>42.66666667</v>
      </c>
      <c r="P8" s="115">
        <f t="shared" si="1"/>
        <v>26</v>
      </c>
      <c r="Q8" s="115">
        <f t="shared" si="1"/>
        <v>161.6666667</v>
      </c>
      <c r="R8" s="116"/>
      <c r="S8" s="115">
        <f t="shared" ref="S8:AD8" si="2">AVERAGE(S5:S7)</f>
        <v>0.7473333333</v>
      </c>
      <c r="T8" s="117">
        <f t="shared" si="2"/>
        <v>0.7126666667</v>
      </c>
      <c r="U8" s="115">
        <f t="shared" si="2"/>
        <v>0.674</v>
      </c>
      <c r="V8" s="115">
        <f t="shared" si="2"/>
        <v>0.715</v>
      </c>
      <c r="W8" s="115">
        <f t="shared" si="2"/>
        <v>0.7243333333</v>
      </c>
      <c r="X8" s="115">
        <f t="shared" si="2"/>
        <v>0.342</v>
      </c>
      <c r="Y8" s="115">
        <f t="shared" si="2"/>
        <v>0.7723333333</v>
      </c>
      <c r="Z8" s="115">
        <f t="shared" si="2"/>
        <v>0.809</v>
      </c>
      <c r="AA8" s="115">
        <f t="shared" si="2"/>
        <v>47</v>
      </c>
      <c r="AB8" s="115">
        <f t="shared" si="2"/>
        <v>34.66666667</v>
      </c>
      <c r="AC8" s="115">
        <f t="shared" si="2"/>
        <v>42.66666667</v>
      </c>
      <c r="AD8" s="118">
        <f t="shared" si="2"/>
        <v>145</v>
      </c>
    </row>
    <row r="9">
      <c r="A9" s="119"/>
      <c r="B9" s="120" t="s">
        <v>48</v>
      </c>
      <c r="C9" s="121"/>
      <c r="D9" s="121"/>
      <c r="E9" s="122"/>
      <c r="F9" s="123">
        <f t="shared" ref="F9:Q9" si="3">STDEV(F5:F7)</f>
        <v>0.02042057786</v>
      </c>
      <c r="G9" s="123">
        <f t="shared" si="3"/>
        <v>0.01509966887</v>
      </c>
      <c r="H9" s="123">
        <f t="shared" si="3"/>
        <v>0.04989321931</v>
      </c>
      <c r="I9" s="123">
        <f t="shared" si="3"/>
        <v>0.03043572462</v>
      </c>
      <c r="J9" s="123">
        <f t="shared" si="3"/>
        <v>0.02482606158</v>
      </c>
      <c r="K9" s="123">
        <f t="shared" si="3"/>
        <v>0.07133722731</v>
      </c>
      <c r="L9" s="123">
        <f t="shared" si="3"/>
        <v>0.04135617648</v>
      </c>
      <c r="M9" s="123">
        <f t="shared" si="3"/>
        <v>0.03614323358</v>
      </c>
      <c r="N9" s="123">
        <f t="shared" si="3"/>
        <v>11.35781669</v>
      </c>
      <c r="O9" s="123">
        <f t="shared" si="3"/>
        <v>11.59022577</v>
      </c>
      <c r="P9" s="123">
        <f t="shared" si="3"/>
        <v>7.810249676</v>
      </c>
      <c r="Q9" s="123">
        <f t="shared" si="3"/>
        <v>7.234178138</v>
      </c>
      <c r="R9" s="123"/>
      <c r="S9" s="123">
        <f t="shared" ref="S9:AD9" si="4">STDEV(S5:S7)</f>
        <v>0.02843120352</v>
      </c>
      <c r="T9" s="123">
        <f t="shared" si="4"/>
        <v>0.01497776129</v>
      </c>
      <c r="U9" s="123">
        <f t="shared" si="4"/>
        <v>0.02260530911</v>
      </c>
      <c r="V9" s="123">
        <f t="shared" si="4"/>
        <v>0.007211102551</v>
      </c>
      <c r="W9" s="123">
        <f t="shared" si="4"/>
        <v>0.01059874206</v>
      </c>
      <c r="X9" s="123">
        <f t="shared" si="4"/>
        <v>0.02364318084</v>
      </c>
      <c r="Y9" s="123">
        <f t="shared" si="4"/>
        <v>0.06903863653</v>
      </c>
      <c r="Z9" s="123">
        <f t="shared" si="4"/>
        <v>0.02651414717</v>
      </c>
      <c r="AA9" s="123">
        <f t="shared" si="4"/>
        <v>9.539392014</v>
      </c>
      <c r="AB9" s="123">
        <f t="shared" si="4"/>
        <v>9.018499506</v>
      </c>
      <c r="AC9" s="123">
        <f t="shared" si="4"/>
        <v>13.0128142</v>
      </c>
      <c r="AD9" s="123">
        <f t="shared" si="4"/>
        <v>13</v>
      </c>
    </row>
    <row r="10">
      <c r="A10" s="171" t="s">
        <v>89</v>
      </c>
      <c r="B10" s="88">
        <v>10.0</v>
      </c>
      <c r="C10" s="89" t="b">
        <v>1</v>
      </c>
      <c r="D10" s="89" t="s">
        <v>43</v>
      </c>
      <c r="E10" s="89" t="s">
        <v>44</v>
      </c>
      <c r="F10" s="90">
        <v>0.742</v>
      </c>
      <c r="G10" s="91">
        <v>0.737</v>
      </c>
      <c r="H10" s="91">
        <v>0.674</v>
      </c>
      <c r="I10" s="91">
        <v>0.732</v>
      </c>
      <c r="J10" s="91">
        <v>0.73</v>
      </c>
      <c r="K10" s="91">
        <v>0.36</v>
      </c>
      <c r="L10" s="91">
        <v>0.835</v>
      </c>
      <c r="M10" s="91">
        <v>0.797</v>
      </c>
      <c r="N10" s="92">
        <v>42.0</v>
      </c>
      <c r="O10" s="92">
        <v>40.0</v>
      </c>
      <c r="P10" s="92">
        <v>31.0</v>
      </c>
      <c r="Q10" s="92">
        <v>157.0</v>
      </c>
      <c r="R10" s="93"/>
      <c r="S10" s="94">
        <v>0.734</v>
      </c>
      <c r="T10" s="95">
        <v>0.748</v>
      </c>
      <c r="U10" s="95">
        <v>0.658</v>
      </c>
      <c r="V10" s="95">
        <v>0.733</v>
      </c>
      <c r="W10" s="95">
        <v>0.733</v>
      </c>
      <c r="X10" s="94">
        <v>0.357</v>
      </c>
      <c r="Y10" s="94">
        <v>0.888</v>
      </c>
      <c r="Z10" s="94">
        <v>0.78</v>
      </c>
      <c r="AA10" s="96">
        <v>35.0</v>
      </c>
      <c r="AB10" s="97">
        <v>47.0</v>
      </c>
      <c r="AC10" s="97">
        <v>21.0</v>
      </c>
      <c r="AD10" s="98">
        <v>167.0</v>
      </c>
    </row>
    <row r="11">
      <c r="A11" s="7"/>
      <c r="C11" s="99" t="b">
        <v>1</v>
      </c>
      <c r="D11" s="99" t="s">
        <v>43</v>
      </c>
      <c r="E11" s="99" t="s">
        <v>45</v>
      </c>
      <c r="F11" s="100">
        <v>0.746</v>
      </c>
      <c r="G11" s="101">
        <v>0.732</v>
      </c>
      <c r="H11" s="101">
        <v>0.591</v>
      </c>
      <c r="I11" s="101">
        <v>0.685</v>
      </c>
      <c r="J11" s="101">
        <v>0.716</v>
      </c>
      <c r="K11" s="101">
        <v>0.268</v>
      </c>
      <c r="L11" s="101">
        <v>0.947</v>
      </c>
      <c r="M11" s="101">
        <v>0.742</v>
      </c>
      <c r="N11" s="102">
        <v>19.0</v>
      </c>
      <c r="O11" s="102">
        <v>62.0</v>
      </c>
      <c r="P11" s="102">
        <v>10.0</v>
      </c>
      <c r="Q11" s="102">
        <v>178.0</v>
      </c>
      <c r="R11" s="103"/>
      <c r="S11" s="104">
        <v>0.724</v>
      </c>
      <c r="T11" s="105">
        <v>0.706</v>
      </c>
      <c r="U11" s="105">
        <v>0.6</v>
      </c>
      <c r="V11" s="105">
        <v>0.685</v>
      </c>
      <c r="W11" s="105">
        <v>0.681</v>
      </c>
      <c r="X11" s="104">
        <v>0.233</v>
      </c>
      <c r="Y11" s="104">
        <v>0.867</v>
      </c>
      <c r="Z11" s="104">
        <v>0.751</v>
      </c>
      <c r="AA11" s="106">
        <v>27.0</v>
      </c>
      <c r="AB11" s="107">
        <v>54.0</v>
      </c>
      <c r="AC11" s="107">
        <v>25.0</v>
      </c>
      <c r="AD11" s="108">
        <v>163.0</v>
      </c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>
        <v>0.793</v>
      </c>
      <c r="G12" s="101">
        <v>0.721</v>
      </c>
      <c r="H12" s="101">
        <v>0.597</v>
      </c>
      <c r="I12" s="101">
        <v>0.686</v>
      </c>
      <c r="J12" s="101">
        <v>0.697</v>
      </c>
      <c r="K12" s="101">
        <v>0.255</v>
      </c>
      <c r="L12" s="101">
        <v>0.914</v>
      </c>
      <c r="M12" s="101">
        <v>0.743</v>
      </c>
      <c r="N12" s="110">
        <v>23.0</v>
      </c>
      <c r="O12" s="110">
        <v>59.0</v>
      </c>
      <c r="P12" s="110">
        <v>16.0</v>
      </c>
      <c r="Q12" s="110">
        <v>171.0</v>
      </c>
      <c r="R12" s="103"/>
      <c r="S12" s="104">
        <v>0.816</v>
      </c>
      <c r="T12" s="105">
        <v>0.717</v>
      </c>
      <c r="U12" s="105">
        <v>0.65</v>
      </c>
      <c r="V12" s="105">
        <v>0.712</v>
      </c>
      <c r="W12" s="105">
        <v>0.709</v>
      </c>
      <c r="X12" s="104">
        <v>0.311</v>
      </c>
      <c r="Y12" s="104">
        <v>0.824</v>
      </c>
      <c r="Z12" s="104">
        <v>0.782</v>
      </c>
      <c r="AA12" s="111">
        <v>39.0</v>
      </c>
      <c r="AB12" s="112">
        <v>43.0</v>
      </c>
      <c r="AC12" s="112">
        <v>33.0</v>
      </c>
      <c r="AD12" s="113">
        <v>154.0</v>
      </c>
    </row>
    <row r="13">
      <c r="A13" s="7"/>
      <c r="B13" s="114" t="s">
        <v>47</v>
      </c>
      <c r="C13" s="30"/>
      <c r="D13" s="30"/>
      <c r="E13" s="72"/>
      <c r="F13" s="115">
        <f t="shared" ref="F13:Q13" si="5">AVERAGE(F10:F12)</f>
        <v>0.7603333333</v>
      </c>
      <c r="G13" s="115">
        <f t="shared" si="5"/>
        <v>0.73</v>
      </c>
      <c r="H13" s="115">
        <f t="shared" si="5"/>
        <v>0.6206666667</v>
      </c>
      <c r="I13" s="115">
        <f t="shared" si="5"/>
        <v>0.701</v>
      </c>
      <c r="J13" s="115">
        <f t="shared" si="5"/>
        <v>0.7143333333</v>
      </c>
      <c r="K13" s="115">
        <f t="shared" si="5"/>
        <v>0.2943333333</v>
      </c>
      <c r="L13" s="115">
        <f t="shared" si="5"/>
        <v>0.8986666667</v>
      </c>
      <c r="M13" s="115">
        <f t="shared" si="5"/>
        <v>0.7606666667</v>
      </c>
      <c r="N13" s="115">
        <f t="shared" si="5"/>
        <v>28</v>
      </c>
      <c r="O13" s="115">
        <f t="shared" si="5"/>
        <v>53.66666667</v>
      </c>
      <c r="P13" s="115">
        <f t="shared" si="5"/>
        <v>19</v>
      </c>
      <c r="Q13" s="115">
        <f t="shared" si="5"/>
        <v>168.6666667</v>
      </c>
      <c r="R13" s="116"/>
      <c r="S13" s="117">
        <f t="shared" ref="S13:AD13" si="6">AVERAGE(S10:S12)</f>
        <v>0.758</v>
      </c>
      <c r="T13" s="115">
        <f t="shared" si="6"/>
        <v>0.7236666667</v>
      </c>
      <c r="U13" s="115">
        <f t="shared" si="6"/>
        <v>0.636</v>
      </c>
      <c r="V13" s="117">
        <f t="shared" si="6"/>
        <v>0.71</v>
      </c>
      <c r="W13" s="115">
        <f t="shared" si="6"/>
        <v>0.7076666667</v>
      </c>
      <c r="X13" s="115">
        <f t="shared" si="6"/>
        <v>0.3003333333</v>
      </c>
      <c r="Y13" s="115">
        <f t="shared" si="6"/>
        <v>0.8596666667</v>
      </c>
      <c r="Z13" s="115">
        <f t="shared" si="6"/>
        <v>0.771</v>
      </c>
      <c r="AA13" s="115">
        <f t="shared" si="6"/>
        <v>33.66666667</v>
      </c>
      <c r="AB13" s="115">
        <f t="shared" si="6"/>
        <v>48</v>
      </c>
      <c r="AC13" s="115">
        <f t="shared" si="6"/>
        <v>26.33333333</v>
      </c>
      <c r="AD13" s="118">
        <f t="shared" si="6"/>
        <v>161.3333333</v>
      </c>
    </row>
    <row r="14">
      <c r="A14" s="119"/>
      <c r="B14" s="120" t="s">
        <v>48</v>
      </c>
      <c r="C14" s="121"/>
      <c r="D14" s="121"/>
      <c r="E14" s="122"/>
      <c r="F14" s="123">
        <f t="shared" ref="F14:Q14" si="7">STDEV(F10:F12)</f>
        <v>0.02836077103</v>
      </c>
      <c r="G14" s="123">
        <f t="shared" si="7"/>
        <v>0.008185352772</v>
      </c>
      <c r="H14" s="123">
        <f t="shared" si="7"/>
        <v>0.04628534685</v>
      </c>
      <c r="I14" s="123">
        <f t="shared" si="7"/>
        <v>0.02685144316</v>
      </c>
      <c r="J14" s="123">
        <f t="shared" si="7"/>
        <v>0.016563011</v>
      </c>
      <c r="K14" s="123">
        <f t="shared" si="7"/>
        <v>0.05723926391</v>
      </c>
      <c r="L14" s="123">
        <f t="shared" si="7"/>
        <v>0.05755287424</v>
      </c>
      <c r="M14" s="123">
        <f t="shared" si="7"/>
        <v>0.03146956201</v>
      </c>
      <c r="N14" s="123">
        <f t="shared" si="7"/>
        <v>12.28820573</v>
      </c>
      <c r="O14" s="123">
        <f t="shared" si="7"/>
        <v>11.93035345</v>
      </c>
      <c r="P14" s="123">
        <f t="shared" si="7"/>
        <v>10.81665383</v>
      </c>
      <c r="Q14" s="123">
        <f t="shared" si="7"/>
        <v>10.69267662</v>
      </c>
      <c r="R14" s="123"/>
      <c r="S14" s="123">
        <f t="shared" ref="S14:AD14" si="8">STDEV(S10:S12)</f>
        <v>0.05047771786</v>
      </c>
      <c r="T14" s="123">
        <f t="shared" si="8"/>
        <v>0.02177919497</v>
      </c>
      <c r="U14" s="123">
        <f t="shared" si="8"/>
        <v>0.03143246729</v>
      </c>
      <c r="V14" s="123">
        <f t="shared" si="8"/>
        <v>0.02406241883</v>
      </c>
      <c r="W14" s="123">
        <f t="shared" si="8"/>
        <v>0.02602562839</v>
      </c>
      <c r="X14" s="123">
        <f t="shared" si="8"/>
        <v>0.06268439466</v>
      </c>
      <c r="Y14" s="123">
        <f t="shared" si="8"/>
        <v>0.03262412195</v>
      </c>
      <c r="Z14" s="123">
        <f t="shared" si="8"/>
        <v>0.01734935157</v>
      </c>
      <c r="AA14" s="123">
        <f t="shared" si="8"/>
        <v>6.110100927</v>
      </c>
      <c r="AB14" s="123">
        <f t="shared" si="8"/>
        <v>5.567764363</v>
      </c>
      <c r="AC14" s="123">
        <f t="shared" si="8"/>
        <v>6.110100927</v>
      </c>
      <c r="AD14" s="123">
        <f t="shared" si="8"/>
        <v>6.658328118</v>
      </c>
    </row>
    <row r="15">
      <c r="A15" s="171" t="s">
        <v>89</v>
      </c>
      <c r="B15" s="88">
        <v>100.0</v>
      </c>
      <c r="C15" s="89" t="b">
        <v>1</v>
      </c>
      <c r="D15" s="89" t="s">
        <v>43</v>
      </c>
      <c r="E15" s="89" t="s">
        <v>44</v>
      </c>
      <c r="F15" s="90">
        <v>0.751</v>
      </c>
      <c r="G15" s="91">
        <v>0.759</v>
      </c>
      <c r="H15" s="91">
        <v>0.679</v>
      </c>
      <c r="I15" s="91">
        <v>0.748</v>
      </c>
      <c r="J15" s="91">
        <v>0.747</v>
      </c>
      <c r="K15" s="91">
        <v>0.394</v>
      </c>
      <c r="L15" s="91">
        <v>0.883</v>
      </c>
      <c r="M15" s="91">
        <v>0.794</v>
      </c>
      <c r="N15" s="92">
        <v>39.0</v>
      </c>
      <c r="O15" s="92">
        <v>43.0</v>
      </c>
      <c r="P15" s="92">
        <v>22.0</v>
      </c>
      <c r="Q15" s="92">
        <v>166.0</v>
      </c>
      <c r="R15" s="93"/>
      <c r="S15" s="94">
        <v>0.697</v>
      </c>
      <c r="T15" s="95">
        <v>0.619</v>
      </c>
      <c r="U15" s="95">
        <v>0.664</v>
      </c>
      <c r="V15" s="95">
        <v>0.632</v>
      </c>
      <c r="W15" s="95">
        <v>0.723</v>
      </c>
      <c r="X15" s="94">
        <v>0.304</v>
      </c>
      <c r="Y15" s="94">
        <v>0.548</v>
      </c>
      <c r="Z15" s="94">
        <v>0.851</v>
      </c>
      <c r="AA15" s="96">
        <v>64.0</v>
      </c>
      <c r="AB15" s="97">
        <v>18.0</v>
      </c>
      <c r="AC15" s="97">
        <v>85.0</v>
      </c>
      <c r="AD15" s="98">
        <v>103.0</v>
      </c>
    </row>
    <row r="16">
      <c r="A16" s="7"/>
      <c r="C16" s="99" t="b">
        <v>1</v>
      </c>
      <c r="D16" s="99" t="s">
        <v>43</v>
      </c>
      <c r="E16" s="99" t="s">
        <v>45</v>
      </c>
      <c r="F16" s="100">
        <v>0.742</v>
      </c>
      <c r="G16" s="101">
        <v>0.747</v>
      </c>
      <c r="H16" s="101">
        <v>0.651</v>
      </c>
      <c r="I16" s="101">
        <v>0.73</v>
      </c>
      <c r="J16" s="101">
        <v>0.731</v>
      </c>
      <c r="K16" s="101">
        <v>0.347</v>
      </c>
      <c r="L16" s="101">
        <v>0.894</v>
      </c>
      <c r="M16" s="101">
        <v>0.778</v>
      </c>
      <c r="N16" s="102">
        <v>33.0</v>
      </c>
      <c r="O16" s="102">
        <v>48.0</v>
      </c>
      <c r="P16" s="102">
        <v>20.0</v>
      </c>
      <c r="Q16" s="102">
        <v>168.0</v>
      </c>
      <c r="R16" s="103"/>
      <c r="S16" s="104">
        <v>0.725</v>
      </c>
      <c r="T16" s="105">
        <v>0.706</v>
      </c>
      <c r="U16" s="105">
        <v>0.649</v>
      </c>
      <c r="V16" s="105">
        <v>0.706</v>
      </c>
      <c r="W16" s="105">
        <v>0.705</v>
      </c>
      <c r="X16" s="104">
        <v>0.3</v>
      </c>
      <c r="Y16" s="104">
        <v>0.793</v>
      </c>
      <c r="Z16" s="104">
        <v>0.788</v>
      </c>
      <c r="AA16" s="106">
        <v>41.0</v>
      </c>
      <c r="AB16" s="107">
        <v>40.0</v>
      </c>
      <c r="AC16" s="107">
        <v>39.0</v>
      </c>
      <c r="AD16" s="108">
        <v>149.0</v>
      </c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>
        <v>0.705</v>
      </c>
      <c r="G17" s="101">
        <v>0.695</v>
      </c>
      <c r="H17" s="101">
        <v>0.5</v>
      </c>
      <c r="I17" s="101">
        <v>0.57</v>
      </c>
      <c r="J17" s="101">
        <v>0.788</v>
      </c>
      <c r="K17" s="101">
        <v>0.0</v>
      </c>
      <c r="L17" s="101">
        <v>1.0</v>
      </c>
      <c r="M17" s="101">
        <v>0.695</v>
      </c>
      <c r="N17" s="110">
        <v>0.0</v>
      </c>
      <c r="O17" s="110">
        <v>82.0</v>
      </c>
      <c r="P17" s="110">
        <v>0.0</v>
      </c>
      <c r="Q17" s="110">
        <v>187.0</v>
      </c>
      <c r="R17" s="103"/>
      <c r="S17" s="104">
        <v>0.793</v>
      </c>
      <c r="T17" s="105">
        <v>0.695</v>
      </c>
      <c r="U17" s="105">
        <v>0.695</v>
      </c>
      <c r="V17" s="105">
        <v>0.706</v>
      </c>
      <c r="W17" s="105">
        <v>0.735</v>
      </c>
      <c r="X17" s="104">
        <v>0.364</v>
      </c>
      <c r="Y17" s="104">
        <v>0.695</v>
      </c>
      <c r="Z17" s="104">
        <v>0.839</v>
      </c>
      <c r="AA17" s="111">
        <v>57.0</v>
      </c>
      <c r="AB17" s="112">
        <v>25.0</v>
      </c>
      <c r="AC17" s="112">
        <v>57.0</v>
      </c>
      <c r="AD17" s="113">
        <v>130.0</v>
      </c>
    </row>
    <row r="18">
      <c r="A18" s="7"/>
      <c r="B18" s="114" t="s">
        <v>47</v>
      </c>
      <c r="C18" s="30"/>
      <c r="D18" s="30"/>
      <c r="E18" s="72"/>
      <c r="F18" s="115">
        <f t="shared" ref="F18:Q18" si="9">AVERAGE(F15:F17)</f>
        <v>0.7326666667</v>
      </c>
      <c r="G18" s="115">
        <f t="shared" si="9"/>
        <v>0.7336666667</v>
      </c>
      <c r="H18" s="115">
        <f t="shared" si="9"/>
        <v>0.61</v>
      </c>
      <c r="I18" s="115">
        <f t="shared" si="9"/>
        <v>0.6826666667</v>
      </c>
      <c r="J18" s="115">
        <f t="shared" si="9"/>
        <v>0.7553333333</v>
      </c>
      <c r="K18" s="115">
        <f t="shared" si="9"/>
        <v>0.247</v>
      </c>
      <c r="L18" s="161">
        <f t="shared" si="9"/>
        <v>0.9256666667</v>
      </c>
      <c r="M18" s="115">
        <f t="shared" si="9"/>
        <v>0.7556666667</v>
      </c>
      <c r="N18" s="115">
        <f t="shared" si="9"/>
        <v>24</v>
      </c>
      <c r="O18" s="115">
        <f t="shared" si="9"/>
        <v>57.66666667</v>
      </c>
      <c r="P18" s="115">
        <f t="shared" si="9"/>
        <v>14</v>
      </c>
      <c r="Q18" s="115">
        <f t="shared" si="9"/>
        <v>173.6666667</v>
      </c>
      <c r="R18" s="116"/>
      <c r="S18" s="115">
        <f t="shared" ref="S18:AD18" si="10">AVERAGE(S15:S17)</f>
        <v>0.7383333333</v>
      </c>
      <c r="T18" s="115">
        <f t="shared" si="10"/>
        <v>0.6733333333</v>
      </c>
      <c r="U18" s="115">
        <f t="shared" si="10"/>
        <v>0.6693333333</v>
      </c>
      <c r="V18" s="115">
        <f t="shared" si="10"/>
        <v>0.6813333333</v>
      </c>
      <c r="W18" s="115">
        <f t="shared" si="10"/>
        <v>0.721</v>
      </c>
      <c r="X18" s="115">
        <f t="shared" si="10"/>
        <v>0.3226666667</v>
      </c>
      <c r="Y18" s="115">
        <f t="shared" si="10"/>
        <v>0.6786666667</v>
      </c>
      <c r="Z18" s="115">
        <f t="shared" si="10"/>
        <v>0.826</v>
      </c>
      <c r="AA18" s="115">
        <f t="shared" si="10"/>
        <v>54</v>
      </c>
      <c r="AB18" s="115">
        <f t="shared" si="10"/>
        <v>27.66666667</v>
      </c>
      <c r="AC18" s="115">
        <f t="shared" si="10"/>
        <v>60.33333333</v>
      </c>
      <c r="AD18" s="118">
        <f t="shared" si="10"/>
        <v>127.3333333</v>
      </c>
    </row>
    <row r="19">
      <c r="A19" s="119"/>
      <c r="B19" s="120" t="s">
        <v>48</v>
      </c>
      <c r="C19" s="121"/>
      <c r="D19" s="121"/>
      <c r="E19" s="122"/>
      <c r="F19" s="123">
        <f t="shared" ref="F19:Q19" si="11">STDEV(F15:F17)</f>
        <v>0.02437895267</v>
      </c>
      <c r="G19" s="123">
        <f t="shared" si="11"/>
        <v>0.03401960219</v>
      </c>
      <c r="H19" s="123">
        <f t="shared" si="11"/>
        <v>0.09628603222</v>
      </c>
      <c r="I19" s="123">
        <f t="shared" si="11"/>
        <v>0.09798639361</v>
      </c>
      <c r="J19" s="123">
        <f t="shared" si="11"/>
        <v>0.02939954648</v>
      </c>
      <c r="K19" s="123">
        <f t="shared" si="11"/>
        <v>0.2151952602</v>
      </c>
      <c r="L19" s="123">
        <f t="shared" si="11"/>
        <v>0.06460908089</v>
      </c>
      <c r="M19" s="123">
        <f t="shared" si="11"/>
        <v>0.05314445722</v>
      </c>
      <c r="N19" s="123">
        <f t="shared" si="11"/>
        <v>21</v>
      </c>
      <c r="O19" s="123">
        <f t="shared" si="11"/>
        <v>21.22105872</v>
      </c>
      <c r="P19" s="123">
        <f t="shared" si="11"/>
        <v>12.16552506</v>
      </c>
      <c r="Q19" s="123">
        <f t="shared" si="11"/>
        <v>11.59022577</v>
      </c>
      <c r="R19" s="123"/>
      <c r="S19" s="123">
        <f t="shared" ref="S19:AD19" si="12">STDEV(S15:S17)</f>
        <v>0.04936935622</v>
      </c>
      <c r="T19" s="123">
        <f t="shared" si="12"/>
        <v>0.04737439533</v>
      </c>
      <c r="U19" s="123">
        <f t="shared" si="12"/>
        <v>0.02345918441</v>
      </c>
      <c r="V19" s="123">
        <f t="shared" si="12"/>
        <v>0.04272391992</v>
      </c>
      <c r="W19" s="123">
        <f t="shared" si="12"/>
        <v>0.01509966887</v>
      </c>
      <c r="X19" s="123">
        <f t="shared" si="12"/>
        <v>0.03585154576</v>
      </c>
      <c r="Y19" s="123">
        <f t="shared" si="12"/>
        <v>0.1233139624</v>
      </c>
      <c r="Z19" s="123">
        <f t="shared" si="12"/>
        <v>0.03345145737</v>
      </c>
      <c r="AA19" s="123">
        <f t="shared" si="12"/>
        <v>11.78982612</v>
      </c>
      <c r="AB19" s="123">
        <f t="shared" si="12"/>
        <v>11.2398102</v>
      </c>
      <c r="AC19" s="123">
        <f t="shared" si="12"/>
        <v>23.18045153</v>
      </c>
      <c r="AD19" s="123">
        <f t="shared" si="12"/>
        <v>23.11565126</v>
      </c>
    </row>
    <row r="20">
      <c r="A20" s="171" t="s">
        <v>89</v>
      </c>
      <c r="B20" s="88">
        <v>2025.0</v>
      </c>
      <c r="C20" s="89" t="b">
        <v>1</v>
      </c>
      <c r="D20" s="89" t="s">
        <v>43</v>
      </c>
      <c r="E20" s="89" t="s">
        <v>44</v>
      </c>
      <c r="F20" s="90">
        <v>0.747</v>
      </c>
      <c r="G20" s="91">
        <v>0.719</v>
      </c>
      <c r="H20" s="91">
        <v>0.726</v>
      </c>
      <c r="I20" s="91">
        <v>0.729</v>
      </c>
      <c r="J20" s="91">
        <v>0.761</v>
      </c>
      <c r="K20" s="91">
        <v>0.419</v>
      </c>
      <c r="L20" s="91">
        <v>0.707</v>
      </c>
      <c r="M20" s="91">
        <v>0.864</v>
      </c>
      <c r="N20" s="92">
        <v>61.0</v>
      </c>
      <c r="O20" s="92">
        <v>21.0</v>
      </c>
      <c r="P20" s="92">
        <v>55.0</v>
      </c>
      <c r="Q20" s="92">
        <v>133.0</v>
      </c>
      <c r="R20" s="93"/>
      <c r="S20" s="94">
        <v>0.723</v>
      </c>
      <c r="T20" s="95">
        <v>0.689</v>
      </c>
      <c r="U20" s="95">
        <v>0.68</v>
      </c>
      <c r="V20" s="95">
        <v>0.699</v>
      </c>
      <c r="W20" s="95">
        <v>0.724</v>
      </c>
      <c r="X20" s="94">
        <v>0.338</v>
      </c>
      <c r="Y20" s="94">
        <v>0.702</v>
      </c>
      <c r="Z20" s="94">
        <v>0.825</v>
      </c>
      <c r="AA20" s="96">
        <v>54.0</v>
      </c>
      <c r="AB20" s="97">
        <v>28.0</v>
      </c>
      <c r="AC20" s="97">
        <v>56.0</v>
      </c>
      <c r="AD20" s="98">
        <v>132.0</v>
      </c>
    </row>
    <row r="21">
      <c r="A21" s="7"/>
      <c r="C21" s="99" t="b">
        <v>1</v>
      </c>
      <c r="D21" s="99" t="s">
        <v>43</v>
      </c>
      <c r="E21" s="99" t="s">
        <v>45</v>
      </c>
      <c r="F21" s="100">
        <v>0.725</v>
      </c>
      <c r="G21" s="101">
        <v>0.717</v>
      </c>
      <c r="H21" s="101">
        <v>0.584</v>
      </c>
      <c r="I21" s="101">
        <v>0.677</v>
      </c>
      <c r="J21" s="101">
        <v>0.689</v>
      </c>
      <c r="K21" s="101">
        <v>0.228</v>
      </c>
      <c r="L21" s="101">
        <v>0.92</v>
      </c>
      <c r="M21" s="101">
        <v>0.739</v>
      </c>
      <c r="N21" s="102">
        <v>20.0</v>
      </c>
      <c r="O21" s="102">
        <v>61.0</v>
      </c>
      <c r="P21" s="102">
        <v>15.0</v>
      </c>
      <c r="Q21" s="102">
        <v>173.0</v>
      </c>
      <c r="R21" s="103"/>
      <c r="S21" s="104">
        <v>0.725</v>
      </c>
      <c r="T21" s="105">
        <v>0.714</v>
      </c>
      <c r="U21" s="105">
        <v>0.644</v>
      </c>
      <c r="V21" s="105">
        <v>0.709</v>
      </c>
      <c r="W21" s="105">
        <v>0.705</v>
      </c>
      <c r="X21" s="104">
        <v>0.299</v>
      </c>
      <c r="Y21" s="104">
        <v>0.819</v>
      </c>
      <c r="Z21" s="104">
        <v>0.782</v>
      </c>
      <c r="AA21" s="106">
        <v>38.0</v>
      </c>
      <c r="AB21" s="107">
        <v>43.0</v>
      </c>
      <c r="AC21" s="107">
        <v>34.0</v>
      </c>
      <c r="AD21" s="108">
        <v>154.0</v>
      </c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>
        <v>0.786</v>
      </c>
      <c r="G22" s="101">
        <v>0.695</v>
      </c>
      <c r="H22" s="101">
        <v>0.5</v>
      </c>
      <c r="I22" s="101">
        <v>0.57</v>
      </c>
      <c r="J22" s="101">
        <v>0.788</v>
      </c>
      <c r="K22" s="101">
        <v>0.0</v>
      </c>
      <c r="L22" s="101">
        <v>1.0</v>
      </c>
      <c r="M22" s="101">
        <v>0.695</v>
      </c>
      <c r="N22" s="110">
        <v>0.0</v>
      </c>
      <c r="O22" s="110">
        <v>82.0</v>
      </c>
      <c r="P22" s="110">
        <v>0.0</v>
      </c>
      <c r="Q22" s="110">
        <v>187.0</v>
      </c>
      <c r="R22" s="103"/>
      <c r="S22" s="104">
        <v>0.765</v>
      </c>
      <c r="T22" s="105">
        <v>0.721</v>
      </c>
      <c r="U22" s="105">
        <v>0.666</v>
      </c>
      <c r="V22" s="105">
        <v>0.72</v>
      </c>
      <c r="W22" s="105">
        <v>0.718</v>
      </c>
      <c r="X22" s="104">
        <v>0.335</v>
      </c>
      <c r="Y22" s="104">
        <v>0.807</v>
      </c>
      <c r="Z22" s="104">
        <v>0.795</v>
      </c>
      <c r="AA22" s="111">
        <v>43.0</v>
      </c>
      <c r="AB22" s="112">
        <v>39.0</v>
      </c>
      <c r="AC22" s="112">
        <v>36.0</v>
      </c>
      <c r="AD22" s="113">
        <v>151.0</v>
      </c>
    </row>
    <row r="23">
      <c r="A23" s="7"/>
      <c r="B23" s="114" t="s">
        <v>47</v>
      </c>
      <c r="C23" s="30"/>
      <c r="D23" s="30"/>
      <c r="E23" s="72"/>
      <c r="F23" s="115">
        <f t="shared" ref="F23:Q23" si="13">AVERAGE(F20:F22)</f>
        <v>0.7526666667</v>
      </c>
      <c r="G23" s="115">
        <f t="shared" si="13"/>
        <v>0.7103333333</v>
      </c>
      <c r="H23" s="115">
        <f t="shared" si="13"/>
        <v>0.6033333333</v>
      </c>
      <c r="I23" s="115">
        <f t="shared" si="13"/>
        <v>0.6586666667</v>
      </c>
      <c r="J23" s="115">
        <f t="shared" si="13"/>
        <v>0.746</v>
      </c>
      <c r="K23" s="115">
        <f t="shared" si="13"/>
        <v>0.2156666667</v>
      </c>
      <c r="L23" s="115">
        <f t="shared" si="13"/>
        <v>0.8756666667</v>
      </c>
      <c r="M23" s="115">
        <f t="shared" si="13"/>
        <v>0.766</v>
      </c>
      <c r="N23" s="115">
        <f t="shared" si="13"/>
        <v>27</v>
      </c>
      <c r="O23" s="115">
        <f t="shared" si="13"/>
        <v>54.66666667</v>
      </c>
      <c r="P23" s="115">
        <f t="shared" si="13"/>
        <v>23.33333333</v>
      </c>
      <c r="Q23" s="115">
        <f t="shared" si="13"/>
        <v>164.3333333</v>
      </c>
      <c r="R23" s="116"/>
      <c r="S23" s="115">
        <f t="shared" ref="S23:AD23" si="14">AVERAGE(S20:S22)</f>
        <v>0.7376666667</v>
      </c>
      <c r="T23" s="115">
        <f t="shared" si="14"/>
        <v>0.708</v>
      </c>
      <c r="U23" s="115">
        <f t="shared" si="14"/>
        <v>0.6633333333</v>
      </c>
      <c r="V23" s="115">
        <f t="shared" si="14"/>
        <v>0.7093333333</v>
      </c>
      <c r="W23" s="115">
        <f t="shared" si="14"/>
        <v>0.7156666667</v>
      </c>
      <c r="X23" s="115">
        <f t="shared" si="14"/>
        <v>0.324</v>
      </c>
      <c r="Y23" s="115">
        <f t="shared" si="14"/>
        <v>0.776</v>
      </c>
      <c r="Z23" s="115">
        <f t="shared" si="14"/>
        <v>0.8006666667</v>
      </c>
      <c r="AA23" s="115">
        <f t="shared" si="14"/>
        <v>45</v>
      </c>
      <c r="AB23" s="115">
        <f t="shared" si="14"/>
        <v>36.66666667</v>
      </c>
      <c r="AC23" s="115">
        <f t="shared" si="14"/>
        <v>42</v>
      </c>
      <c r="AD23" s="118">
        <f t="shared" si="14"/>
        <v>145.6666667</v>
      </c>
    </row>
    <row r="24">
      <c r="A24" s="119"/>
      <c r="B24" s="120" t="s">
        <v>48</v>
      </c>
      <c r="C24" s="121"/>
      <c r="D24" s="121"/>
      <c r="E24" s="122"/>
      <c r="F24" s="123">
        <f t="shared" ref="F24:Q24" si="15">STDEV(F20:F22)</f>
        <v>0.03089228598</v>
      </c>
      <c r="G24" s="123">
        <f t="shared" si="15"/>
        <v>0.01331665624</v>
      </c>
      <c r="H24" s="123">
        <f t="shared" si="15"/>
        <v>0.1142336786</v>
      </c>
      <c r="I24" s="123">
        <f t="shared" si="15"/>
        <v>0.08106992866</v>
      </c>
      <c r="J24" s="123">
        <f t="shared" si="15"/>
        <v>0.05117616633</v>
      </c>
      <c r="K24" s="123">
        <f t="shared" si="15"/>
        <v>0.2097720986</v>
      </c>
      <c r="L24" s="123">
        <f t="shared" si="15"/>
        <v>0.1514474606</v>
      </c>
      <c r="M24" s="123">
        <f t="shared" si="15"/>
        <v>0.08767553821</v>
      </c>
      <c r="N24" s="123">
        <f t="shared" si="15"/>
        <v>31.09662361</v>
      </c>
      <c r="O24" s="123">
        <f t="shared" si="15"/>
        <v>30.98924545</v>
      </c>
      <c r="P24" s="123">
        <f t="shared" si="15"/>
        <v>28.43120352</v>
      </c>
      <c r="Q24" s="123">
        <f t="shared" si="15"/>
        <v>28.02379941</v>
      </c>
      <c r="R24" s="123"/>
      <c r="S24" s="123">
        <f t="shared" ref="S24:AD24" si="16">STDEV(S20:S22)</f>
        <v>0.02369247419</v>
      </c>
      <c r="T24" s="123">
        <f t="shared" si="16"/>
        <v>0.01682260384</v>
      </c>
      <c r="U24" s="123">
        <f t="shared" si="16"/>
        <v>0.01814754345</v>
      </c>
      <c r="V24" s="123">
        <f t="shared" si="16"/>
        <v>0.0105039675</v>
      </c>
      <c r="W24" s="123">
        <f t="shared" si="16"/>
        <v>0.009712534856</v>
      </c>
      <c r="X24" s="123">
        <f t="shared" si="16"/>
        <v>0.02170253441</v>
      </c>
      <c r="Y24" s="123">
        <f t="shared" si="16"/>
        <v>0.06436614017</v>
      </c>
      <c r="Z24" s="123">
        <f t="shared" si="16"/>
        <v>0.02205296654</v>
      </c>
      <c r="AA24" s="123">
        <f t="shared" si="16"/>
        <v>8.185352772</v>
      </c>
      <c r="AB24" s="123">
        <f t="shared" si="16"/>
        <v>7.767453465</v>
      </c>
      <c r="AC24" s="123">
        <f t="shared" si="16"/>
        <v>12.16552506</v>
      </c>
      <c r="AD24" s="123">
        <f t="shared" si="16"/>
        <v>11.93035345</v>
      </c>
    </row>
    <row r="25">
      <c r="A25" s="171" t="s">
        <v>89</v>
      </c>
      <c r="B25" s="88">
        <v>21.0</v>
      </c>
      <c r="C25" s="89" t="b">
        <v>1</v>
      </c>
      <c r="D25" s="89" t="s">
        <v>43</v>
      </c>
      <c r="E25" s="89" t="s">
        <v>44</v>
      </c>
      <c r="F25" s="90">
        <v>0.779</v>
      </c>
      <c r="G25" s="91">
        <v>0.737</v>
      </c>
      <c r="H25" s="91">
        <v>0.722</v>
      </c>
      <c r="I25" s="91">
        <v>0.744</v>
      </c>
      <c r="J25" s="91">
        <v>0.758</v>
      </c>
      <c r="K25" s="91">
        <v>0.422</v>
      </c>
      <c r="L25" s="91">
        <v>0.761</v>
      </c>
      <c r="M25" s="91">
        <v>0.846</v>
      </c>
      <c r="N25" s="92">
        <v>56.0</v>
      </c>
      <c r="O25" s="92">
        <v>26.0</v>
      </c>
      <c r="P25" s="92">
        <v>45.0</v>
      </c>
      <c r="Q25" s="92">
        <v>143.0</v>
      </c>
      <c r="R25" s="93"/>
      <c r="S25" s="94">
        <v>0.799</v>
      </c>
      <c r="T25" s="95">
        <v>0.726</v>
      </c>
      <c r="U25" s="95">
        <v>0.728</v>
      </c>
      <c r="V25" s="95">
        <v>0.735</v>
      </c>
      <c r="W25" s="95">
        <v>0.762</v>
      </c>
      <c r="X25" s="94">
        <v>0.425</v>
      </c>
      <c r="Y25" s="94">
        <v>0.723</v>
      </c>
      <c r="Z25" s="94">
        <v>0.861</v>
      </c>
      <c r="AA25" s="96">
        <v>60.0</v>
      </c>
      <c r="AB25" s="97">
        <v>22.0</v>
      </c>
      <c r="AC25" s="97">
        <v>52.0</v>
      </c>
      <c r="AD25" s="98">
        <v>136.0</v>
      </c>
    </row>
    <row r="26">
      <c r="A26" s="7"/>
      <c r="C26" s="99" t="b">
        <v>1</v>
      </c>
      <c r="D26" s="99" t="s">
        <v>43</v>
      </c>
      <c r="E26" s="99" t="s">
        <v>45</v>
      </c>
      <c r="F26" s="100">
        <v>0.739</v>
      </c>
      <c r="G26" s="101">
        <v>0.747</v>
      </c>
      <c r="H26" s="101">
        <v>0.658</v>
      </c>
      <c r="I26" s="101">
        <v>0.733</v>
      </c>
      <c r="J26" s="101">
        <v>0.732</v>
      </c>
      <c r="K26" s="101">
        <v>0.354</v>
      </c>
      <c r="L26" s="101">
        <v>0.883</v>
      </c>
      <c r="M26" s="101">
        <v>0.783</v>
      </c>
      <c r="N26" s="102">
        <v>35.0</v>
      </c>
      <c r="O26" s="102">
        <v>46.0</v>
      </c>
      <c r="P26" s="102">
        <v>22.0</v>
      </c>
      <c r="Q26" s="102">
        <v>166.0</v>
      </c>
      <c r="R26" s="103"/>
      <c r="S26" s="104">
        <v>0.721</v>
      </c>
      <c r="T26" s="105">
        <v>0.699</v>
      </c>
      <c r="U26" s="105">
        <v>0.669</v>
      </c>
      <c r="V26" s="105">
        <v>0.705</v>
      </c>
      <c r="W26" s="105">
        <v>0.716</v>
      </c>
      <c r="X26" s="104">
        <v>0.323</v>
      </c>
      <c r="Y26" s="104">
        <v>0.745</v>
      </c>
      <c r="Z26" s="104">
        <v>0.809</v>
      </c>
      <c r="AA26" s="106">
        <v>48.0</v>
      </c>
      <c r="AB26" s="107">
        <v>33.0</v>
      </c>
      <c r="AC26" s="107">
        <v>48.0</v>
      </c>
      <c r="AD26" s="108">
        <v>140.0</v>
      </c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>
        <v>0.774</v>
      </c>
      <c r="G27" s="101">
        <v>0.706</v>
      </c>
      <c r="H27" s="101">
        <v>0.566</v>
      </c>
      <c r="I27" s="101">
        <v>0.658</v>
      </c>
      <c r="J27" s="101">
        <v>0.672</v>
      </c>
      <c r="K27" s="101">
        <v>0.191</v>
      </c>
      <c r="L27" s="101">
        <v>0.925</v>
      </c>
      <c r="M27" s="101">
        <v>0.727</v>
      </c>
      <c r="N27" s="110">
        <v>17.0</v>
      </c>
      <c r="O27" s="110">
        <v>65.0</v>
      </c>
      <c r="P27" s="110">
        <v>14.0</v>
      </c>
      <c r="Q27" s="110">
        <v>173.0</v>
      </c>
      <c r="R27" s="103"/>
      <c r="S27" s="104">
        <v>0.779</v>
      </c>
      <c r="T27" s="105">
        <v>0.71</v>
      </c>
      <c r="U27" s="105">
        <v>0.576</v>
      </c>
      <c r="V27" s="105">
        <v>0.667</v>
      </c>
      <c r="W27" s="105">
        <v>0.679</v>
      </c>
      <c r="X27" s="104">
        <v>0.21</v>
      </c>
      <c r="Y27" s="104">
        <v>0.92</v>
      </c>
      <c r="Z27" s="104">
        <v>0.732</v>
      </c>
      <c r="AA27" s="111">
        <v>19.0</v>
      </c>
      <c r="AB27" s="112">
        <v>63.0</v>
      </c>
      <c r="AC27" s="112">
        <v>15.0</v>
      </c>
      <c r="AD27" s="113">
        <v>172.0</v>
      </c>
    </row>
    <row r="28">
      <c r="A28" s="7"/>
      <c r="B28" s="114" t="s">
        <v>47</v>
      </c>
      <c r="C28" s="30"/>
      <c r="D28" s="30"/>
      <c r="E28" s="72"/>
      <c r="F28" s="115">
        <f t="shared" ref="F28:Q28" si="17">AVERAGE(F25:F27)</f>
        <v>0.764</v>
      </c>
      <c r="G28" s="115">
        <f t="shared" si="17"/>
        <v>0.73</v>
      </c>
      <c r="H28" s="117">
        <f t="shared" si="17"/>
        <v>0.6486666667</v>
      </c>
      <c r="I28" s="117">
        <f t="shared" si="17"/>
        <v>0.7116666667</v>
      </c>
      <c r="J28" s="115">
        <f t="shared" si="17"/>
        <v>0.7206666667</v>
      </c>
      <c r="K28" s="117">
        <f t="shared" si="17"/>
        <v>0.3223333333</v>
      </c>
      <c r="L28" s="115">
        <f t="shared" si="17"/>
        <v>0.8563333333</v>
      </c>
      <c r="M28" s="117">
        <f t="shared" si="17"/>
        <v>0.7853333333</v>
      </c>
      <c r="N28" s="117">
        <f t="shared" si="17"/>
        <v>36</v>
      </c>
      <c r="O28" s="117">
        <f t="shared" si="17"/>
        <v>45.66666667</v>
      </c>
      <c r="P28" s="115">
        <f t="shared" si="17"/>
        <v>27</v>
      </c>
      <c r="Q28" s="115">
        <f t="shared" si="17"/>
        <v>160.6666667</v>
      </c>
      <c r="R28" s="116"/>
      <c r="S28" s="115">
        <f t="shared" ref="S28:AD28" si="18">AVERAGE(S25:S27)</f>
        <v>0.7663333333</v>
      </c>
      <c r="T28" s="115">
        <f t="shared" si="18"/>
        <v>0.7116666667</v>
      </c>
      <c r="U28" s="115">
        <f t="shared" si="18"/>
        <v>0.6576666667</v>
      </c>
      <c r="V28" s="115">
        <f t="shared" si="18"/>
        <v>0.7023333333</v>
      </c>
      <c r="W28" s="115">
        <f t="shared" si="18"/>
        <v>0.719</v>
      </c>
      <c r="X28" s="115">
        <f t="shared" si="18"/>
        <v>0.3193333333</v>
      </c>
      <c r="Y28" s="115">
        <f t="shared" si="18"/>
        <v>0.796</v>
      </c>
      <c r="Z28" s="115">
        <f t="shared" si="18"/>
        <v>0.8006666667</v>
      </c>
      <c r="AA28" s="115">
        <f t="shared" si="18"/>
        <v>42.33333333</v>
      </c>
      <c r="AB28" s="115">
        <f t="shared" si="18"/>
        <v>39.33333333</v>
      </c>
      <c r="AC28" s="115">
        <f t="shared" si="18"/>
        <v>38.33333333</v>
      </c>
      <c r="AD28" s="118">
        <f t="shared" si="18"/>
        <v>149.3333333</v>
      </c>
    </row>
    <row r="29">
      <c r="A29" s="119"/>
      <c r="B29" s="120" t="s">
        <v>48</v>
      </c>
      <c r="C29" s="121"/>
      <c r="D29" s="121"/>
      <c r="E29" s="122"/>
      <c r="F29" s="123">
        <f t="shared" ref="F29:Q29" si="19">STDEV(F25:F27)</f>
        <v>0.02179449472</v>
      </c>
      <c r="G29" s="123">
        <f t="shared" si="19"/>
        <v>0.02137755833</v>
      </c>
      <c r="H29" s="123">
        <f t="shared" si="19"/>
        <v>0.07841768508</v>
      </c>
      <c r="I29" s="123">
        <f t="shared" si="19"/>
        <v>0.04680099714</v>
      </c>
      <c r="J29" s="123">
        <f t="shared" si="19"/>
        <v>0.04410593309</v>
      </c>
      <c r="K29" s="123">
        <f t="shared" si="19"/>
        <v>0.118711134</v>
      </c>
      <c r="L29" s="123">
        <f t="shared" si="19"/>
        <v>0.08518998376</v>
      </c>
      <c r="M29" s="123">
        <f t="shared" si="19"/>
        <v>0.05953430384</v>
      </c>
      <c r="N29" s="123">
        <f t="shared" si="19"/>
        <v>19.5192213</v>
      </c>
      <c r="O29" s="123">
        <f t="shared" si="19"/>
        <v>19.50213664</v>
      </c>
      <c r="P29" s="123">
        <f t="shared" si="19"/>
        <v>16.09347694</v>
      </c>
      <c r="Q29" s="123">
        <f t="shared" si="19"/>
        <v>15.69500982</v>
      </c>
      <c r="R29" s="123"/>
      <c r="S29" s="123">
        <f t="shared" ref="S29:AD29" si="20">STDEV(S25:S27)</f>
        <v>0.04051337228</v>
      </c>
      <c r="T29" s="123">
        <f t="shared" si="20"/>
        <v>0.01357694124</v>
      </c>
      <c r="U29" s="123">
        <f t="shared" si="20"/>
        <v>0.07663115119</v>
      </c>
      <c r="V29" s="123">
        <f t="shared" si="20"/>
        <v>0.03407834112</v>
      </c>
      <c r="W29" s="123">
        <f t="shared" si="20"/>
        <v>0.04158124577</v>
      </c>
      <c r="X29" s="123">
        <f t="shared" si="20"/>
        <v>0.107546889</v>
      </c>
      <c r="Y29" s="123">
        <f t="shared" si="20"/>
        <v>0.1079490621</v>
      </c>
      <c r="Z29" s="123">
        <f t="shared" si="20"/>
        <v>0.06490249096</v>
      </c>
      <c r="AA29" s="123">
        <f t="shared" si="20"/>
        <v>21.07921567</v>
      </c>
      <c r="AB29" s="123">
        <f t="shared" si="20"/>
        <v>21.22105872</v>
      </c>
      <c r="AC29" s="123">
        <f t="shared" si="20"/>
        <v>20.30599255</v>
      </c>
      <c r="AD29" s="123">
        <f t="shared" si="20"/>
        <v>19.73153145</v>
      </c>
    </row>
    <row r="30">
      <c r="A30" s="171" t="s">
        <v>89</v>
      </c>
      <c r="B30" s="88">
        <v>336.0</v>
      </c>
      <c r="C30" s="89" t="b">
        <v>1</v>
      </c>
      <c r="D30" s="89" t="s">
        <v>43</v>
      </c>
      <c r="E30" s="89" t="s">
        <v>44</v>
      </c>
      <c r="F30" s="90">
        <v>0.766</v>
      </c>
      <c r="G30" s="91">
        <v>0.733</v>
      </c>
      <c r="H30" s="91">
        <v>0.702</v>
      </c>
      <c r="I30" s="91">
        <v>0.737</v>
      </c>
      <c r="J30" s="91">
        <v>0.743</v>
      </c>
      <c r="K30" s="91">
        <v>0.392</v>
      </c>
      <c r="L30" s="91">
        <v>0.782</v>
      </c>
      <c r="M30" s="91">
        <v>0.826</v>
      </c>
      <c r="N30" s="92">
        <v>51.0</v>
      </c>
      <c r="O30" s="92">
        <v>31.0</v>
      </c>
      <c r="P30" s="92">
        <v>41.0</v>
      </c>
      <c r="Q30" s="92">
        <v>147.0</v>
      </c>
      <c r="R30" s="93"/>
      <c r="S30" s="94">
        <v>0.767</v>
      </c>
      <c r="T30" s="95">
        <v>0.748</v>
      </c>
      <c r="U30" s="95">
        <v>0.64</v>
      </c>
      <c r="V30" s="95">
        <v>0.724</v>
      </c>
      <c r="W30" s="95">
        <v>0.733</v>
      </c>
      <c r="X30" s="94">
        <v>0.343</v>
      </c>
      <c r="Y30" s="94">
        <v>0.915</v>
      </c>
      <c r="Z30" s="94">
        <v>0.768</v>
      </c>
      <c r="AA30" s="96">
        <v>30.0</v>
      </c>
      <c r="AB30" s="97">
        <v>52.0</v>
      </c>
      <c r="AC30" s="97">
        <v>16.0</v>
      </c>
      <c r="AD30" s="98">
        <v>172.0</v>
      </c>
    </row>
    <row r="31">
      <c r="A31" s="7"/>
      <c r="C31" s="99" t="b">
        <v>1</v>
      </c>
      <c r="D31" s="99" t="s">
        <v>43</v>
      </c>
      <c r="E31" s="99" t="s">
        <v>45</v>
      </c>
      <c r="F31" s="100">
        <v>0.744</v>
      </c>
      <c r="G31" s="101">
        <v>0.736</v>
      </c>
      <c r="H31" s="101">
        <v>0.604</v>
      </c>
      <c r="I31" s="101">
        <v>0.697</v>
      </c>
      <c r="J31" s="101">
        <v>0.718</v>
      </c>
      <c r="K31" s="101">
        <v>0.287</v>
      </c>
      <c r="L31" s="101">
        <v>0.936</v>
      </c>
      <c r="M31" s="101">
        <v>0.749</v>
      </c>
      <c r="N31" s="102">
        <v>22.0</v>
      </c>
      <c r="O31" s="102">
        <v>59.0</v>
      </c>
      <c r="P31" s="102">
        <v>12.0</v>
      </c>
      <c r="Q31" s="102">
        <v>176.0</v>
      </c>
      <c r="R31" s="103"/>
      <c r="S31" s="104">
        <v>0.72</v>
      </c>
      <c r="T31" s="105">
        <v>0.717</v>
      </c>
      <c r="U31" s="105">
        <v>0.622</v>
      </c>
      <c r="V31" s="105">
        <v>0.701</v>
      </c>
      <c r="W31" s="105">
        <v>0.698</v>
      </c>
      <c r="X31" s="104">
        <v>0.274</v>
      </c>
      <c r="Y31" s="104">
        <v>0.862</v>
      </c>
      <c r="Z31" s="104">
        <v>0.764</v>
      </c>
      <c r="AA31" s="106">
        <v>31.0</v>
      </c>
      <c r="AB31" s="107">
        <v>50.0</v>
      </c>
      <c r="AC31" s="107">
        <v>26.0</v>
      </c>
      <c r="AD31" s="108">
        <v>162.0</v>
      </c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>
        <v>0.792</v>
      </c>
      <c r="G32" s="101">
        <v>0.736</v>
      </c>
      <c r="H32" s="101">
        <v>0.683</v>
      </c>
      <c r="I32" s="101">
        <v>0.735</v>
      </c>
      <c r="J32" s="101">
        <v>0.733</v>
      </c>
      <c r="K32" s="101">
        <v>0.371</v>
      </c>
      <c r="L32" s="101">
        <v>0.818</v>
      </c>
      <c r="M32" s="101">
        <v>0.805</v>
      </c>
      <c r="N32" s="110">
        <v>45.0</v>
      </c>
      <c r="O32" s="110">
        <v>37.0</v>
      </c>
      <c r="P32" s="110">
        <v>34.0</v>
      </c>
      <c r="Q32" s="110">
        <v>153.0</v>
      </c>
      <c r="R32" s="103"/>
      <c r="S32" s="104">
        <v>0.662</v>
      </c>
      <c r="T32" s="105">
        <v>0.74</v>
      </c>
      <c r="U32" s="105">
        <v>0.594</v>
      </c>
      <c r="V32" s="105">
        <v>0.686</v>
      </c>
      <c r="W32" s="105">
        <v>0.742</v>
      </c>
      <c r="X32" s="104">
        <v>0.303</v>
      </c>
      <c r="Y32" s="104">
        <v>0.968</v>
      </c>
      <c r="Z32" s="104">
        <v>0.739</v>
      </c>
      <c r="AA32" s="111">
        <v>18.0</v>
      </c>
      <c r="AB32" s="112">
        <v>64.0</v>
      </c>
      <c r="AC32" s="112">
        <v>6.0</v>
      </c>
      <c r="AD32" s="113">
        <v>181.0</v>
      </c>
    </row>
    <row r="33">
      <c r="A33" s="7"/>
      <c r="B33" s="114" t="s">
        <v>47</v>
      </c>
      <c r="C33" s="30"/>
      <c r="D33" s="30"/>
      <c r="E33" s="72"/>
      <c r="F33" s="117">
        <f t="shared" ref="F33:Q33" si="21">AVERAGE(F30:F32)</f>
        <v>0.7673333333</v>
      </c>
      <c r="G33" s="115">
        <f t="shared" si="21"/>
        <v>0.735</v>
      </c>
      <c r="H33" s="115">
        <f t="shared" si="21"/>
        <v>0.663</v>
      </c>
      <c r="I33" s="115">
        <f t="shared" si="21"/>
        <v>0.723</v>
      </c>
      <c r="J33" s="117">
        <f t="shared" si="21"/>
        <v>0.7313333333</v>
      </c>
      <c r="K33" s="115">
        <f t="shared" si="21"/>
        <v>0.35</v>
      </c>
      <c r="L33" s="115">
        <f t="shared" si="21"/>
        <v>0.8453333333</v>
      </c>
      <c r="M33" s="115">
        <f t="shared" si="21"/>
        <v>0.7933333333</v>
      </c>
      <c r="N33" s="115">
        <f t="shared" si="21"/>
        <v>39.33333333</v>
      </c>
      <c r="O33" s="115">
        <f t="shared" si="21"/>
        <v>42.33333333</v>
      </c>
      <c r="P33" s="115">
        <f t="shared" si="21"/>
        <v>29</v>
      </c>
      <c r="Q33" s="115">
        <f t="shared" si="21"/>
        <v>158.6666667</v>
      </c>
      <c r="R33" s="116"/>
      <c r="S33" s="115">
        <f t="shared" ref="S33:AD33" si="22">AVERAGE(S30:S32)</f>
        <v>0.7163333333</v>
      </c>
      <c r="T33" s="115">
        <f t="shared" si="22"/>
        <v>0.735</v>
      </c>
      <c r="U33" s="115">
        <f t="shared" si="22"/>
        <v>0.6186666667</v>
      </c>
      <c r="V33" s="115">
        <f t="shared" si="22"/>
        <v>0.7036666667</v>
      </c>
      <c r="W33" s="115">
        <f t="shared" si="22"/>
        <v>0.7243333333</v>
      </c>
      <c r="X33" s="115">
        <f t="shared" si="22"/>
        <v>0.3066666667</v>
      </c>
      <c r="Y33" s="115">
        <f t="shared" si="22"/>
        <v>0.915</v>
      </c>
      <c r="Z33" s="115">
        <f t="shared" si="22"/>
        <v>0.757</v>
      </c>
      <c r="AA33" s="117">
        <f t="shared" si="22"/>
        <v>26.33333333</v>
      </c>
      <c r="AB33" s="117">
        <f t="shared" si="22"/>
        <v>55.33333333</v>
      </c>
      <c r="AC33" s="115">
        <f t="shared" si="22"/>
        <v>16</v>
      </c>
      <c r="AD33" s="118">
        <f t="shared" si="22"/>
        <v>171.6666667</v>
      </c>
    </row>
    <row r="34">
      <c r="A34" s="119"/>
      <c r="B34" s="120" t="s">
        <v>48</v>
      </c>
      <c r="C34" s="121"/>
      <c r="D34" s="121"/>
      <c r="E34" s="122"/>
      <c r="F34" s="123">
        <f t="shared" ref="F34:Q34" si="23">STDEV(F30:F32)</f>
        <v>0.02402776172</v>
      </c>
      <c r="G34" s="123">
        <f t="shared" si="23"/>
        <v>0.001732050808</v>
      </c>
      <c r="H34" s="123">
        <f t="shared" si="23"/>
        <v>0.05197114584</v>
      </c>
      <c r="I34" s="123">
        <f t="shared" si="23"/>
        <v>0.02253885534</v>
      </c>
      <c r="J34" s="123">
        <f t="shared" si="23"/>
        <v>0.01258305739</v>
      </c>
      <c r="K34" s="123">
        <f t="shared" si="23"/>
        <v>0.05556077753</v>
      </c>
      <c r="L34" s="123">
        <f t="shared" si="23"/>
        <v>0.08055639846</v>
      </c>
      <c r="M34" s="123">
        <f t="shared" si="23"/>
        <v>0.03980368492</v>
      </c>
      <c r="N34" s="123">
        <f t="shared" si="23"/>
        <v>15.30795</v>
      </c>
      <c r="O34" s="123">
        <f t="shared" si="23"/>
        <v>14.74222959</v>
      </c>
      <c r="P34" s="123">
        <f t="shared" si="23"/>
        <v>15.13274595</v>
      </c>
      <c r="Q34" s="123">
        <f t="shared" si="23"/>
        <v>15.30795</v>
      </c>
      <c r="R34" s="123"/>
      <c r="S34" s="123">
        <f t="shared" ref="S34:AD34" si="24">STDEV(S30:S32)</f>
        <v>0.05259594408</v>
      </c>
      <c r="T34" s="123">
        <f t="shared" si="24"/>
        <v>0.01609347694</v>
      </c>
      <c r="U34" s="123">
        <f t="shared" si="24"/>
        <v>0.02318045153</v>
      </c>
      <c r="V34" s="123">
        <f t="shared" si="24"/>
        <v>0.01913983629</v>
      </c>
      <c r="W34" s="123">
        <f t="shared" si="24"/>
        <v>0.02324507116</v>
      </c>
      <c r="X34" s="123">
        <f t="shared" si="24"/>
        <v>0.03464582707</v>
      </c>
      <c r="Y34" s="123">
        <f t="shared" si="24"/>
        <v>0.053</v>
      </c>
      <c r="Z34" s="123">
        <f t="shared" si="24"/>
        <v>0.01571623365</v>
      </c>
      <c r="AA34" s="123">
        <f t="shared" si="24"/>
        <v>7.234178138</v>
      </c>
      <c r="AB34" s="123">
        <f t="shared" si="24"/>
        <v>7.571877794</v>
      </c>
      <c r="AC34" s="123">
        <f t="shared" si="24"/>
        <v>10</v>
      </c>
      <c r="AD34" s="123">
        <f t="shared" si="24"/>
        <v>9.504384953</v>
      </c>
    </row>
    <row r="35">
      <c r="A35" s="171" t="s">
        <v>89</v>
      </c>
      <c r="B35" s="88">
        <v>43.0</v>
      </c>
      <c r="C35" s="89" t="b">
        <v>1</v>
      </c>
      <c r="D35" s="89" t="s">
        <v>43</v>
      </c>
      <c r="E35" s="89" t="s">
        <v>44</v>
      </c>
      <c r="F35" s="90">
        <v>0.8</v>
      </c>
      <c r="G35" s="91">
        <v>0.789</v>
      </c>
      <c r="H35" s="91">
        <v>0.707</v>
      </c>
      <c r="I35" s="91">
        <v>0.776</v>
      </c>
      <c r="J35" s="91">
        <v>0.781</v>
      </c>
      <c r="K35" s="91">
        <v>0.468</v>
      </c>
      <c r="L35" s="91">
        <v>0.915</v>
      </c>
      <c r="M35" s="91">
        <v>0.808</v>
      </c>
      <c r="N35" s="92">
        <v>41.0</v>
      </c>
      <c r="O35" s="92">
        <v>41.0</v>
      </c>
      <c r="P35" s="92">
        <v>16.0</v>
      </c>
      <c r="Q35" s="92">
        <v>172.0</v>
      </c>
      <c r="R35" s="93"/>
      <c r="S35" s="94">
        <v>0.759</v>
      </c>
      <c r="T35" s="95">
        <v>0.737</v>
      </c>
      <c r="U35" s="95">
        <v>0.601</v>
      </c>
      <c r="V35" s="95">
        <v>0.693</v>
      </c>
      <c r="W35" s="95">
        <v>0.724</v>
      </c>
      <c r="X35" s="94">
        <v>0.293</v>
      </c>
      <c r="Y35" s="94">
        <v>0.947</v>
      </c>
      <c r="Z35" s="94">
        <v>0.745</v>
      </c>
      <c r="AA35" s="96">
        <v>21.0</v>
      </c>
      <c r="AB35" s="97">
        <v>61.0</v>
      </c>
      <c r="AC35" s="97">
        <v>10.0</v>
      </c>
      <c r="AD35" s="98">
        <v>178.0</v>
      </c>
    </row>
    <row r="36">
      <c r="A36" s="7"/>
      <c r="C36" s="99" t="b">
        <v>1</v>
      </c>
      <c r="D36" s="99" t="s">
        <v>43</v>
      </c>
      <c r="E36" s="99" t="s">
        <v>45</v>
      </c>
      <c r="F36" s="100">
        <v>0.737</v>
      </c>
      <c r="G36" s="101">
        <v>0.725</v>
      </c>
      <c r="H36" s="101">
        <v>0.628</v>
      </c>
      <c r="I36" s="101">
        <v>0.708</v>
      </c>
      <c r="J36" s="101">
        <v>0.705</v>
      </c>
      <c r="K36" s="101">
        <v>0.29</v>
      </c>
      <c r="L36" s="101">
        <v>0.872</v>
      </c>
      <c r="M36" s="101">
        <v>0.766</v>
      </c>
      <c r="N36" s="102">
        <v>31.0</v>
      </c>
      <c r="O36" s="102">
        <v>50.0</v>
      </c>
      <c r="P36" s="102">
        <v>24.0</v>
      </c>
      <c r="Q36" s="102">
        <v>164.0</v>
      </c>
      <c r="R36" s="103"/>
      <c r="S36" s="104">
        <v>0.731</v>
      </c>
      <c r="T36" s="105">
        <v>0.717</v>
      </c>
      <c r="U36" s="105">
        <v>0.696</v>
      </c>
      <c r="V36" s="105">
        <v>0.724</v>
      </c>
      <c r="W36" s="105">
        <v>0.738</v>
      </c>
      <c r="X36" s="104">
        <v>0.373</v>
      </c>
      <c r="Y36" s="104">
        <v>0.75</v>
      </c>
      <c r="Z36" s="104">
        <v>0.829</v>
      </c>
      <c r="AA36" s="106">
        <v>52.0</v>
      </c>
      <c r="AB36" s="107">
        <v>29.0</v>
      </c>
      <c r="AC36" s="107">
        <v>47.0</v>
      </c>
      <c r="AD36" s="108">
        <v>141.0</v>
      </c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>
        <v>0.789</v>
      </c>
      <c r="G37" s="101">
        <v>0.743</v>
      </c>
      <c r="H37" s="101">
        <v>0.655</v>
      </c>
      <c r="I37" s="101">
        <v>0.728</v>
      </c>
      <c r="J37" s="101">
        <v>0.728</v>
      </c>
      <c r="K37" s="101">
        <v>0.348</v>
      </c>
      <c r="L37" s="101">
        <v>0.882</v>
      </c>
      <c r="M37" s="101">
        <v>0.778</v>
      </c>
      <c r="N37" s="110">
        <v>35.0</v>
      </c>
      <c r="O37" s="110">
        <v>47.0</v>
      </c>
      <c r="P37" s="110">
        <v>22.0</v>
      </c>
      <c r="Q37" s="110">
        <v>165.0</v>
      </c>
      <c r="R37" s="103"/>
      <c r="S37" s="104">
        <v>0.782</v>
      </c>
      <c r="T37" s="105">
        <v>0.725</v>
      </c>
      <c r="U37" s="105">
        <v>0.682</v>
      </c>
      <c r="V37" s="105">
        <v>0.727</v>
      </c>
      <c r="W37" s="105">
        <v>0.729</v>
      </c>
      <c r="X37" s="104">
        <v>0.36</v>
      </c>
      <c r="Y37" s="104">
        <v>0.791</v>
      </c>
      <c r="Z37" s="104">
        <v>0.809</v>
      </c>
      <c r="AA37" s="111">
        <v>47.0</v>
      </c>
      <c r="AB37" s="112">
        <v>35.0</v>
      </c>
      <c r="AC37" s="112">
        <v>39.0</v>
      </c>
      <c r="AD37" s="113">
        <v>148.0</v>
      </c>
    </row>
    <row r="38">
      <c r="A38" s="7"/>
      <c r="B38" s="114" t="s">
        <v>47</v>
      </c>
      <c r="C38" s="30"/>
      <c r="D38" s="30"/>
      <c r="E38" s="72"/>
      <c r="F38" s="161">
        <f t="shared" ref="F38:Q38" si="25">AVERAGE(F35:F37)</f>
        <v>0.7753333333</v>
      </c>
      <c r="G38" s="161">
        <f t="shared" si="25"/>
        <v>0.7523333333</v>
      </c>
      <c r="H38" s="115">
        <f t="shared" si="25"/>
        <v>0.6633333333</v>
      </c>
      <c r="I38" s="161">
        <f t="shared" si="25"/>
        <v>0.7373333333</v>
      </c>
      <c r="J38" s="115">
        <f t="shared" si="25"/>
        <v>0.738</v>
      </c>
      <c r="K38" s="161">
        <f t="shared" si="25"/>
        <v>0.3686666667</v>
      </c>
      <c r="L38" s="117">
        <f t="shared" si="25"/>
        <v>0.8896666667</v>
      </c>
      <c r="M38" s="115">
        <f t="shared" si="25"/>
        <v>0.784</v>
      </c>
      <c r="N38" s="115">
        <f t="shared" si="25"/>
        <v>35.66666667</v>
      </c>
      <c r="O38" s="115">
        <f t="shared" si="25"/>
        <v>46</v>
      </c>
      <c r="P38" s="117">
        <f t="shared" si="25"/>
        <v>20.66666667</v>
      </c>
      <c r="Q38" s="117">
        <f t="shared" si="25"/>
        <v>167</v>
      </c>
      <c r="R38" s="116"/>
      <c r="S38" s="115">
        <f t="shared" ref="S38:AD38" si="26">AVERAGE(S35:S37)</f>
        <v>0.7573333333</v>
      </c>
      <c r="T38" s="115">
        <f t="shared" si="26"/>
        <v>0.7263333333</v>
      </c>
      <c r="U38" s="115">
        <f t="shared" si="26"/>
        <v>0.6596666667</v>
      </c>
      <c r="V38" s="115">
        <f t="shared" si="26"/>
        <v>0.7146666667</v>
      </c>
      <c r="W38" s="115">
        <f t="shared" si="26"/>
        <v>0.7303333333</v>
      </c>
      <c r="X38" s="115">
        <f t="shared" si="26"/>
        <v>0.342</v>
      </c>
      <c r="Y38" s="115">
        <f t="shared" si="26"/>
        <v>0.8293333333</v>
      </c>
      <c r="Z38" s="115">
        <f t="shared" si="26"/>
        <v>0.7943333333</v>
      </c>
      <c r="AA38" s="115">
        <f t="shared" si="26"/>
        <v>40</v>
      </c>
      <c r="AB38" s="115">
        <f t="shared" si="26"/>
        <v>41.66666667</v>
      </c>
      <c r="AC38" s="115">
        <f t="shared" si="26"/>
        <v>32</v>
      </c>
      <c r="AD38" s="118">
        <f t="shared" si="26"/>
        <v>155.6666667</v>
      </c>
    </row>
    <row r="39">
      <c r="A39" s="119"/>
      <c r="B39" s="120" t="s">
        <v>48</v>
      </c>
      <c r="C39" s="121"/>
      <c r="D39" s="121"/>
      <c r="E39" s="122"/>
      <c r="F39" s="123">
        <f t="shared" ref="F39:Q39" si="27">STDEV(F35:F37)</f>
        <v>0.03365016097</v>
      </c>
      <c r="G39" s="123">
        <f t="shared" si="27"/>
        <v>0.03300505012</v>
      </c>
      <c r="H39" s="123">
        <f t="shared" si="27"/>
        <v>0.04015387071</v>
      </c>
      <c r="I39" s="123">
        <f t="shared" si="27"/>
        <v>0.03494757979</v>
      </c>
      <c r="J39" s="123">
        <f t="shared" si="27"/>
        <v>0.03897435054</v>
      </c>
      <c r="K39" s="123">
        <f t="shared" si="27"/>
        <v>0.09078178966</v>
      </c>
      <c r="L39" s="123">
        <f t="shared" si="27"/>
        <v>0.02250185178</v>
      </c>
      <c r="M39" s="123">
        <f t="shared" si="27"/>
        <v>0.02163330765</v>
      </c>
      <c r="N39" s="123">
        <f t="shared" si="27"/>
        <v>5.033222957</v>
      </c>
      <c r="O39" s="123">
        <f t="shared" si="27"/>
        <v>4.582575695</v>
      </c>
      <c r="P39" s="123">
        <f t="shared" si="27"/>
        <v>4.163331999</v>
      </c>
      <c r="Q39" s="123">
        <f t="shared" si="27"/>
        <v>4.358898944</v>
      </c>
      <c r="R39" s="123"/>
      <c r="S39" s="123">
        <f t="shared" ref="S39:AD39" si="28">STDEV(S35:S37)</f>
        <v>0.02554081701</v>
      </c>
      <c r="T39" s="123">
        <f t="shared" si="28"/>
        <v>0.01006644591</v>
      </c>
      <c r="U39" s="123">
        <f t="shared" si="28"/>
        <v>0.05128677542</v>
      </c>
      <c r="V39" s="123">
        <f t="shared" si="28"/>
        <v>0.01882374387</v>
      </c>
      <c r="W39" s="123">
        <f t="shared" si="28"/>
        <v>0.007094598885</v>
      </c>
      <c r="X39" s="123">
        <f t="shared" si="28"/>
        <v>0.04293017587</v>
      </c>
      <c r="Y39" s="123">
        <f t="shared" si="28"/>
        <v>0.1039438951</v>
      </c>
      <c r="Z39" s="123">
        <f t="shared" si="28"/>
        <v>0.04387862046</v>
      </c>
      <c r="AA39" s="123">
        <f t="shared" si="28"/>
        <v>16.64331698</v>
      </c>
      <c r="AB39" s="123">
        <f t="shared" si="28"/>
        <v>17.0098011</v>
      </c>
      <c r="AC39" s="123">
        <f t="shared" si="28"/>
        <v>19.46792233</v>
      </c>
      <c r="AD39" s="123">
        <f t="shared" si="28"/>
        <v>19.65536398</v>
      </c>
    </row>
    <row r="40">
      <c r="A40" s="171" t="s">
        <v>89</v>
      </c>
      <c r="B40" s="88">
        <v>50.0</v>
      </c>
      <c r="C40" s="89" t="b">
        <v>1</v>
      </c>
      <c r="D40" s="89" t="s">
        <v>43</v>
      </c>
      <c r="E40" s="89" t="s">
        <v>44</v>
      </c>
      <c r="F40" s="90">
        <v>0.787</v>
      </c>
      <c r="G40" s="91">
        <v>0.793</v>
      </c>
      <c r="H40" s="91">
        <v>0.731</v>
      </c>
      <c r="I40" s="91">
        <v>0.787</v>
      </c>
      <c r="J40" s="91">
        <v>0.786</v>
      </c>
      <c r="K40" s="91">
        <v>0.489</v>
      </c>
      <c r="L40" s="91">
        <v>0.888</v>
      </c>
      <c r="M40" s="91">
        <v>0.827</v>
      </c>
      <c r="N40" s="92">
        <v>47.0</v>
      </c>
      <c r="O40" s="92">
        <v>35.0</v>
      </c>
      <c r="P40" s="92">
        <v>21.0</v>
      </c>
      <c r="Q40" s="92">
        <v>167.0</v>
      </c>
      <c r="R40" s="93"/>
      <c r="S40" s="94">
        <v>0.745</v>
      </c>
      <c r="T40" s="95">
        <v>0.719</v>
      </c>
      <c r="U40" s="95">
        <v>0.708</v>
      </c>
      <c r="V40" s="95">
        <v>0.727</v>
      </c>
      <c r="W40" s="95">
        <v>0.746</v>
      </c>
      <c r="X40" s="94">
        <v>0.393</v>
      </c>
      <c r="Y40" s="94">
        <v>0.734</v>
      </c>
      <c r="Z40" s="94">
        <v>0.841</v>
      </c>
      <c r="AA40" s="96">
        <v>56.0</v>
      </c>
      <c r="AB40" s="97">
        <v>26.0</v>
      </c>
      <c r="AC40" s="97">
        <v>50.0</v>
      </c>
      <c r="AD40" s="98">
        <v>138.0</v>
      </c>
    </row>
    <row r="41">
      <c r="A41" s="7"/>
      <c r="C41" s="99" t="b">
        <v>1</v>
      </c>
      <c r="D41" s="99" t="s">
        <v>43</v>
      </c>
      <c r="E41" s="99" t="s">
        <v>45</v>
      </c>
      <c r="F41" s="100">
        <v>0.737</v>
      </c>
      <c r="G41" s="101">
        <v>0.71</v>
      </c>
      <c r="H41" s="101">
        <v>0.575</v>
      </c>
      <c r="I41" s="101">
        <v>0.668</v>
      </c>
      <c r="J41" s="101">
        <v>0.677</v>
      </c>
      <c r="K41" s="101">
        <v>0.204</v>
      </c>
      <c r="L41" s="101">
        <v>0.915</v>
      </c>
      <c r="M41" s="101">
        <v>0.735</v>
      </c>
      <c r="N41" s="102">
        <v>19.0</v>
      </c>
      <c r="O41" s="102">
        <v>62.0</v>
      </c>
      <c r="P41" s="102">
        <v>16.0</v>
      </c>
      <c r="Q41" s="102">
        <v>172.0</v>
      </c>
      <c r="R41" s="103"/>
      <c r="S41" s="104">
        <v>0.73</v>
      </c>
      <c r="T41" s="105">
        <v>0.636</v>
      </c>
      <c r="U41" s="105">
        <v>0.669</v>
      </c>
      <c r="V41" s="105">
        <v>0.65</v>
      </c>
      <c r="W41" s="105">
        <v>0.724</v>
      </c>
      <c r="X41" s="104">
        <v>0.31</v>
      </c>
      <c r="Y41" s="104">
        <v>0.585</v>
      </c>
      <c r="Z41" s="104">
        <v>0.846</v>
      </c>
      <c r="AA41" s="106">
        <v>61.0</v>
      </c>
      <c r="AB41" s="107">
        <v>20.0</v>
      </c>
      <c r="AC41" s="107">
        <v>78.0</v>
      </c>
      <c r="AD41" s="108">
        <v>110.0</v>
      </c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>
        <v>0.792</v>
      </c>
      <c r="G42" s="101">
        <v>0.699</v>
      </c>
      <c r="H42" s="101">
        <v>0.554</v>
      </c>
      <c r="I42" s="101">
        <v>0.646</v>
      </c>
      <c r="J42" s="101">
        <v>0.659</v>
      </c>
      <c r="K42" s="101">
        <v>0.16</v>
      </c>
      <c r="L42" s="101">
        <v>0.925</v>
      </c>
      <c r="M42" s="101">
        <v>0.721</v>
      </c>
      <c r="N42" s="110">
        <v>15.0</v>
      </c>
      <c r="O42" s="110">
        <v>67.0</v>
      </c>
      <c r="P42" s="110">
        <v>14.0</v>
      </c>
      <c r="Q42" s="110">
        <v>173.0</v>
      </c>
      <c r="R42" s="103"/>
      <c r="S42" s="104">
        <v>0.739</v>
      </c>
      <c r="T42" s="105">
        <v>0.691</v>
      </c>
      <c r="U42" s="105">
        <v>0.689</v>
      </c>
      <c r="V42" s="105">
        <v>0.702</v>
      </c>
      <c r="W42" s="105">
        <v>0.73</v>
      </c>
      <c r="X42" s="104">
        <v>0.353</v>
      </c>
      <c r="Y42" s="104">
        <v>0.695</v>
      </c>
      <c r="Z42" s="104">
        <v>0.833</v>
      </c>
      <c r="AA42" s="111">
        <v>56.0</v>
      </c>
      <c r="AB42" s="112">
        <v>26.0</v>
      </c>
      <c r="AC42" s="112">
        <v>57.0</v>
      </c>
      <c r="AD42" s="113">
        <v>130.0</v>
      </c>
    </row>
    <row r="43">
      <c r="A43" s="7"/>
      <c r="B43" s="114" t="s">
        <v>47</v>
      </c>
      <c r="C43" s="30"/>
      <c r="D43" s="30"/>
      <c r="E43" s="72"/>
      <c r="F43" s="115">
        <f t="shared" ref="F43:Q43" si="29">AVERAGE(F40:F42)</f>
        <v>0.772</v>
      </c>
      <c r="G43" s="115">
        <f t="shared" si="29"/>
        <v>0.734</v>
      </c>
      <c r="H43" s="115">
        <f t="shared" si="29"/>
        <v>0.62</v>
      </c>
      <c r="I43" s="115">
        <f t="shared" si="29"/>
        <v>0.7003333333</v>
      </c>
      <c r="J43" s="115">
        <f t="shared" si="29"/>
        <v>0.7073333333</v>
      </c>
      <c r="K43" s="115">
        <f t="shared" si="29"/>
        <v>0.2843333333</v>
      </c>
      <c r="L43" s="115">
        <f t="shared" si="29"/>
        <v>0.9093333333</v>
      </c>
      <c r="M43" s="115">
        <f t="shared" si="29"/>
        <v>0.761</v>
      </c>
      <c r="N43" s="115">
        <f t="shared" si="29"/>
        <v>27</v>
      </c>
      <c r="O43" s="115">
        <f t="shared" si="29"/>
        <v>54.66666667</v>
      </c>
      <c r="P43" s="115">
        <f t="shared" si="29"/>
        <v>17</v>
      </c>
      <c r="Q43" s="115">
        <f t="shared" si="29"/>
        <v>170.6666667</v>
      </c>
      <c r="R43" s="116"/>
      <c r="S43" s="115">
        <f t="shared" ref="S43:AD43" si="30">AVERAGE(S40:S42)</f>
        <v>0.738</v>
      </c>
      <c r="T43" s="115">
        <f t="shared" si="30"/>
        <v>0.682</v>
      </c>
      <c r="U43" s="115">
        <f t="shared" si="30"/>
        <v>0.6886666667</v>
      </c>
      <c r="V43" s="115">
        <f t="shared" si="30"/>
        <v>0.693</v>
      </c>
      <c r="W43" s="115">
        <f t="shared" si="30"/>
        <v>0.7333333333</v>
      </c>
      <c r="X43" s="115">
        <f t="shared" si="30"/>
        <v>0.352</v>
      </c>
      <c r="Y43" s="117">
        <f t="shared" si="30"/>
        <v>0.6713333333</v>
      </c>
      <c r="Z43" s="115">
        <f t="shared" si="30"/>
        <v>0.84</v>
      </c>
      <c r="AA43" s="115">
        <f t="shared" si="30"/>
        <v>57.66666667</v>
      </c>
      <c r="AB43" s="115">
        <f t="shared" si="30"/>
        <v>24</v>
      </c>
      <c r="AC43" s="117">
        <f t="shared" si="30"/>
        <v>61.66666667</v>
      </c>
      <c r="AD43" s="162">
        <f t="shared" si="30"/>
        <v>126</v>
      </c>
    </row>
    <row r="44">
      <c r="A44" s="119"/>
      <c r="B44" s="120" t="s">
        <v>48</v>
      </c>
      <c r="C44" s="121"/>
      <c r="D44" s="121"/>
      <c r="E44" s="122"/>
      <c r="F44" s="123">
        <f t="shared" ref="F44:Q44" si="31">STDEV(F40:F42)</f>
        <v>0.03041381265</v>
      </c>
      <c r="G44" s="123">
        <f t="shared" si="31"/>
        <v>0.05139066063</v>
      </c>
      <c r="H44" s="123">
        <f t="shared" si="31"/>
        <v>0.09670056877</v>
      </c>
      <c r="I44" s="123">
        <f t="shared" si="31"/>
        <v>0.07585732221</v>
      </c>
      <c r="J44" s="123">
        <f t="shared" si="31"/>
        <v>0.06871923554</v>
      </c>
      <c r="K44" s="123">
        <f t="shared" si="31"/>
        <v>0.1786066441</v>
      </c>
      <c r="L44" s="123">
        <f t="shared" si="31"/>
        <v>0.01913983629</v>
      </c>
      <c r="M44" s="123">
        <f t="shared" si="31"/>
        <v>0.0575847202</v>
      </c>
      <c r="N44" s="123">
        <f t="shared" si="31"/>
        <v>17.43559577</v>
      </c>
      <c r="O44" s="123">
        <f t="shared" si="31"/>
        <v>17.21433511</v>
      </c>
      <c r="P44" s="123">
        <f t="shared" si="31"/>
        <v>3.605551275</v>
      </c>
      <c r="Q44" s="123">
        <f t="shared" si="31"/>
        <v>3.214550254</v>
      </c>
      <c r="R44" s="123"/>
      <c r="S44" s="123">
        <f t="shared" ref="S44:AD44" si="32">STDEV(S40:S42)</f>
        <v>0.007549834435</v>
      </c>
      <c r="T44" s="123">
        <f t="shared" si="32"/>
        <v>0.04222558466</v>
      </c>
      <c r="U44" s="123">
        <f t="shared" si="32"/>
        <v>0.01950213664</v>
      </c>
      <c r="V44" s="123">
        <f t="shared" si="32"/>
        <v>0.03928103868</v>
      </c>
      <c r="W44" s="123">
        <f t="shared" si="32"/>
        <v>0.01137248141</v>
      </c>
      <c r="X44" s="123">
        <f t="shared" si="32"/>
        <v>0.04150903516</v>
      </c>
      <c r="Y44" s="123">
        <f t="shared" si="32"/>
        <v>0.07726793212</v>
      </c>
      <c r="Z44" s="123">
        <f t="shared" si="32"/>
        <v>0.006557438524</v>
      </c>
      <c r="AA44" s="123">
        <f t="shared" si="32"/>
        <v>2.886751346</v>
      </c>
      <c r="AB44" s="123">
        <f t="shared" si="32"/>
        <v>3.464101615</v>
      </c>
      <c r="AC44" s="123">
        <f t="shared" si="32"/>
        <v>14.571662</v>
      </c>
      <c r="AD44" s="123">
        <f t="shared" si="32"/>
        <v>14.4222051</v>
      </c>
    </row>
    <row r="45">
      <c r="A45" s="171" t="s">
        <v>89</v>
      </c>
      <c r="B45" s="88">
        <v>6.0</v>
      </c>
      <c r="C45" s="89" t="b">
        <v>1</v>
      </c>
      <c r="D45" s="89" t="s">
        <v>43</v>
      </c>
      <c r="E45" s="89" t="s">
        <v>44</v>
      </c>
      <c r="F45" s="90">
        <v>0.78</v>
      </c>
      <c r="G45" s="91">
        <v>0.785</v>
      </c>
      <c r="H45" s="91">
        <v>0.725</v>
      </c>
      <c r="I45" s="91">
        <v>0.78</v>
      </c>
      <c r="J45" s="91">
        <v>0.778</v>
      </c>
      <c r="K45" s="91">
        <v>0.473</v>
      </c>
      <c r="L45" s="91">
        <v>0.878</v>
      </c>
      <c r="M45" s="91">
        <v>0.825</v>
      </c>
      <c r="N45" s="92">
        <v>47.0</v>
      </c>
      <c r="O45" s="92">
        <v>35.0</v>
      </c>
      <c r="P45" s="92">
        <v>23.0</v>
      </c>
      <c r="Q45" s="92">
        <v>165.0</v>
      </c>
      <c r="R45" s="93"/>
      <c r="S45" s="94">
        <v>0.761</v>
      </c>
      <c r="T45" s="95">
        <v>0.704</v>
      </c>
      <c r="U45" s="95">
        <v>0.708</v>
      </c>
      <c r="V45" s="95">
        <v>0.714</v>
      </c>
      <c r="W45" s="95">
        <v>0.747</v>
      </c>
      <c r="X45" s="94">
        <v>0.387</v>
      </c>
      <c r="Y45" s="94">
        <v>0.697</v>
      </c>
      <c r="Z45" s="94">
        <v>0.851</v>
      </c>
      <c r="AA45" s="96">
        <v>59.0</v>
      </c>
      <c r="AB45" s="97">
        <v>23.0</v>
      </c>
      <c r="AC45" s="97">
        <v>57.0</v>
      </c>
      <c r="AD45" s="98">
        <v>131.0</v>
      </c>
    </row>
    <row r="46">
      <c r="A46" s="7"/>
      <c r="C46" s="99" t="b">
        <v>1</v>
      </c>
      <c r="D46" s="99" t="s">
        <v>43</v>
      </c>
      <c r="E46" s="99" t="s">
        <v>45</v>
      </c>
      <c r="F46" s="100">
        <v>0.746</v>
      </c>
      <c r="G46" s="101">
        <v>0.732</v>
      </c>
      <c r="H46" s="101">
        <v>0.71</v>
      </c>
      <c r="I46" s="101">
        <v>0.738</v>
      </c>
      <c r="J46" s="101">
        <v>0.75</v>
      </c>
      <c r="K46" s="101">
        <v>0.402</v>
      </c>
      <c r="L46" s="101">
        <v>0.766</v>
      </c>
      <c r="M46" s="101">
        <v>0.837</v>
      </c>
      <c r="N46" s="102">
        <v>53.0</v>
      </c>
      <c r="O46" s="102">
        <v>28.0</v>
      </c>
      <c r="P46" s="102">
        <v>44.0</v>
      </c>
      <c r="Q46" s="102">
        <v>144.0</v>
      </c>
      <c r="R46" s="103"/>
      <c r="S46" s="104">
        <v>0.726</v>
      </c>
      <c r="T46" s="105">
        <v>0.729</v>
      </c>
      <c r="U46" s="105">
        <v>0.669</v>
      </c>
      <c r="V46" s="105">
        <v>0.726</v>
      </c>
      <c r="W46" s="105">
        <v>0.724</v>
      </c>
      <c r="X46" s="104">
        <v>0.344</v>
      </c>
      <c r="Y46" s="104">
        <v>0.819</v>
      </c>
      <c r="Z46" s="104">
        <v>0.798</v>
      </c>
      <c r="AA46" s="106">
        <v>42.0</v>
      </c>
      <c r="AB46" s="107">
        <v>39.0</v>
      </c>
      <c r="AC46" s="107">
        <v>34.0</v>
      </c>
      <c r="AD46" s="108">
        <v>154.0</v>
      </c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>
        <v>0.773</v>
      </c>
      <c r="G47" s="101">
        <v>0.695</v>
      </c>
      <c r="H47" s="101">
        <v>0.5</v>
      </c>
      <c r="I47" s="101">
        <v>0.57</v>
      </c>
      <c r="J47" s="101">
        <v>0.788</v>
      </c>
      <c r="K47" s="101">
        <v>0.0</v>
      </c>
      <c r="L47" s="101">
        <v>1.0</v>
      </c>
      <c r="M47" s="101">
        <v>0.695</v>
      </c>
      <c r="N47" s="110">
        <v>0.0</v>
      </c>
      <c r="O47" s="110">
        <v>82.0</v>
      </c>
      <c r="P47" s="110">
        <v>0.0</v>
      </c>
      <c r="Q47" s="110">
        <v>187.0</v>
      </c>
      <c r="R47" s="103"/>
      <c r="S47" s="104">
        <v>0.789</v>
      </c>
      <c r="T47" s="105">
        <v>0.721</v>
      </c>
      <c r="U47" s="105">
        <v>0.71</v>
      </c>
      <c r="V47" s="105">
        <v>0.729</v>
      </c>
      <c r="W47" s="105">
        <v>0.748</v>
      </c>
      <c r="X47" s="104">
        <v>0.397</v>
      </c>
      <c r="Y47" s="104">
        <v>0.738</v>
      </c>
      <c r="Z47" s="104">
        <v>0.841</v>
      </c>
      <c r="AA47" s="111">
        <v>56.0</v>
      </c>
      <c r="AB47" s="112">
        <v>26.0</v>
      </c>
      <c r="AC47" s="112">
        <v>49.0</v>
      </c>
      <c r="AD47" s="113">
        <v>138.0</v>
      </c>
    </row>
    <row r="48">
      <c r="A48" s="7"/>
      <c r="B48" s="114" t="s">
        <v>47</v>
      </c>
      <c r="C48" s="30"/>
      <c r="D48" s="30"/>
      <c r="E48" s="72"/>
      <c r="F48" s="115">
        <f t="shared" ref="F48:Q48" si="33">AVERAGE(F45:F47)</f>
        <v>0.7663333333</v>
      </c>
      <c r="G48" s="115">
        <f t="shared" si="33"/>
        <v>0.7373333333</v>
      </c>
      <c r="H48" s="115">
        <f t="shared" si="33"/>
        <v>0.645</v>
      </c>
      <c r="I48" s="115">
        <f t="shared" si="33"/>
        <v>0.696</v>
      </c>
      <c r="J48" s="161">
        <f t="shared" si="33"/>
        <v>0.772</v>
      </c>
      <c r="K48" s="115">
        <f t="shared" si="33"/>
        <v>0.2916666667</v>
      </c>
      <c r="L48" s="117">
        <f t="shared" si="33"/>
        <v>0.8813333333</v>
      </c>
      <c r="M48" s="115">
        <f t="shared" si="33"/>
        <v>0.7856666667</v>
      </c>
      <c r="N48" s="115">
        <f t="shared" si="33"/>
        <v>33.33333333</v>
      </c>
      <c r="O48" s="115">
        <f t="shared" si="33"/>
        <v>48.33333333</v>
      </c>
      <c r="P48" s="117">
        <f t="shared" si="33"/>
        <v>22.33333333</v>
      </c>
      <c r="Q48" s="117">
        <f t="shared" si="33"/>
        <v>165.3333333</v>
      </c>
      <c r="R48" s="116"/>
      <c r="S48" s="115">
        <f t="shared" ref="S48:AD48" si="34">AVERAGE(S45:S47)</f>
        <v>0.7586666667</v>
      </c>
      <c r="T48" s="115">
        <f t="shared" si="34"/>
        <v>0.718</v>
      </c>
      <c r="U48" s="115">
        <f t="shared" si="34"/>
        <v>0.6956666667</v>
      </c>
      <c r="V48" s="115">
        <f t="shared" si="34"/>
        <v>0.723</v>
      </c>
      <c r="W48" s="115">
        <f t="shared" si="34"/>
        <v>0.7396666667</v>
      </c>
      <c r="X48" s="115">
        <f t="shared" si="34"/>
        <v>0.376</v>
      </c>
      <c r="Y48" s="115">
        <f t="shared" si="34"/>
        <v>0.7513333333</v>
      </c>
      <c r="Z48" s="115">
        <f t="shared" si="34"/>
        <v>0.83</v>
      </c>
      <c r="AA48" s="115">
        <f t="shared" si="34"/>
        <v>52.33333333</v>
      </c>
      <c r="AB48" s="115">
        <f t="shared" si="34"/>
        <v>29.33333333</v>
      </c>
      <c r="AC48" s="115">
        <f t="shared" si="34"/>
        <v>46.66666667</v>
      </c>
      <c r="AD48" s="118">
        <f t="shared" si="34"/>
        <v>141</v>
      </c>
    </row>
    <row r="49">
      <c r="A49" s="119"/>
      <c r="B49" s="120" t="s">
        <v>48</v>
      </c>
      <c r="C49" s="121"/>
      <c r="D49" s="121"/>
      <c r="E49" s="122"/>
      <c r="F49" s="123">
        <f t="shared" ref="F49:Q49" si="35">STDEV(F45:F47)</f>
        <v>0.01795364401</v>
      </c>
      <c r="G49" s="123">
        <f t="shared" si="35"/>
        <v>0.04523641601</v>
      </c>
      <c r="H49" s="123">
        <f t="shared" si="35"/>
        <v>0.1257974563</v>
      </c>
      <c r="I49" s="123">
        <f t="shared" si="35"/>
        <v>0.1111215551</v>
      </c>
      <c r="J49" s="123">
        <f t="shared" si="35"/>
        <v>0.0196977156</v>
      </c>
      <c r="K49" s="123">
        <f t="shared" si="35"/>
        <v>0.2550731921</v>
      </c>
      <c r="L49" s="123">
        <f t="shared" si="35"/>
        <v>0.1170356071</v>
      </c>
      <c r="M49" s="123">
        <f t="shared" si="35"/>
        <v>0.07874854496</v>
      </c>
      <c r="N49" s="123">
        <f t="shared" si="35"/>
        <v>29.0229794</v>
      </c>
      <c r="O49" s="123">
        <f t="shared" si="35"/>
        <v>29.36551265</v>
      </c>
      <c r="P49" s="123">
        <f t="shared" si="35"/>
        <v>22.00757445</v>
      </c>
      <c r="Q49" s="123">
        <f t="shared" si="35"/>
        <v>21.5019379</v>
      </c>
      <c r="R49" s="123"/>
      <c r="S49" s="123">
        <f t="shared" ref="S49:AD49" si="36">STDEV(S45:S47)</f>
        <v>0.03156474827</v>
      </c>
      <c r="T49" s="123">
        <f t="shared" si="36"/>
        <v>0.01276714533</v>
      </c>
      <c r="U49" s="123">
        <f t="shared" si="36"/>
        <v>0.02311565126</v>
      </c>
      <c r="V49" s="123">
        <f t="shared" si="36"/>
        <v>0.007937253933</v>
      </c>
      <c r="W49" s="123">
        <f t="shared" si="36"/>
        <v>0.01357694124</v>
      </c>
      <c r="X49" s="123">
        <f t="shared" si="36"/>
        <v>0.02816025568</v>
      </c>
      <c r="Y49" s="123">
        <f t="shared" si="36"/>
        <v>0.0620832774</v>
      </c>
      <c r="Z49" s="123">
        <f t="shared" si="36"/>
        <v>0.02816025568</v>
      </c>
      <c r="AA49" s="123">
        <f t="shared" si="36"/>
        <v>9.073771726</v>
      </c>
      <c r="AB49" s="123">
        <f t="shared" si="36"/>
        <v>8.504900548</v>
      </c>
      <c r="AC49" s="123">
        <f t="shared" si="36"/>
        <v>11.67618659</v>
      </c>
      <c r="AD49" s="123">
        <f t="shared" si="36"/>
        <v>11.78982612</v>
      </c>
    </row>
    <row r="50">
      <c r="A50" s="171" t="s">
        <v>89</v>
      </c>
      <c r="B50" s="88">
        <v>9999.0</v>
      </c>
      <c r="C50" s="89" t="b">
        <v>1</v>
      </c>
      <c r="D50" s="89" t="s">
        <v>43</v>
      </c>
      <c r="E50" s="89" t="s">
        <v>44</v>
      </c>
      <c r="F50" s="124">
        <v>0.78</v>
      </c>
      <c r="G50" s="125">
        <v>0.785</v>
      </c>
      <c r="H50" s="125">
        <v>0.698</v>
      </c>
      <c r="I50" s="125">
        <v>0.771</v>
      </c>
      <c r="J50" s="125">
        <v>0.777</v>
      </c>
      <c r="K50" s="125">
        <v>0.455</v>
      </c>
      <c r="L50" s="125">
        <v>0.92</v>
      </c>
      <c r="M50" s="125">
        <v>0.801</v>
      </c>
      <c r="N50" s="126">
        <v>39.0</v>
      </c>
      <c r="O50" s="126">
        <v>43.0</v>
      </c>
      <c r="P50" s="126">
        <v>15.0</v>
      </c>
      <c r="Q50" s="126">
        <v>173.0</v>
      </c>
      <c r="R50" s="127"/>
      <c r="S50" s="128">
        <v>0.691</v>
      </c>
      <c r="T50" s="129">
        <v>0.622</v>
      </c>
      <c r="U50" s="129">
        <v>0.646</v>
      </c>
      <c r="V50" s="129">
        <v>0.637</v>
      </c>
      <c r="W50" s="129">
        <v>0.701</v>
      </c>
      <c r="X50" s="128">
        <v>0.269</v>
      </c>
      <c r="Y50" s="128">
        <v>0.585</v>
      </c>
      <c r="Z50" s="128">
        <v>0.821</v>
      </c>
      <c r="AA50" s="148">
        <v>58.0</v>
      </c>
      <c r="AB50" s="149">
        <v>24.0</v>
      </c>
      <c r="AC50" s="149">
        <v>78.0</v>
      </c>
      <c r="AD50" s="150">
        <v>110.0</v>
      </c>
    </row>
    <row r="51">
      <c r="A51" s="7"/>
      <c r="C51" s="99" t="b">
        <v>1</v>
      </c>
      <c r="D51" s="99" t="s">
        <v>43</v>
      </c>
      <c r="E51" s="99" t="s">
        <v>45</v>
      </c>
      <c r="F51" s="133">
        <v>0.743</v>
      </c>
      <c r="G51" s="134">
        <v>0.732</v>
      </c>
      <c r="H51" s="134">
        <v>0.647</v>
      </c>
      <c r="I51" s="134">
        <v>0.72</v>
      </c>
      <c r="J51" s="134">
        <v>0.717</v>
      </c>
      <c r="K51" s="134">
        <v>0.322</v>
      </c>
      <c r="L51" s="134">
        <v>0.862</v>
      </c>
      <c r="M51" s="134">
        <v>0.779</v>
      </c>
      <c r="N51" s="135">
        <v>35.0</v>
      </c>
      <c r="O51" s="135">
        <v>46.0</v>
      </c>
      <c r="P51" s="135">
        <v>26.0</v>
      </c>
      <c r="Q51" s="135">
        <v>162.0</v>
      </c>
      <c r="R51" s="136"/>
      <c r="S51" s="137">
        <v>0.727</v>
      </c>
      <c r="T51" s="138">
        <v>0.729</v>
      </c>
      <c r="U51" s="138">
        <v>0.62</v>
      </c>
      <c r="V51" s="138">
        <v>0.705</v>
      </c>
      <c r="W51" s="138">
        <v>0.707</v>
      </c>
      <c r="X51" s="137">
        <v>0.287</v>
      </c>
      <c r="Y51" s="137">
        <v>0.894</v>
      </c>
      <c r="Z51" s="137">
        <v>0.76</v>
      </c>
      <c r="AA51" s="139">
        <v>28.0</v>
      </c>
      <c r="AB51" s="140">
        <v>53.0</v>
      </c>
      <c r="AC51" s="140">
        <v>20.0</v>
      </c>
      <c r="AD51" s="141">
        <v>168.0</v>
      </c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>
        <v>0.769</v>
      </c>
      <c r="G52" s="143">
        <v>0.706</v>
      </c>
      <c r="H52" s="143">
        <v>0.535</v>
      </c>
      <c r="I52" s="143">
        <v>0.623</v>
      </c>
      <c r="J52" s="143">
        <v>0.682</v>
      </c>
      <c r="K52" s="143">
        <v>0.152</v>
      </c>
      <c r="L52" s="143">
        <v>0.973</v>
      </c>
      <c r="M52" s="143">
        <v>0.711</v>
      </c>
      <c r="N52" s="144">
        <v>8.0</v>
      </c>
      <c r="O52" s="144">
        <v>74.0</v>
      </c>
      <c r="P52" s="144">
        <v>5.0</v>
      </c>
      <c r="Q52" s="144">
        <v>182.0</v>
      </c>
      <c r="R52" s="145"/>
      <c r="S52" s="146">
        <v>0.764</v>
      </c>
      <c r="T52" s="147">
        <v>0.706</v>
      </c>
      <c r="U52" s="147">
        <v>0.669</v>
      </c>
      <c r="V52" s="147">
        <v>0.71</v>
      </c>
      <c r="W52" s="147">
        <v>0.716</v>
      </c>
      <c r="X52" s="146">
        <v>0.329</v>
      </c>
      <c r="Y52" s="146">
        <v>0.765</v>
      </c>
      <c r="Z52" s="146">
        <v>0.803</v>
      </c>
      <c r="AA52" s="148">
        <v>47.0</v>
      </c>
      <c r="AB52" s="149">
        <v>35.0</v>
      </c>
      <c r="AC52" s="149">
        <v>44.0</v>
      </c>
      <c r="AD52" s="150">
        <v>143.0</v>
      </c>
    </row>
    <row r="53">
      <c r="A53" s="7"/>
      <c r="B53" s="114" t="s">
        <v>47</v>
      </c>
      <c r="C53" s="30"/>
      <c r="D53" s="30"/>
      <c r="E53" s="72"/>
      <c r="F53" s="151">
        <f t="shared" ref="F53:Q53" si="37">AVERAGE(F50:F52)</f>
        <v>0.764</v>
      </c>
      <c r="G53" s="151">
        <f t="shared" si="37"/>
        <v>0.741</v>
      </c>
      <c r="H53" s="151">
        <f t="shared" si="37"/>
        <v>0.6266666667</v>
      </c>
      <c r="I53" s="151">
        <f t="shared" si="37"/>
        <v>0.7046666667</v>
      </c>
      <c r="J53" s="151">
        <f t="shared" si="37"/>
        <v>0.7253333333</v>
      </c>
      <c r="K53" s="151">
        <f t="shared" si="37"/>
        <v>0.3096666667</v>
      </c>
      <c r="L53" s="151">
        <f t="shared" si="37"/>
        <v>0.9183333333</v>
      </c>
      <c r="M53" s="151">
        <f t="shared" si="37"/>
        <v>0.7636666667</v>
      </c>
      <c r="N53" s="151">
        <f t="shared" si="37"/>
        <v>27.33333333</v>
      </c>
      <c r="O53" s="151">
        <f t="shared" si="37"/>
        <v>54.33333333</v>
      </c>
      <c r="P53" s="151">
        <f t="shared" si="37"/>
        <v>15.33333333</v>
      </c>
      <c r="Q53" s="151">
        <f t="shared" si="37"/>
        <v>172.3333333</v>
      </c>
      <c r="R53" s="152"/>
      <c r="S53" s="151">
        <f t="shared" ref="S53:AD53" si="38">AVERAGE(S50:S52)</f>
        <v>0.7273333333</v>
      </c>
      <c r="T53" s="151">
        <f t="shared" si="38"/>
        <v>0.6856666667</v>
      </c>
      <c r="U53" s="151">
        <f t="shared" si="38"/>
        <v>0.645</v>
      </c>
      <c r="V53" s="151">
        <f t="shared" si="38"/>
        <v>0.684</v>
      </c>
      <c r="W53" s="151">
        <f t="shared" si="38"/>
        <v>0.708</v>
      </c>
      <c r="X53" s="151">
        <f t="shared" si="38"/>
        <v>0.295</v>
      </c>
      <c r="Y53" s="151">
        <f t="shared" si="38"/>
        <v>0.748</v>
      </c>
      <c r="Z53" s="151">
        <f t="shared" si="38"/>
        <v>0.7946666667</v>
      </c>
      <c r="AA53" s="151">
        <f t="shared" si="38"/>
        <v>44.33333333</v>
      </c>
      <c r="AB53" s="151">
        <f t="shared" si="38"/>
        <v>37.33333333</v>
      </c>
      <c r="AC53" s="151">
        <f t="shared" si="38"/>
        <v>47.33333333</v>
      </c>
      <c r="AD53" s="153">
        <f t="shared" si="38"/>
        <v>140.3333333</v>
      </c>
    </row>
    <row r="54">
      <c r="A54" s="119"/>
      <c r="B54" s="163" t="s">
        <v>48</v>
      </c>
      <c r="C54" s="3"/>
      <c r="D54" s="3"/>
      <c r="E54" s="164"/>
      <c r="F54" s="154">
        <f t="shared" ref="F54:Q54" si="39">STDEV(F50:F52)</f>
        <v>0.019</v>
      </c>
      <c r="G54" s="154">
        <f t="shared" si="39"/>
        <v>0.04026164428</v>
      </c>
      <c r="H54" s="154">
        <f t="shared" si="39"/>
        <v>0.08338065323</v>
      </c>
      <c r="I54" s="154">
        <f t="shared" si="39"/>
        <v>0.07518200139</v>
      </c>
      <c r="J54" s="154">
        <f t="shared" si="39"/>
        <v>0.04804511768</v>
      </c>
      <c r="K54" s="154">
        <f t="shared" si="39"/>
        <v>0.1518760459</v>
      </c>
      <c r="L54" s="154">
        <f t="shared" si="39"/>
        <v>0.0555187656</v>
      </c>
      <c r="M54" s="154">
        <f t="shared" si="39"/>
        <v>0.04691836883</v>
      </c>
      <c r="N54" s="154">
        <f t="shared" si="39"/>
        <v>16.86218649</v>
      </c>
      <c r="O54" s="154">
        <f t="shared" si="39"/>
        <v>17.09775814</v>
      </c>
      <c r="P54" s="154">
        <f t="shared" si="39"/>
        <v>10.5039675</v>
      </c>
      <c r="Q54" s="154">
        <f t="shared" si="39"/>
        <v>10.0166528</v>
      </c>
      <c r="R54" s="154"/>
      <c r="S54" s="154">
        <f t="shared" ref="S54:AD54" si="40">STDEV(S50:S52)</f>
        <v>0.03650114153</v>
      </c>
      <c r="T54" s="154">
        <f t="shared" si="40"/>
        <v>0.05632347054</v>
      </c>
      <c r="U54" s="154">
        <f t="shared" si="40"/>
        <v>0.02451530134</v>
      </c>
      <c r="V54" s="154">
        <f t="shared" si="40"/>
        <v>0.04077989701</v>
      </c>
      <c r="W54" s="154">
        <f t="shared" si="40"/>
        <v>0.007549834435</v>
      </c>
      <c r="X54" s="154">
        <f t="shared" si="40"/>
        <v>0.03078960864</v>
      </c>
      <c r="Y54" s="154">
        <f t="shared" si="40"/>
        <v>0.1551998711</v>
      </c>
      <c r="Z54" s="154">
        <f t="shared" si="40"/>
        <v>0.03134219733</v>
      </c>
      <c r="AA54" s="154">
        <f t="shared" si="40"/>
        <v>15.17673658</v>
      </c>
      <c r="AB54" s="154">
        <f t="shared" si="40"/>
        <v>14.6401275</v>
      </c>
      <c r="AC54" s="154">
        <f t="shared" si="40"/>
        <v>29.14332399</v>
      </c>
      <c r="AD54" s="154">
        <f t="shared" si="40"/>
        <v>29.0918087</v>
      </c>
    </row>
    <row r="55">
      <c r="A55" s="166" t="s">
        <v>49</v>
      </c>
      <c r="B55" s="83"/>
      <c r="C55" s="83"/>
      <c r="D55" s="83"/>
      <c r="E55" s="84"/>
      <c r="F55" s="167">
        <f t="shared" ref="F55:Q55" si="41">AVERAGE(F8, F13, F18, F23,F28,F33,F38,F43,F48,F53)</f>
        <v>0.7623666667</v>
      </c>
      <c r="G55" s="167">
        <f t="shared" si="41"/>
        <v>0.7348666667</v>
      </c>
      <c r="H55" s="167">
        <f t="shared" si="41"/>
        <v>0.6370333333</v>
      </c>
      <c r="I55" s="167">
        <f t="shared" si="41"/>
        <v>0.7048666667</v>
      </c>
      <c r="J55" s="167">
        <f t="shared" si="41"/>
        <v>0.7345</v>
      </c>
      <c r="K55" s="167">
        <f t="shared" si="41"/>
        <v>0.3047666667</v>
      </c>
      <c r="L55" s="167">
        <f t="shared" si="41"/>
        <v>0.8861666667</v>
      </c>
      <c r="M55" s="167">
        <f t="shared" si="41"/>
        <v>0.7748666667</v>
      </c>
      <c r="N55" s="167">
        <f t="shared" si="41"/>
        <v>31.66666667</v>
      </c>
      <c r="O55" s="167">
        <f t="shared" si="41"/>
        <v>50</v>
      </c>
      <c r="P55" s="167">
        <f t="shared" si="41"/>
        <v>21.36666667</v>
      </c>
      <c r="Q55" s="167">
        <f t="shared" si="41"/>
        <v>166.3</v>
      </c>
      <c r="R55" s="168"/>
      <c r="S55" s="167">
        <f t="shared" ref="S55:AD55" si="42">AVERAGE(S8, S13, S18, S23,S28,S33,S38,S43,S48,S53)</f>
        <v>0.7445333333</v>
      </c>
      <c r="T55" s="167">
        <f t="shared" si="42"/>
        <v>0.7076333333</v>
      </c>
      <c r="U55" s="167">
        <f t="shared" si="42"/>
        <v>0.6608</v>
      </c>
      <c r="V55" s="167">
        <f t="shared" si="42"/>
        <v>0.7036333333</v>
      </c>
      <c r="W55" s="167">
        <f t="shared" si="42"/>
        <v>0.7223333333</v>
      </c>
      <c r="X55" s="167">
        <f t="shared" si="42"/>
        <v>0.328</v>
      </c>
      <c r="Y55" s="167">
        <f t="shared" si="42"/>
        <v>0.7797666667</v>
      </c>
      <c r="Z55" s="167">
        <f t="shared" si="42"/>
        <v>0.8023333333</v>
      </c>
      <c r="AA55" s="167">
        <f t="shared" si="42"/>
        <v>44.26666667</v>
      </c>
      <c r="AB55" s="167">
        <f t="shared" si="42"/>
        <v>37.4</v>
      </c>
      <c r="AC55" s="167">
        <f t="shared" si="42"/>
        <v>41.33333333</v>
      </c>
      <c r="AD55" s="167">
        <f t="shared" si="42"/>
        <v>146.3333333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>
        <f t="shared" ref="F57:Q57" si="43">STDEV(F8, F13, F18, F23,F28,F33,F38,F43,F48,F53)</f>
        <v>0.01216090681</v>
      </c>
      <c r="G57" s="168">
        <f t="shared" si="43"/>
        <v>0.01107014671</v>
      </c>
      <c r="H57" s="168">
        <f t="shared" si="43"/>
        <v>0.02394822089</v>
      </c>
      <c r="I57" s="168">
        <f t="shared" si="43"/>
        <v>0.02352524255</v>
      </c>
      <c r="J57" s="168">
        <f t="shared" si="43"/>
        <v>0.01947917533</v>
      </c>
      <c r="K57" s="168">
        <f t="shared" si="43"/>
        <v>0.04937862035</v>
      </c>
      <c r="L57" s="168">
        <f t="shared" si="43"/>
        <v>0.02709619353</v>
      </c>
      <c r="M57" s="168">
        <f t="shared" si="43"/>
        <v>0.01475076897</v>
      </c>
      <c r="N57" s="168">
        <f t="shared" si="43"/>
        <v>5.624022549</v>
      </c>
      <c r="O57" s="168">
        <f t="shared" si="43"/>
        <v>5.624022549</v>
      </c>
      <c r="P57" s="168">
        <f t="shared" si="43"/>
        <v>5.078276173</v>
      </c>
      <c r="Q57" s="168">
        <f t="shared" si="43"/>
        <v>5.078276173</v>
      </c>
      <c r="R57" s="168"/>
      <c r="S57" s="168">
        <f t="shared" ref="S57:AD57" si="44">STDEV(S8, S13, S18, S23,S28,S33,S38,S43,S48,S53)</f>
        <v>0.01580217207</v>
      </c>
      <c r="T57" s="168">
        <f t="shared" si="44"/>
        <v>0.02060471599</v>
      </c>
      <c r="U57" s="168">
        <f t="shared" si="44"/>
        <v>0.02332550133</v>
      </c>
      <c r="V57" s="168">
        <f t="shared" si="44"/>
        <v>0.01372971006</v>
      </c>
      <c r="W57" s="168">
        <f t="shared" si="44"/>
        <v>0.01038874034</v>
      </c>
      <c r="X57" s="168">
        <f t="shared" si="44"/>
        <v>0.0251685675</v>
      </c>
      <c r="Y57" s="168">
        <f t="shared" si="44"/>
        <v>0.07546776763</v>
      </c>
      <c r="Z57" s="168">
        <f t="shared" si="44"/>
        <v>0.0257207223</v>
      </c>
      <c r="AA57" s="168">
        <f t="shared" si="44"/>
        <v>9.447450502</v>
      </c>
      <c r="AB57" s="168">
        <f t="shared" si="44"/>
        <v>9.447450502</v>
      </c>
      <c r="AC57" s="168">
        <f t="shared" si="44"/>
        <v>14.15784039</v>
      </c>
      <c r="AD57" s="168">
        <f t="shared" si="44"/>
        <v>14.15784039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8" t="s">
        <v>32</v>
      </c>
      <c r="B1" s="69" t="s">
        <v>33</v>
      </c>
      <c r="C1" s="70" t="s">
        <v>34</v>
      </c>
      <c r="D1" s="70" t="s">
        <v>35</v>
      </c>
      <c r="E1" s="70" t="s">
        <v>36</v>
      </c>
      <c r="F1" s="71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72"/>
      <c r="S1" s="73" t="s">
        <v>7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72"/>
    </row>
    <row r="2">
      <c r="A2" s="44"/>
      <c r="B2" s="74"/>
      <c r="C2" s="75"/>
      <c r="D2" s="75"/>
      <c r="E2" s="75"/>
      <c r="F2" s="76" t="s">
        <v>8</v>
      </c>
      <c r="G2" s="77" t="s">
        <v>9</v>
      </c>
      <c r="H2" s="77" t="s">
        <v>10</v>
      </c>
      <c r="I2" s="77" t="s">
        <v>11</v>
      </c>
      <c r="J2" s="77" t="s">
        <v>12</v>
      </c>
      <c r="K2" s="77" t="s">
        <v>13</v>
      </c>
      <c r="L2" s="77" t="s">
        <v>14</v>
      </c>
      <c r="M2" s="77" t="s">
        <v>15</v>
      </c>
      <c r="N2" s="77" t="s">
        <v>90</v>
      </c>
      <c r="O2" s="77" t="s">
        <v>3</v>
      </c>
      <c r="P2" s="77" t="s">
        <v>4</v>
      </c>
      <c r="Q2" s="77" t="s">
        <v>91</v>
      </c>
      <c r="R2" s="78" t="s">
        <v>6</v>
      </c>
      <c r="S2" s="79" t="s">
        <v>8</v>
      </c>
      <c r="T2" s="77" t="s">
        <v>9</v>
      </c>
      <c r="U2" s="77" t="s">
        <v>10</v>
      </c>
      <c r="V2" s="77" t="s">
        <v>11</v>
      </c>
      <c r="W2" s="77" t="s">
        <v>12</v>
      </c>
      <c r="X2" s="77" t="s">
        <v>13</v>
      </c>
      <c r="Y2" s="77" t="s">
        <v>14</v>
      </c>
      <c r="Z2" s="77" t="s">
        <v>15</v>
      </c>
      <c r="AA2" s="77" t="s">
        <v>92</v>
      </c>
      <c r="AB2" s="77" t="s">
        <v>3</v>
      </c>
      <c r="AC2" s="77" t="s">
        <v>4</v>
      </c>
      <c r="AD2" s="78" t="s">
        <v>93</v>
      </c>
    </row>
    <row r="3">
      <c r="A3" s="80"/>
      <c r="B3" s="81"/>
      <c r="C3" s="82" t="s">
        <v>41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>
      <c r="A4" s="28"/>
      <c r="B4" s="81"/>
      <c r="C4" s="7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6"/>
    </row>
    <row r="5">
      <c r="A5" s="171" t="s">
        <v>94</v>
      </c>
      <c r="B5" s="88">
        <v>1.0</v>
      </c>
      <c r="C5" s="89" t="b">
        <v>1</v>
      </c>
      <c r="D5" s="89" t="s">
        <v>43</v>
      </c>
      <c r="E5" s="89" t="s">
        <v>44</v>
      </c>
      <c r="F5" s="172"/>
      <c r="G5" s="173"/>
      <c r="H5" s="173"/>
      <c r="I5" s="173"/>
      <c r="J5" s="173"/>
      <c r="K5" s="173"/>
      <c r="L5" s="173"/>
      <c r="M5" s="173"/>
      <c r="N5" s="174"/>
      <c r="O5" s="174"/>
      <c r="P5" s="174"/>
      <c r="Q5" s="174"/>
      <c r="R5" s="175"/>
      <c r="S5" s="176"/>
      <c r="T5" s="177"/>
      <c r="U5" s="177"/>
      <c r="V5" s="177"/>
      <c r="W5" s="177"/>
      <c r="X5" s="176"/>
      <c r="Y5" s="176"/>
      <c r="Z5" s="176"/>
      <c r="AA5" s="178"/>
      <c r="AB5" s="179"/>
      <c r="AC5" s="179"/>
      <c r="AD5" s="180"/>
    </row>
    <row r="6">
      <c r="A6" s="7"/>
      <c r="C6" s="99" t="b">
        <v>1</v>
      </c>
      <c r="D6" s="99" t="s">
        <v>43</v>
      </c>
      <c r="E6" s="99" t="s">
        <v>45</v>
      </c>
      <c r="F6" s="100"/>
      <c r="G6" s="101"/>
      <c r="H6" s="101"/>
      <c r="I6" s="101"/>
      <c r="J6" s="101"/>
      <c r="K6" s="101"/>
      <c r="L6" s="101"/>
      <c r="M6" s="101"/>
      <c r="N6" s="102"/>
      <c r="O6" s="102"/>
      <c r="P6" s="102"/>
      <c r="Q6" s="102"/>
      <c r="R6" s="103"/>
      <c r="S6" s="104"/>
      <c r="T6" s="105"/>
      <c r="U6" s="105"/>
      <c r="V6" s="105"/>
      <c r="W6" s="105"/>
      <c r="X6" s="104"/>
      <c r="Y6" s="104"/>
      <c r="Z6" s="104"/>
      <c r="AA6" s="106"/>
      <c r="AB6" s="107"/>
      <c r="AC6" s="107"/>
      <c r="AD6" s="108"/>
    </row>
    <row r="7">
      <c r="A7" s="7"/>
      <c r="B7" s="109"/>
      <c r="C7" s="99" t="b">
        <v>1</v>
      </c>
      <c r="D7" s="99" t="s">
        <v>43</v>
      </c>
      <c r="E7" s="99" t="s">
        <v>46</v>
      </c>
      <c r="F7" s="100"/>
      <c r="G7" s="101"/>
      <c r="H7" s="101"/>
      <c r="I7" s="101"/>
      <c r="J7" s="101"/>
      <c r="K7" s="101"/>
      <c r="L7" s="101"/>
      <c r="M7" s="101"/>
      <c r="N7" s="110"/>
      <c r="O7" s="110"/>
      <c r="P7" s="110"/>
      <c r="Q7" s="110"/>
      <c r="R7" s="103"/>
      <c r="S7" s="104"/>
      <c r="T7" s="105"/>
      <c r="U7" s="105"/>
      <c r="V7" s="105"/>
      <c r="W7" s="105"/>
      <c r="X7" s="104"/>
      <c r="Y7" s="104"/>
      <c r="Z7" s="104"/>
      <c r="AA7" s="111"/>
      <c r="AB7" s="112"/>
      <c r="AC7" s="112"/>
      <c r="AD7" s="113"/>
    </row>
    <row r="8">
      <c r="A8" s="7"/>
      <c r="B8" s="114" t="s">
        <v>47</v>
      </c>
      <c r="C8" s="30"/>
      <c r="D8" s="30"/>
      <c r="E8" s="72"/>
      <c r="F8" s="117" t="str">
        <f t="shared" ref="F8:Q8" si="1">AVERAGE(F5:F7)</f>
        <v>#DIV/0!</v>
      </c>
      <c r="G8" s="117" t="str">
        <f t="shared" si="1"/>
        <v>#DIV/0!</v>
      </c>
      <c r="H8" s="117" t="str">
        <f t="shared" si="1"/>
        <v>#DIV/0!</v>
      </c>
      <c r="I8" s="117" t="str">
        <f t="shared" si="1"/>
        <v>#DIV/0!</v>
      </c>
      <c r="J8" s="115" t="str">
        <f t="shared" si="1"/>
        <v>#DIV/0!</v>
      </c>
      <c r="K8" s="117" t="str">
        <f t="shared" si="1"/>
        <v>#DIV/0!</v>
      </c>
      <c r="L8" s="115" t="str">
        <f t="shared" si="1"/>
        <v>#DIV/0!</v>
      </c>
      <c r="M8" s="117" t="str">
        <f t="shared" si="1"/>
        <v>#DIV/0!</v>
      </c>
      <c r="N8" s="117" t="str">
        <f t="shared" si="1"/>
        <v>#DIV/0!</v>
      </c>
      <c r="O8" s="117" t="str">
        <f t="shared" si="1"/>
        <v>#DIV/0!</v>
      </c>
      <c r="P8" s="115" t="str">
        <f t="shared" si="1"/>
        <v>#DIV/0!</v>
      </c>
      <c r="Q8" s="115" t="str">
        <f t="shared" si="1"/>
        <v>#DIV/0!</v>
      </c>
      <c r="R8" s="116"/>
      <c r="S8" s="115" t="str">
        <f t="shared" ref="S8:AD8" si="2">AVERAGE(S5:S7)</f>
        <v>#DIV/0!</v>
      </c>
      <c r="T8" s="117" t="str">
        <f t="shared" si="2"/>
        <v>#DIV/0!</v>
      </c>
      <c r="U8" s="115" t="str">
        <f t="shared" si="2"/>
        <v>#DIV/0!</v>
      </c>
      <c r="V8" s="115" t="str">
        <f t="shared" si="2"/>
        <v>#DIV/0!</v>
      </c>
      <c r="W8" s="115" t="str">
        <f t="shared" si="2"/>
        <v>#DIV/0!</v>
      </c>
      <c r="X8" s="115" t="str">
        <f t="shared" si="2"/>
        <v>#DIV/0!</v>
      </c>
      <c r="Y8" s="115" t="str">
        <f t="shared" si="2"/>
        <v>#DIV/0!</v>
      </c>
      <c r="Z8" s="115" t="str">
        <f t="shared" si="2"/>
        <v>#DIV/0!</v>
      </c>
      <c r="AA8" s="115" t="str">
        <f t="shared" si="2"/>
        <v>#DIV/0!</v>
      </c>
      <c r="AB8" s="115" t="str">
        <f t="shared" si="2"/>
        <v>#DIV/0!</v>
      </c>
      <c r="AC8" s="115" t="str">
        <f t="shared" si="2"/>
        <v>#DIV/0!</v>
      </c>
      <c r="AD8" s="118" t="str">
        <f t="shared" si="2"/>
        <v>#DIV/0!</v>
      </c>
    </row>
    <row r="9">
      <c r="A9" s="119"/>
      <c r="B9" s="120" t="s">
        <v>48</v>
      </c>
      <c r="C9" s="121"/>
      <c r="D9" s="121"/>
      <c r="E9" s="122"/>
      <c r="F9" s="123" t="str">
        <f t="shared" ref="F9:Q9" si="3">STDEV(F5:F7)</f>
        <v>#DIV/0!</v>
      </c>
      <c r="G9" s="123" t="str">
        <f t="shared" si="3"/>
        <v>#DIV/0!</v>
      </c>
      <c r="H9" s="123" t="str">
        <f t="shared" si="3"/>
        <v>#DIV/0!</v>
      </c>
      <c r="I9" s="123" t="str">
        <f t="shared" si="3"/>
        <v>#DIV/0!</v>
      </c>
      <c r="J9" s="123" t="str">
        <f t="shared" si="3"/>
        <v>#DIV/0!</v>
      </c>
      <c r="K9" s="123" t="str">
        <f t="shared" si="3"/>
        <v>#DIV/0!</v>
      </c>
      <c r="L9" s="123" t="str">
        <f t="shared" si="3"/>
        <v>#DIV/0!</v>
      </c>
      <c r="M9" s="123" t="str">
        <f t="shared" si="3"/>
        <v>#DIV/0!</v>
      </c>
      <c r="N9" s="123" t="str">
        <f t="shared" si="3"/>
        <v>#DIV/0!</v>
      </c>
      <c r="O9" s="123" t="str">
        <f t="shared" si="3"/>
        <v>#DIV/0!</v>
      </c>
      <c r="P9" s="123" t="str">
        <f t="shared" si="3"/>
        <v>#DIV/0!</v>
      </c>
      <c r="Q9" s="123" t="str">
        <f t="shared" si="3"/>
        <v>#DIV/0!</v>
      </c>
      <c r="R9" s="123"/>
      <c r="S9" s="123" t="str">
        <f t="shared" ref="S9:AD9" si="4">STDEV(S5:S7)</f>
        <v>#DIV/0!</v>
      </c>
      <c r="T9" s="123" t="str">
        <f t="shared" si="4"/>
        <v>#DIV/0!</v>
      </c>
      <c r="U9" s="123" t="str">
        <f t="shared" si="4"/>
        <v>#DIV/0!</v>
      </c>
      <c r="V9" s="123" t="str">
        <f t="shared" si="4"/>
        <v>#DIV/0!</v>
      </c>
      <c r="W9" s="123" t="str">
        <f t="shared" si="4"/>
        <v>#DIV/0!</v>
      </c>
      <c r="X9" s="123" t="str">
        <f t="shared" si="4"/>
        <v>#DIV/0!</v>
      </c>
      <c r="Y9" s="123" t="str">
        <f t="shared" si="4"/>
        <v>#DIV/0!</v>
      </c>
      <c r="Z9" s="123" t="str">
        <f t="shared" si="4"/>
        <v>#DIV/0!</v>
      </c>
      <c r="AA9" s="123" t="str">
        <f t="shared" si="4"/>
        <v>#DIV/0!</v>
      </c>
      <c r="AB9" s="123" t="str">
        <f t="shared" si="4"/>
        <v>#DIV/0!</v>
      </c>
      <c r="AC9" s="123" t="str">
        <f t="shared" si="4"/>
        <v>#DIV/0!</v>
      </c>
      <c r="AD9" s="123" t="str">
        <f t="shared" si="4"/>
        <v>#DIV/0!</v>
      </c>
    </row>
    <row r="10">
      <c r="A10" s="171" t="s">
        <v>94</v>
      </c>
      <c r="B10" s="88">
        <v>10.0</v>
      </c>
      <c r="C10" s="89" t="b">
        <v>1</v>
      </c>
      <c r="D10" s="89" t="s">
        <v>43</v>
      </c>
      <c r="E10" s="89" t="s">
        <v>44</v>
      </c>
      <c r="F10" s="90"/>
      <c r="G10" s="91"/>
      <c r="H10" s="91"/>
      <c r="I10" s="91"/>
      <c r="J10" s="91"/>
      <c r="K10" s="91"/>
      <c r="L10" s="91"/>
      <c r="M10" s="91"/>
      <c r="N10" s="92"/>
      <c r="O10" s="92"/>
      <c r="P10" s="92"/>
      <c r="Q10" s="92"/>
      <c r="R10" s="93"/>
      <c r="S10" s="94"/>
      <c r="T10" s="95"/>
      <c r="U10" s="95"/>
      <c r="V10" s="95"/>
      <c r="W10" s="95"/>
      <c r="X10" s="94"/>
      <c r="Y10" s="94"/>
      <c r="Z10" s="94"/>
      <c r="AA10" s="96"/>
      <c r="AB10" s="97"/>
      <c r="AC10" s="97"/>
      <c r="AD10" s="98"/>
    </row>
    <row r="11">
      <c r="A11" s="7"/>
      <c r="C11" s="99" t="b">
        <v>1</v>
      </c>
      <c r="D11" s="99" t="s">
        <v>43</v>
      </c>
      <c r="E11" s="99" t="s">
        <v>45</v>
      </c>
      <c r="F11" s="100"/>
      <c r="G11" s="101"/>
      <c r="H11" s="101"/>
      <c r="I11" s="101"/>
      <c r="J11" s="101"/>
      <c r="K11" s="101"/>
      <c r="L11" s="101"/>
      <c r="M11" s="101"/>
      <c r="N11" s="102"/>
      <c r="O11" s="102"/>
      <c r="P11" s="102"/>
      <c r="Q11" s="102"/>
      <c r="R11" s="103"/>
      <c r="S11" s="104"/>
      <c r="T11" s="105"/>
      <c r="U11" s="105"/>
      <c r="V11" s="105"/>
      <c r="W11" s="105"/>
      <c r="X11" s="104"/>
      <c r="Y11" s="104"/>
      <c r="Z11" s="104"/>
      <c r="AA11" s="106"/>
      <c r="AB11" s="107"/>
      <c r="AC11" s="107"/>
      <c r="AD11" s="108"/>
    </row>
    <row r="12">
      <c r="A12" s="7"/>
      <c r="B12" s="109"/>
      <c r="C12" s="99" t="b">
        <v>1</v>
      </c>
      <c r="D12" s="99" t="s">
        <v>43</v>
      </c>
      <c r="E12" s="99" t="s">
        <v>46</v>
      </c>
      <c r="F12" s="100"/>
      <c r="G12" s="101"/>
      <c r="H12" s="101"/>
      <c r="I12" s="101"/>
      <c r="J12" s="101"/>
      <c r="K12" s="101"/>
      <c r="L12" s="101"/>
      <c r="M12" s="101"/>
      <c r="N12" s="110"/>
      <c r="O12" s="110"/>
      <c r="P12" s="110"/>
      <c r="Q12" s="110"/>
      <c r="R12" s="103"/>
      <c r="S12" s="104"/>
      <c r="T12" s="105"/>
      <c r="U12" s="105"/>
      <c r="V12" s="105"/>
      <c r="W12" s="105"/>
      <c r="X12" s="104"/>
      <c r="Y12" s="104"/>
      <c r="Z12" s="104"/>
      <c r="AA12" s="111"/>
      <c r="AB12" s="112"/>
      <c r="AC12" s="112"/>
      <c r="AD12" s="113"/>
    </row>
    <row r="13">
      <c r="A13" s="7"/>
      <c r="B13" s="114" t="s">
        <v>47</v>
      </c>
      <c r="C13" s="30"/>
      <c r="D13" s="30"/>
      <c r="E13" s="72"/>
      <c r="F13" s="115" t="str">
        <f t="shared" ref="F13:Q13" si="5">AVERAGE(F10:F12)</f>
        <v>#DIV/0!</v>
      </c>
      <c r="G13" s="115" t="str">
        <f t="shared" si="5"/>
        <v>#DIV/0!</v>
      </c>
      <c r="H13" s="115" t="str">
        <f t="shared" si="5"/>
        <v>#DIV/0!</v>
      </c>
      <c r="I13" s="115" t="str">
        <f t="shared" si="5"/>
        <v>#DIV/0!</v>
      </c>
      <c r="J13" s="115" t="str">
        <f t="shared" si="5"/>
        <v>#DIV/0!</v>
      </c>
      <c r="K13" s="115" t="str">
        <f t="shared" si="5"/>
        <v>#DIV/0!</v>
      </c>
      <c r="L13" s="115" t="str">
        <f t="shared" si="5"/>
        <v>#DIV/0!</v>
      </c>
      <c r="M13" s="115" t="str">
        <f t="shared" si="5"/>
        <v>#DIV/0!</v>
      </c>
      <c r="N13" s="115" t="str">
        <f t="shared" si="5"/>
        <v>#DIV/0!</v>
      </c>
      <c r="O13" s="115" t="str">
        <f t="shared" si="5"/>
        <v>#DIV/0!</v>
      </c>
      <c r="P13" s="115" t="str">
        <f t="shared" si="5"/>
        <v>#DIV/0!</v>
      </c>
      <c r="Q13" s="115" t="str">
        <f t="shared" si="5"/>
        <v>#DIV/0!</v>
      </c>
      <c r="R13" s="116"/>
      <c r="S13" s="117" t="str">
        <f t="shared" ref="S13:AD13" si="6">AVERAGE(S10:S12)</f>
        <v>#DIV/0!</v>
      </c>
      <c r="T13" s="115" t="str">
        <f t="shared" si="6"/>
        <v>#DIV/0!</v>
      </c>
      <c r="U13" s="115" t="str">
        <f t="shared" si="6"/>
        <v>#DIV/0!</v>
      </c>
      <c r="V13" s="117" t="str">
        <f t="shared" si="6"/>
        <v>#DIV/0!</v>
      </c>
      <c r="W13" s="115" t="str">
        <f t="shared" si="6"/>
        <v>#DIV/0!</v>
      </c>
      <c r="X13" s="115" t="str">
        <f t="shared" si="6"/>
        <v>#DIV/0!</v>
      </c>
      <c r="Y13" s="115" t="str">
        <f t="shared" si="6"/>
        <v>#DIV/0!</v>
      </c>
      <c r="Z13" s="115" t="str">
        <f t="shared" si="6"/>
        <v>#DIV/0!</v>
      </c>
      <c r="AA13" s="115" t="str">
        <f t="shared" si="6"/>
        <v>#DIV/0!</v>
      </c>
      <c r="AB13" s="115" t="str">
        <f t="shared" si="6"/>
        <v>#DIV/0!</v>
      </c>
      <c r="AC13" s="115" t="str">
        <f t="shared" si="6"/>
        <v>#DIV/0!</v>
      </c>
      <c r="AD13" s="118" t="str">
        <f t="shared" si="6"/>
        <v>#DIV/0!</v>
      </c>
    </row>
    <row r="14">
      <c r="A14" s="119"/>
      <c r="B14" s="120" t="s">
        <v>48</v>
      </c>
      <c r="C14" s="121"/>
      <c r="D14" s="121"/>
      <c r="E14" s="122"/>
      <c r="F14" s="123" t="str">
        <f t="shared" ref="F14:Q14" si="7">STDEV(F10:F12)</f>
        <v>#DIV/0!</v>
      </c>
      <c r="G14" s="123" t="str">
        <f t="shared" si="7"/>
        <v>#DIV/0!</v>
      </c>
      <c r="H14" s="123" t="str">
        <f t="shared" si="7"/>
        <v>#DIV/0!</v>
      </c>
      <c r="I14" s="123" t="str">
        <f t="shared" si="7"/>
        <v>#DIV/0!</v>
      </c>
      <c r="J14" s="123" t="str">
        <f t="shared" si="7"/>
        <v>#DIV/0!</v>
      </c>
      <c r="K14" s="123" t="str">
        <f t="shared" si="7"/>
        <v>#DIV/0!</v>
      </c>
      <c r="L14" s="123" t="str">
        <f t="shared" si="7"/>
        <v>#DIV/0!</v>
      </c>
      <c r="M14" s="123" t="str">
        <f t="shared" si="7"/>
        <v>#DIV/0!</v>
      </c>
      <c r="N14" s="123" t="str">
        <f t="shared" si="7"/>
        <v>#DIV/0!</v>
      </c>
      <c r="O14" s="123" t="str">
        <f t="shared" si="7"/>
        <v>#DIV/0!</v>
      </c>
      <c r="P14" s="123" t="str">
        <f t="shared" si="7"/>
        <v>#DIV/0!</v>
      </c>
      <c r="Q14" s="123" t="str">
        <f t="shared" si="7"/>
        <v>#DIV/0!</v>
      </c>
      <c r="R14" s="123"/>
      <c r="S14" s="123" t="str">
        <f t="shared" ref="S14:AD14" si="8">STDEV(S10:S12)</f>
        <v>#DIV/0!</v>
      </c>
      <c r="T14" s="123" t="str">
        <f t="shared" si="8"/>
        <v>#DIV/0!</v>
      </c>
      <c r="U14" s="123" t="str">
        <f t="shared" si="8"/>
        <v>#DIV/0!</v>
      </c>
      <c r="V14" s="123" t="str">
        <f t="shared" si="8"/>
        <v>#DIV/0!</v>
      </c>
      <c r="W14" s="123" t="str">
        <f t="shared" si="8"/>
        <v>#DIV/0!</v>
      </c>
      <c r="X14" s="123" t="str">
        <f t="shared" si="8"/>
        <v>#DIV/0!</v>
      </c>
      <c r="Y14" s="123" t="str">
        <f t="shared" si="8"/>
        <v>#DIV/0!</v>
      </c>
      <c r="Z14" s="123" t="str">
        <f t="shared" si="8"/>
        <v>#DIV/0!</v>
      </c>
      <c r="AA14" s="123" t="str">
        <f t="shared" si="8"/>
        <v>#DIV/0!</v>
      </c>
      <c r="AB14" s="123" t="str">
        <f t="shared" si="8"/>
        <v>#DIV/0!</v>
      </c>
      <c r="AC14" s="123" t="str">
        <f t="shared" si="8"/>
        <v>#DIV/0!</v>
      </c>
      <c r="AD14" s="123" t="str">
        <f t="shared" si="8"/>
        <v>#DIV/0!</v>
      </c>
    </row>
    <row r="15">
      <c r="A15" s="171" t="s">
        <v>94</v>
      </c>
      <c r="B15" s="88">
        <v>100.0</v>
      </c>
      <c r="C15" s="89" t="b">
        <v>1</v>
      </c>
      <c r="D15" s="89" t="s">
        <v>43</v>
      </c>
      <c r="E15" s="89" t="s">
        <v>44</v>
      </c>
      <c r="F15" s="90"/>
      <c r="G15" s="91"/>
      <c r="H15" s="91"/>
      <c r="I15" s="91"/>
      <c r="J15" s="91"/>
      <c r="K15" s="91"/>
      <c r="L15" s="91"/>
      <c r="M15" s="91"/>
      <c r="N15" s="92"/>
      <c r="O15" s="92"/>
      <c r="P15" s="92"/>
      <c r="Q15" s="92"/>
      <c r="R15" s="93"/>
      <c r="S15" s="94"/>
      <c r="T15" s="95"/>
      <c r="U15" s="95"/>
      <c r="V15" s="95"/>
      <c r="W15" s="95"/>
      <c r="X15" s="94"/>
      <c r="Y15" s="94"/>
      <c r="Z15" s="94"/>
      <c r="AA15" s="96"/>
      <c r="AB15" s="97"/>
      <c r="AC15" s="97"/>
      <c r="AD15" s="98"/>
    </row>
    <row r="16">
      <c r="A16" s="7"/>
      <c r="C16" s="99" t="b">
        <v>1</v>
      </c>
      <c r="D16" s="99" t="s">
        <v>43</v>
      </c>
      <c r="E16" s="99" t="s">
        <v>45</v>
      </c>
      <c r="F16" s="100"/>
      <c r="G16" s="101"/>
      <c r="H16" s="101"/>
      <c r="I16" s="101"/>
      <c r="J16" s="101"/>
      <c r="K16" s="101"/>
      <c r="L16" s="101"/>
      <c r="M16" s="101"/>
      <c r="N16" s="102"/>
      <c r="O16" s="102"/>
      <c r="P16" s="102"/>
      <c r="Q16" s="102"/>
      <c r="R16" s="103"/>
      <c r="S16" s="104"/>
      <c r="T16" s="105"/>
      <c r="U16" s="105"/>
      <c r="V16" s="105"/>
      <c r="W16" s="105"/>
      <c r="X16" s="104"/>
      <c r="Y16" s="104"/>
      <c r="Z16" s="104"/>
      <c r="AA16" s="106"/>
      <c r="AB16" s="107"/>
      <c r="AC16" s="107"/>
      <c r="AD16" s="108"/>
    </row>
    <row r="17">
      <c r="A17" s="7"/>
      <c r="B17" s="109"/>
      <c r="C17" s="99" t="b">
        <v>1</v>
      </c>
      <c r="D17" s="99" t="s">
        <v>43</v>
      </c>
      <c r="E17" s="99" t="s">
        <v>46</v>
      </c>
      <c r="F17" s="100"/>
      <c r="G17" s="101"/>
      <c r="H17" s="101"/>
      <c r="I17" s="101"/>
      <c r="J17" s="101"/>
      <c r="K17" s="101"/>
      <c r="L17" s="101"/>
      <c r="M17" s="101"/>
      <c r="N17" s="110"/>
      <c r="O17" s="110"/>
      <c r="P17" s="110"/>
      <c r="Q17" s="110"/>
      <c r="R17" s="103"/>
      <c r="S17" s="104"/>
      <c r="T17" s="105"/>
      <c r="U17" s="105"/>
      <c r="V17" s="105"/>
      <c r="W17" s="105"/>
      <c r="X17" s="104"/>
      <c r="Y17" s="104"/>
      <c r="Z17" s="104"/>
      <c r="AA17" s="111"/>
      <c r="AB17" s="112"/>
      <c r="AC17" s="112"/>
      <c r="AD17" s="113"/>
    </row>
    <row r="18">
      <c r="A18" s="7"/>
      <c r="B18" s="114" t="s">
        <v>47</v>
      </c>
      <c r="C18" s="30"/>
      <c r="D18" s="30"/>
      <c r="E18" s="72"/>
      <c r="F18" s="115" t="str">
        <f t="shared" ref="F18:Q18" si="9">AVERAGE(F15:F17)</f>
        <v>#DIV/0!</v>
      </c>
      <c r="G18" s="115" t="str">
        <f t="shared" si="9"/>
        <v>#DIV/0!</v>
      </c>
      <c r="H18" s="115" t="str">
        <f t="shared" si="9"/>
        <v>#DIV/0!</v>
      </c>
      <c r="I18" s="115" t="str">
        <f t="shared" si="9"/>
        <v>#DIV/0!</v>
      </c>
      <c r="J18" s="115" t="str">
        <f t="shared" si="9"/>
        <v>#DIV/0!</v>
      </c>
      <c r="K18" s="115" t="str">
        <f t="shared" si="9"/>
        <v>#DIV/0!</v>
      </c>
      <c r="L18" s="115" t="str">
        <f t="shared" si="9"/>
        <v>#DIV/0!</v>
      </c>
      <c r="M18" s="115" t="str">
        <f t="shared" si="9"/>
        <v>#DIV/0!</v>
      </c>
      <c r="N18" s="115" t="str">
        <f t="shared" si="9"/>
        <v>#DIV/0!</v>
      </c>
      <c r="O18" s="115" t="str">
        <f t="shared" si="9"/>
        <v>#DIV/0!</v>
      </c>
      <c r="P18" s="115" t="str">
        <f t="shared" si="9"/>
        <v>#DIV/0!</v>
      </c>
      <c r="Q18" s="115" t="str">
        <f t="shared" si="9"/>
        <v>#DIV/0!</v>
      </c>
      <c r="R18" s="116"/>
      <c r="S18" s="115" t="str">
        <f t="shared" ref="S18:AD18" si="10">AVERAGE(S15:S17)</f>
        <v>#DIV/0!</v>
      </c>
      <c r="T18" s="115" t="str">
        <f t="shared" si="10"/>
        <v>#DIV/0!</v>
      </c>
      <c r="U18" s="115" t="str">
        <f t="shared" si="10"/>
        <v>#DIV/0!</v>
      </c>
      <c r="V18" s="115" t="str">
        <f t="shared" si="10"/>
        <v>#DIV/0!</v>
      </c>
      <c r="W18" s="115" t="str">
        <f t="shared" si="10"/>
        <v>#DIV/0!</v>
      </c>
      <c r="X18" s="115" t="str">
        <f t="shared" si="10"/>
        <v>#DIV/0!</v>
      </c>
      <c r="Y18" s="115" t="str">
        <f t="shared" si="10"/>
        <v>#DIV/0!</v>
      </c>
      <c r="Z18" s="115" t="str">
        <f t="shared" si="10"/>
        <v>#DIV/0!</v>
      </c>
      <c r="AA18" s="115" t="str">
        <f t="shared" si="10"/>
        <v>#DIV/0!</v>
      </c>
      <c r="AB18" s="115" t="str">
        <f t="shared" si="10"/>
        <v>#DIV/0!</v>
      </c>
      <c r="AC18" s="115" t="str">
        <f t="shared" si="10"/>
        <v>#DIV/0!</v>
      </c>
      <c r="AD18" s="118" t="str">
        <f t="shared" si="10"/>
        <v>#DIV/0!</v>
      </c>
    </row>
    <row r="19">
      <c r="A19" s="119"/>
      <c r="B19" s="120" t="s">
        <v>48</v>
      </c>
      <c r="C19" s="121"/>
      <c r="D19" s="121"/>
      <c r="E19" s="122"/>
      <c r="F19" s="123" t="str">
        <f t="shared" ref="F19:Q19" si="11">STDEV(F15:F17)</f>
        <v>#DIV/0!</v>
      </c>
      <c r="G19" s="123" t="str">
        <f t="shared" si="11"/>
        <v>#DIV/0!</v>
      </c>
      <c r="H19" s="123" t="str">
        <f t="shared" si="11"/>
        <v>#DIV/0!</v>
      </c>
      <c r="I19" s="123" t="str">
        <f t="shared" si="11"/>
        <v>#DIV/0!</v>
      </c>
      <c r="J19" s="123" t="str">
        <f t="shared" si="11"/>
        <v>#DIV/0!</v>
      </c>
      <c r="K19" s="123" t="str">
        <f t="shared" si="11"/>
        <v>#DIV/0!</v>
      </c>
      <c r="L19" s="123" t="str">
        <f t="shared" si="11"/>
        <v>#DIV/0!</v>
      </c>
      <c r="M19" s="123" t="str">
        <f t="shared" si="11"/>
        <v>#DIV/0!</v>
      </c>
      <c r="N19" s="123" t="str">
        <f t="shared" si="11"/>
        <v>#DIV/0!</v>
      </c>
      <c r="O19" s="123" t="str">
        <f t="shared" si="11"/>
        <v>#DIV/0!</v>
      </c>
      <c r="P19" s="123" t="str">
        <f t="shared" si="11"/>
        <v>#DIV/0!</v>
      </c>
      <c r="Q19" s="123" t="str">
        <f t="shared" si="11"/>
        <v>#DIV/0!</v>
      </c>
      <c r="R19" s="123"/>
      <c r="S19" s="123" t="str">
        <f t="shared" ref="S19:AD19" si="12">STDEV(S15:S17)</f>
        <v>#DIV/0!</v>
      </c>
      <c r="T19" s="123" t="str">
        <f t="shared" si="12"/>
        <v>#DIV/0!</v>
      </c>
      <c r="U19" s="123" t="str">
        <f t="shared" si="12"/>
        <v>#DIV/0!</v>
      </c>
      <c r="V19" s="123" t="str">
        <f t="shared" si="12"/>
        <v>#DIV/0!</v>
      </c>
      <c r="W19" s="123" t="str">
        <f t="shared" si="12"/>
        <v>#DIV/0!</v>
      </c>
      <c r="X19" s="123" t="str">
        <f t="shared" si="12"/>
        <v>#DIV/0!</v>
      </c>
      <c r="Y19" s="123" t="str">
        <f t="shared" si="12"/>
        <v>#DIV/0!</v>
      </c>
      <c r="Z19" s="123" t="str">
        <f t="shared" si="12"/>
        <v>#DIV/0!</v>
      </c>
      <c r="AA19" s="123" t="str">
        <f t="shared" si="12"/>
        <v>#DIV/0!</v>
      </c>
      <c r="AB19" s="123" t="str">
        <f t="shared" si="12"/>
        <v>#DIV/0!</v>
      </c>
      <c r="AC19" s="123" t="str">
        <f t="shared" si="12"/>
        <v>#DIV/0!</v>
      </c>
      <c r="AD19" s="123" t="str">
        <f t="shared" si="12"/>
        <v>#DIV/0!</v>
      </c>
    </row>
    <row r="20">
      <c r="A20" s="171" t="s">
        <v>94</v>
      </c>
      <c r="B20" s="88">
        <v>2025.0</v>
      </c>
      <c r="C20" s="89" t="b">
        <v>1</v>
      </c>
      <c r="D20" s="89" t="s">
        <v>43</v>
      </c>
      <c r="E20" s="89" t="s">
        <v>44</v>
      </c>
      <c r="F20" s="90"/>
      <c r="G20" s="91"/>
      <c r="H20" s="91"/>
      <c r="I20" s="91"/>
      <c r="J20" s="91"/>
      <c r="K20" s="91"/>
      <c r="L20" s="91"/>
      <c r="M20" s="91"/>
      <c r="N20" s="92"/>
      <c r="O20" s="92"/>
      <c r="P20" s="92"/>
      <c r="Q20" s="92"/>
      <c r="R20" s="93"/>
      <c r="S20" s="94"/>
      <c r="T20" s="95"/>
      <c r="U20" s="95"/>
      <c r="V20" s="95"/>
      <c r="W20" s="95"/>
      <c r="X20" s="94"/>
      <c r="Y20" s="94"/>
      <c r="Z20" s="94"/>
      <c r="AA20" s="96"/>
      <c r="AB20" s="97"/>
      <c r="AC20" s="97"/>
      <c r="AD20" s="98"/>
    </row>
    <row r="21">
      <c r="A21" s="7"/>
      <c r="C21" s="99" t="b">
        <v>1</v>
      </c>
      <c r="D21" s="99" t="s">
        <v>43</v>
      </c>
      <c r="E21" s="99" t="s">
        <v>45</v>
      </c>
      <c r="F21" s="100"/>
      <c r="G21" s="101"/>
      <c r="H21" s="101"/>
      <c r="I21" s="101"/>
      <c r="J21" s="101"/>
      <c r="K21" s="101"/>
      <c r="L21" s="101"/>
      <c r="M21" s="101"/>
      <c r="N21" s="102"/>
      <c r="O21" s="102"/>
      <c r="P21" s="102"/>
      <c r="Q21" s="102"/>
      <c r="R21" s="103"/>
      <c r="S21" s="104"/>
      <c r="T21" s="105"/>
      <c r="U21" s="105"/>
      <c r="V21" s="105"/>
      <c r="W21" s="105"/>
      <c r="X21" s="104"/>
      <c r="Y21" s="104"/>
      <c r="Z21" s="104"/>
      <c r="AA21" s="106"/>
      <c r="AB21" s="107"/>
      <c r="AC21" s="107"/>
      <c r="AD21" s="108"/>
    </row>
    <row r="22">
      <c r="A22" s="7"/>
      <c r="B22" s="109"/>
      <c r="C22" s="99" t="b">
        <v>1</v>
      </c>
      <c r="D22" s="99" t="s">
        <v>43</v>
      </c>
      <c r="E22" s="99" t="s">
        <v>46</v>
      </c>
      <c r="F22" s="100"/>
      <c r="G22" s="101"/>
      <c r="H22" s="101"/>
      <c r="I22" s="101"/>
      <c r="J22" s="101"/>
      <c r="K22" s="101"/>
      <c r="L22" s="101"/>
      <c r="M22" s="101"/>
      <c r="N22" s="110"/>
      <c r="O22" s="110"/>
      <c r="P22" s="110"/>
      <c r="Q22" s="110"/>
      <c r="R22" s="103"/>
      <c r="S22" s="104"/>
      <c r="T22" s="105"/>
      <c r="U22" s="105"/>
      <c r="V22" s="105"/>
      <c r="W22" s="105"/>
      <c r="X22" s="104"/>
      <c r="Y22" s="104"/>
      <c r="Z22" s="104"/>
      <c r="AA22" s="111"/>
      <c r="AB22" s="112"/>
      <c r="AC22" s="112"/>
      <c r="AD22" s="113"/>
    </row>
    <row r="23">
      <c r="A23" s="7"/>
      <c r="B23" s="114" t="s">
        <v>47</v>
      </c>
      <c r="C23" s="30"/>
      <c r="D23" s="30"/>
      <c r="E23" s="72"/>
      <c r="F23" s="115" t="str">
        <f t="shared" ref="F23:Q23" si="13">AVERAGE(F20:F22)</f>
        <v>#DIV/0!</v>
      </c>
      <c r="G23" s="115" t="str">
        <f t="shared" si="13"/>
        <v>#DIV/0!</v>
      </c>
      <c r="H23" s="115" t="str">
        <f t="shared" si="13"/>
        <v>#DIV/0!</v>
      </c>
      <c r="I23" s="115" t="str">
        <f t="shared" si="13"/>
        <v>#DIV/0!</v>
      </c>
      <c r="J23" s="115" t="str">
        <f t="shared" si="13"/>
        <v>#DIV/0!</v>
      </c>
      <c r="K23" s="115" t="str">
        <f t="shared" si="13"/>
        <v>#DIV/0!</v>
      </c>
      <c r="L23" s="115" t="str">
        <f t="shared" si="13"/>
        <v>#DIV/0!</v>
      </c>
      <c r="M23" s="115" t="str">
        <f t="shared" si="13"/>
        <v>#DIV/0!</v>
      </c>
      <c r="N23" s="115" t="str">
        <f t="shared" si="13"/>
        <v>#DIV/0!</v>
      </c>
      <c r="O23" s="115" t="str">
        <f t="shared" si="13"/>
        <v>#DIV/0!</v>
      </c>
      <c r="P23" s="115" t="str">
        <f t="shared" si="13"/>
        <v>#DIV/0!</v>
      </c>
      <c r="Q23" s="115" t="str">
        <f t="shared" si="13"/>
        <v>#DIV/0!</v>
      </c>
      <c r="R23" s="116"/>
      <c r="S23" s="115" t="str">
        <f t="shared" ref="S23:AD23" si="14">AVERAGE(S20:S22)</f>
        <v>#DIV/0!</v>
      </c>
      <c r="T23" s="115" t="str">
        <f t="shared" si="14"/>
        <v>#DIV/0!</v>
      </c>
      <c r="U23" s="115" t="str">
        <f t="shared" si="14"/>
        <v>#DIV/0!</v>
      </c>
      <c r="V23" s="115" t="str">
        <f t="shared" si="14"/>
        <v>#DIV/0!</v>
      </c>
      <c r="W23" s="115" t="str">
        <f t="shared" si="14"/>
        <v>#DIV/0!</v>
      </c>
      <c r="X23" s="115" t="str">
        <f t="shared" si="14"/>
        <v>#DIV/0!</v>
      </c>
      <c r="Y23" s="115" t="str">
        <f t="shared" si="14"/>
        <v>#DIV/0!</v>
      </c>
      <c r="Z23" s="115" t="str">
        <f t="shared" si="14"/>
        <v>#DIV/0!</v>
      </c>
      <c r="AA23" s="115" t="str">
        <f t="shared" si="14"/>
        <v>#DIV/0!</v>
      </c>
      <c r="AB23" s="115" t="str">
        <f t="shared" si="14"/>
        <v>#DIV/0!</v>
      </c>
      <c r="AC23" s="115" t="str">
        <f t="shared" si="14"/>
        <v>#DIV/0!</v>
      </c>
      <c r="AD23" s="118" t="str">
        <f t="shared" si="14"/>
        <v>#DIV/0!</v>
      </c>
    </row>
    <row r="24">
      <c r="A24" s="119"/>
      <c r="B24" s="120" t="s">
        <v>48</v>
      </c>
      <c r="C24" s="121"/>
      <c r="D24" s="121"/>
      <c r="E24" s="122"/>
      <c r="F24" s="123" t="str">
        <f t="shared" ref="F24:Q24" si="15">STDEV(F20:F22)</f>
        <v>#DIV/0!</v>
      </c>
      <c r="G24" s="123" t="str">
        <f t="shared" si="15"/>
        <v>#DIV/0!</v>
      </c>
      <c r="H24" s="123" t="str">
        <f t="shared" si="15"/>
        <v>#DIV/0!</v>
      </c>
      <c r="I24" s="123" t="str">
        <f t="shared" si="15"/>
        <v>#DIV/0!</v>
      </c>
      <c r="J24" s="123" t="str">
        <f t="shared" si="15"/>
        <v>#DIV/0!</v>
      </c>
      <c r="K24" s="123" t="str">
        <f t="shared" si="15"/>
        <v>#DIV/0!</v>
      </c>
      <c r="L24" s="123" t="str">
        <f t="shared" si="15"/>
        <v>#DIV/0!</v>
      </c>
      <c r="M24" s="123" t="str">
        <f t="shared" si="15"/>
        <v>#DIV/0!</v>
      </c>
      <c r="N24" s="123" t="str">
        <f t="shared" si="15"/>
        <v>#DIV/0!</v>
      </c>
      <c r="O24" s="123" t="str">
        <f t="shared" si="15"/>
        <v>#DIV/0!</v>
      </c>
      <c r="P24" s="123" t="str">
        <f t="shared" si="15"/>
        <v>#DIV/0!</v>
      </c>
      <c r="Q24" s="123" t="str">
        <f t="shared" si="15"/>
        <v>#DIV/0!</v>
      </c>
      <c r="R24" s="123"/>
      <c r="S24" s="123" t="str">
        <f t="shared" ref="S24:AD24" si="16">STDEV(S20:S22)</f>
        <v>#DIV/0!</v>
      </c>
      <c r="T24" s="123" t="str">
        <f t="shared" si="16"/>
        <v>#DIV/0!</v>
      </c>
      <c r="U24" s="123" t="str">
        <f t="shared" si="16"/>
        <v>#DIV/0!</v>
      </c>
      <c r="V24" s="123" t="str">
        <f t="shared" si="16"/>
        <v>#DIV/0!</v>
      </c>
      <c r="W24" s="123" t="str">
        <f t="shared" si="16"/>
        <v>#DIV/0!</v>
      </c>
      <c r="X24" s="123" t="str">
        <f t="shared" si="16"/>
        <v>#DIV/0!</v>
      </c>
      <c r="Y24" s="123" t="str">
        <f t="shared" si="16"/>
        <v>#DIV/0!</v>
      </c>
      <c r="Z24" s="123" t="str">
        <f t="shared" si="16"/>
        <v>#DIV/0!</v>
      </c>
      <c r="AA24" s="123" t="str">
        <f t="shared" si="16"/>
        <v>#DIV/0!</v>
      </c>
      <c r="AB24" s="123" t="str">
        <f t="shared" si="16"/>
        <v>#DIV/0!</v>
      </c>
      <c r="AC24" s="123" t="str">
        <f t="shared" si="16"/>
        <v>#DIV/0!</v>
      </c>
      <c r="AD24" s="123" t="str">
        <f t="shared" si="16"/>
        <v>#DIV/0!</v>
      </c>
    </row>
    <row r="25">
      <c r="A25" s="171" t="s">
        <v>94</v>
      </c>
      <c r="B25" s="88">
        <v>21.0</v>
      </c>
      <c r="C25" s="89" t="b">
        <v>1</v>
      </c>
      <c r="D25" s="89" t="s">
        <v>43</v>
      </c>
      <c r="E25" s="89" t="s">
        <v>44</v>
      </c>
      <c r="F25" s="90"/>
      <c r="G25" s="91"/>
      <c r="H25" s="91"/>
      <c r="I25" s="91"/>
      <c r="J25" s="91"/>
      <c r="K25" s="91"/>
      <c r="L25" s="91"/>
      <c r="M25" s="91"/>
      <c r="N25" s="92"/>
      <c r="O25" s="92"/>
      <c r="P25" s="92"/>
      <c r="Q25" s="92"/>
      <c r="R25" s="93"/>
      <c r="S25" s="94"/>
      <c r="T25" s="95"/>
      <c r="U25" s="95"/>
      <c r="V25" s="95"/>
      <c r="W25" s="95"/>
      <c r="X25" s="94"/>
      <c r="Y25" s="94"/>
      <c r="Z25" s="94"/>
      <c r="AA25" s="96"/>
      <c r="AB25" s="97"/>
      <c r="AC25" s="97"/>
      <c r="AD25" s="98"/>
    </row>
    <row r="26">
      <c r="A26" s="7"/>
      <c r="C26" s="99" t="b">
        <v>1</v>
      </c>
      <c r="D26" s="99" t="s">
        <v>43</v>
      </c>
      <c r="E26" s="99" t="s">
        <v>45</v>
      </c>
      <c r="F26" s="100"/>
      <c r="G26" s="101"/>
      <c r="H26" s="101"/>
      <c r="I26" s="101"/>
      <c r="J26" s="101"/>
      <c r="K26" s="101"/>
      <c r="L26" s="101"/>
      <c r="M26" s="101"/>
      <c r="N26" s="102"/>
      <c r="O26" s="102"/>
      <c r="P26" s="102"/>
      <c r="Q26" s="102"/>
      <c r="R26" s="103"/>
      <c r="S26" s="104"/>
      <c r="T26" s="105"/>
      <c r="U26" s="105"/>
      <c r="V26" s="105"/>
      <c r="W26" s="105"/>
      <c r="X26" s="104"/>
      <c r="Y26" s="104"/>
      <c r="Z26" s="104"/>
      <c r="AA26" s="106"/>
      <c r="AB26" s="107"/>
      <c r="AC26" s="107"/>
      <c r="AD26" s="108"/>
    </row>
    <row r="27">
      <c r="A27" s="7"/>
      <c r="B27" s="109"/>
      <c r="C27" s="99" t="b">
        <v>1</v>
      </c>
      <c r="D27" s="99" t="s">
        <v>43</v>
      </c>
      <c r="E27" s="99" t="s">
        <v>46</v>
      </c>
      <c r="F27" s="100"/>
      <c r="G27" s="101"/>
      <c r="H27" s="101"/>
      <c r="I27" s="101"/>
      <c r="J27" s="101"/>
      <c r="K27" s="101"/>
      <c r="L27" s="101"/>
      <c r="M27" s="101"/>
      <c r="N27" s="110"/>
      <c r="O27" s="110"/>
      <c r="P27" s="110"/>
      <c r="Q27" s="110"/>
      <c r="R27" s="103"/>
      <c r="S27" s="104"/>
      <c r="T27" s="105"/>
      <c r="U27" s="105"/>
      <c r="V27" s="105"/>
      <c r="W27" s="105"/>
      <c r="X27" s="104"/>
      <c r="Y27" s="104"/>
      <c r="Z27" s="104"/>
      <c r="AA27" s="111"/>
      <c r="AB27" s="112"/>
      <c r="AC27" s="112"/>
      <c r="AD27" s="113"/>
    </row>
    <row r="28">
      <c r="A28" s="7"/>
      <c r="B28" s="114" t="s">
        <v>47</v>
      </c>
      <c r="C28" s="30"/>
      <c r="D28" s="30"/>
      <c r="E28" s="72"/>
      <c r="F28" s="115" t="str">
        <f t="shared" ref="F28:Q28" si="17">AVERAGE(F25:F27)</f>
        <v>#DIV/0!</v>
      </c>
      <c r="G28" s="115" t="str">
        <f t="shared" si="17"/>
        <v>#DIV/0!</v>
      </c>
      <c r="H28" s="117" t="str">
        <f t="shared" si="17"/>
        <v>#DIV/0!</v>
      </c>
      <c r="I28" s="117" t="str">
        <f t="shared" si="17"/>
        <v>#DIV/0!</v>
      </c>
      <c r="J28" s="115" t="str">
        <f t="shared" si="17"/>
        <v>#DIV/0!</v>
      </c>
      <c r="K28" s="117" t="str">
        <f t="shared" si="17"/>
        <v>#DIV/0!</v>
      </c>
      <c r="L28" s="115" t="str">
        <f t="shared" si="17"/>
        <v>#DIV/0!</v>
      </c>
      <c r="M28" s="117" t="str">
        <f t="shared" si="17"/>
        <v>#DIV/0!</v>
      </c>
      <c r="N28" s="117" t="str">
        <f t="shared" si="17"/>
        <v>#DIV/0!</v>
      </c>
      <c r="O28" s="117" t="str">
        <f t="shared" si="17"/>
        <v>#DIV/0!</v>
      </c>
      <c r="P28" s="115" t="str">
        <f t="shared" si="17"/>
        <v>#DIV/0!</v>
      </c>
      <c r="Q28" s="115" t="str">
        <f t="shared" si="17"/>
        <v>#DIV/0!</v>
      </c>
      <c r="R28" s="116"/>
      <c r="S28" s="115" t="str">
        <f t="shared" ref="S28:AD28" si="18">AVERAGE(S25:S27)</f>
        <v>#DIV/0!</v>
      </c>
      <c r="T28" s="115" t="str">
        <f t="shared" si="18"/>
        <v>#DIV/0!</v>
      </c>
      <c r="U28" s="115" t="str">
        <f t="shared" si="18"/>
        <v>#DIV/0!</v>
      </c>
      <c r="V28" s="115" t="str">
        <f t="shared" si="18"/>
        <v>#DIV/0!</v>
      </c>
      <c r="W28" s="115" t="str">
        <f t="shared" si="18"/>
        <v>#DIV/0!</v>
      </c>
      <c r="X28" s="115" t="str">
        <f t="shared" si="18"/>
        <v>#DIV/0!</v>
      </c>
      <c r="Y28" s="115" t="str">
        <f t="shared" si="18"/>
        <v>#DIV/0!</v>
      </c>
      <c r="Z28" s="115" t="str">
        <f t="shared" si="18"/>
        <v>#DIV/0!</v>
      </c>
      <c r="AA28" s="115" t="str">
        <f t="shared" si="18"/>
        <v>#DIV/0!</v>
      </c>
      <c r="AB28" s="115" t="str">
        <f t="shared" si="18"/>
        <v>#DIV/0!</v>
      </c>
      <c r="AC28" s="115" t="str">
        <f t="shared" si="18"/>
        <v>#DIV/0!</v>
      </c>
      <c r="AD28" s="118" t="str">
        <f t="shared" si="18"/>
        <v>#DIV/0!</v>
      </c>
    </row>
    <row r="29">
      <c r="A29" s="119"/>
      <c r="B29" s="120" t="s">
        <v>48</v>
      </c>
      <c r="C29" s="121"/>
      <c r="D29" s="121"/>
      <c r="E29" s="122"/>
      <c r="F29" s="123" t="str">
        <f t="shared" ref="F29:Q29" si="19">STDEV(F25:F27)</f>
        <v>#DIV/0!</v>
      </c>
      <c r="G29" s="123" t="str">
        <f t="shared" si="19"/>
        <v>#DIV/0!</v>
      </c>
      <c r="H29" s="123" t="str">
        <f t="shared" si="19"/>
        <v>#DIV/0!</v>
      </c>
      <c r="I29" s="123" t="str">
        <f t="shared" si="19"/>
        <v>#DIV/0!</v>
      </c>
      <c r="J29" s="123" t="str">
        <f t="shared" si="19"/>
        <v>#DIV/0!</v>
      </c>
      <c r="K29" s="123" t="str">
        <f t="shared" si="19"/>
        <v>#DIV/0!</v>
      </c>
      <c r="L29" s="123" t="str">
        <f t="shared" si="19"/>
        <v>#DIV/0!</v>
      </c>
      <c r="M29" s="123" t="str">
        <f t="shared" si="19"/>
        <v>#DIV/0!</v>
      </c>
      <c r="N29" s="123" t="str">
        <f t="shared" si="19"/>
        <v>#DIV/0!</v>
      </c>
      <c r="O29" s="123" t="str">
        <f t="shared" si="19"/>
        <v>#DIV/0!</v>
      </c>
      <c r="P29" s="123" t="str">
        <f t="shared" si="19"/>
        <v>#DIV/0!</v>
      </c>
      <c r="Q29" s="123" t="str">
        <f t="shared" si="19"/>
        <v>#DIV/0!</v>
      </c>
      <c r="R29" s="123"/>
      <c r="S29" s="123" t="str">
        <f t="shared" ref="S29:AD29" si="20">STDEV(S25:S27)</f>
        <v>#DIV/0!</v>
      </c>
      <c r="T29" s="123" t="str">
        <f t="shared" si="20"/>
        <v>#DIV/0!</v>
      </c>
      <c r="U29" s="123" t="str">
        <f t="shared" si="20"/>
        <v>#DIV/0!</v>
      </c>
      <c r="V29" s="123" t="str">
        <f t="shared" si="20"/>
        <v>#DIV/0!</v>
      </c>
      <c r="W29" s="123" t="str">
        <f t="shared" si="20"/>
        <v>#DIV/0!</v>
      </c>
      <c r="X29" s="123" t="str">
        <f t="shared" si="20"/>
        <v>#DIV/0!</v>
      </c>
      <c r="Y29" s="123" t="str">
        <f t="shared" si="20"/>
        <v>#DIV/0!</v>
      </c>
      <c r="Z29" s="123" t="str">
        <f t="shared" si="20"/>
        <v>#DIV/0!</v>
      </c>
      <c r="AA29" s="123" t="str">
        <f t="shared" si="20"/>
        <v>#DIV/0!</v>
      </c>
      <c r="AB29" s="123" t="str">
        <f t="shared" si="20"/>
        <v>#DIV/0!</v>
      </c>
      <c r="AC29" s="123" t="str">
        <f t="shared" si="20"/>
        <v>#DIV/0!</v>
      </c>
      <c r="AD29" s="123" t="str">
        <f t="shared" si="20"/>
        <v>#DIV/0!</v>
      </c>
    </row>
    <row r="30">
      <c r="A30" s="171" t="s">
        <v>94</v>
      </c>
      <c r="B30" s="88">
        <v>336.0</v>
      </c>
      <c r="C30" s="89" t="b">
        <v>1</v>
      </c>
      <c r="D30" s="89" t="s">
        <v>43</v>
      </c>
      <c r="E30" s="89" t="s">
        <v>44</v>
      </c>
      <c r="F30" s="90"/>
      <c r="G30" s="91"/>
      <c r="H30" s="91"/>
      <c r="I30" s="91"/>
      <c r="J30" s="91"/>
      <c r="K30" s="91"/>
      <c r="L30" s="91"/>
      <c r="M30" s="91"/>
      <c r="N30" s="92"/>
      <c r="O30" s="92"/>
      <c r="P30" s="92"/>
      <c r="Q30" s="92"/>
      <c r="R30" s="93"/>
      <c r="S30" s="94"/>
      <c r="T30" s="95"/>
      <c r="U30" s="95"/>
      <c r="V30" s="95"/>
      <c r="W30" s="95"/>
      <c r="X30" s="94"/>
      <c r="Y30" s="94"/>
      <c r="Z30" s="94"/>
      <c r="AA30" s="96"/>
      <c r="AB30" s="97"/>
      <c r="AC30" s="97"/>
      <c r="AD30" s="98"/>
    </row>
    <row r="31">
      <c r="A31" s="7"/>
      <c r="C31" s="99" t="b">
        <v>1</v>
      </c>
      <c r="D31" s="99" t="s">
        <v>43</v>
      </c>
      <c r="E31" s="99" t="s">
        <v>45</v>
      </c>
      <c r="F31" s="100"/>
      <c r="G31" s="101"/>
      <c r="H31" s="101"/>
      <c r="I31" s="101"/>
      <c r="J31" s="101"/>
      <c r="K31" s="101"/>
      <c r="L31" s="101"/>
      <c r="M31" s="101"/>
      <c r="N31" s="102"/>
      <c r="O31" s="102"/>
      <c r="P31" s="102"/>
      <c r="Q31" s="102"/>
      <c r="R31" s="103"/>
      <c r="S31" s="104"/>
      <c r="T31" s="105"/>
      <c r="U31" s="105"/>
      <c r="V31" s="105"/>
      <c r="W31" s="105"/>
      <c r="X31" s="104"/>
      <c r="Y31" s="104"/>
      <c r="Z31" s="104"/>
      <c r="AA31" s="106"/>
      <c r="AB31" s="107"/>
      <c r="AC31" s="107"/>
      <c r="AD31" s="108"/>
    </row>
    <row r="32">
      <c r="A32" s="7"/>
      <c r="B32" s="109"/>
      <c r="C32" s="99" t="b">
        <v>1</v>
      </c>
      <c r="D32" s="99" t="s">
        <v>43</v>
      </c>
      <c r="E32" s="99" t="s">
        <v>46</v>
      </c>
      <c r="F32" s="100"/>
      <c r="G32" s="101"/>
      <c r="H32" s="101"/>
      <c r="I32" s="101"/>
      <c r="J32" s="101"/>
      <c r="K32" s="101"/>
      <c r="L32" s="101"/>
      <c r="M32" s="101"/>
      <c r="N32" s="110"/>
      <c r="O32" s="110"/>
      <c r="P32" s="110"/>
      <c r="Q32" s="110"/>
      <c r="R32" s="103"/>
      <c r="S32" s="104"/>
      <c r="T32" s="105"/>
      <c r="U32" s="105"/>
      <c r="V32" s="105"/>
      <c r="W32" s="105"/>
      <c r="X32" s="104"/>
      <c r="Y32" s="104"/>
      <c r="Z32" s="104"/>
      <c r="AA32" s="111"/>
      <c r="AB32" s="112"/>
      <c r="AC32" s="112"/>
      <c r="AD32" s="113"/>
    </row>
    <row r="33">
      <c r="A33" s="7"/>
      <c r="B33" s="114" t="s">
        <v>47</v>
      </c>
      <c r="C33" s="30"/>
      <c r="D33" s="30"/>
      <c r="E33" s="72"/>
      <c r="F33" s="117" t="str">
        <f t="shared" ref="F33:Q33" si="21">AVERAGE(F30:F32)</f>
        <v>#DIV/0!</v>
      </c>
      <c r="G33" s="115" t="str">
        <f t="shared" si="21"/>
        <v>#DIV/0!</v>
      </c>
      <c r="H33" s="115" t="str">
        <f t="shared" si="21"/>
        <v>#DIV/0!</v>
      </c>
      <c r="I33" s="115" t="str">
        <f t="shared" si="21"/>
        <v>#DIV/0!</v>
      </c>
      <c r="J33" s="117" t="str">
        <f t="shared" si="21"/>
        <v>#DIV/0!</v>
      </c>
      <c r="K33" s="115" t="str">
        <f t="shared" si="21"/>
        <v>#DIV/0!</v>
      </c>
      <c r="L33" s="115" t="str">
        <f t="shared" si="21"/>
        <v>#DIV/0!</v>
      </c>
      <c r="M33" s="115" t="str">
        <f t="shared" si="21"/>
        <v>#DIV/0!</v>
      </c>
      <c r="N33" s="115" t="str">
        <f t="shared" si="21"/>
        <v>#DIV/0!</v>
      </c>
      <c r="O33" s="115" t="str">
        <f t="shared" si="21"/>
        <v>#DIV/0!</v>
      </c>
      <c r="P33" s="115" t="str">
        <f t="shared" si="21"/>
        <v>#DIV/0!</v>
      </c>
      <c r="Q33" s="115" t="str">
        <f t="shared" si="21"/>
        <v>#DIV/0!</v>
      </c>
      <c r="R33" s="116"/>
      <c r="S33" s="115" t="str">
        <f t="shared" ref="S33:AD33" si="22">AVERAGE(S30:S32)</f>
        <v>#DIV/0!</v>
      </c>
      <c r="T33" s="115" t="str">
        <f t="shared" si="22"/>
        <v>#DIV/0!</v>
      </c>
      <c r="U33" s="115" t="str">
        <f t="shared" si="22"/>
        <v>#DIV/0!</v>
      </c>
      <c r="V33" s="115" t="str">
        <f t="shared" si="22"/>
        <v>#DIV/0!</v>
      </c>
      <c r="W33" s="115" t="str">
        <f t="shared" si="22"/>
        <v>#DIV/0!</v>
      </c>
      <c r="X33" s="115" t="str">
        <f t="shared" si="22"/>
        <v>#DIV/0!</v>
      </c>
      <c r="Y33" s="115" t="str">
        <f t="shared" si="22"/>
        <v>#DIV/0!</v>
      </c>
      <c r="Z33" s="115" t="str">
        <f t="shared" si="22"/>
        <v>#DIV/0!</v>
      </c>
      <c r="AA33" s="117" t="str">
        <f t="shared" si="22"/>
        <v>#DIV/0!</v>
      </c>
      <c r="AB33" s="117" t="str">
        <f t="shared" si="22"/>
        <v>#DIV/0!</v>
      </c>
      <c r="AC33" s="115" t="str">
        <f t="shared" si="22"/>
        <v>#DIV/0!</v>
      </c>
      <c r="AD33" s="118" t="str">
        <f t="shared" si="22"/>
        <v>#DIV/0!</v>
      </c>
    </row>
    <row r="34">
      <c r="A34" s="119"/>
      <c r="B34" s="120" t="s">
        <v>48</v>
      </c>
      <c r="C34" s="121"/>
      <c r="D34" s="121"/>
      <c r="E34" s="122"/>
      <c r="F34" s="123" t="str">
        <f t="shared" ref="F34:Q34" si="23">STDEV(F30:F32)</f>
        <v>#DIV/0!</v>
      </c>
      <c r="G34" s="123" t="str">
        <f t="shared" si="23"/>
        <v>#DIV/0!</v>
      </c>
      <c r="H34" s="123" t="str">
        <f t="shared" si="23"/>
        <v>#DIV/0!</v>
      </c>
      <c r="I34" s="123" t="str">
        <f t="shared" si="23"/>
        <v>#DIV/0!</v>
      </c>
      <c r="J34" s="123" t="str">
        <f t="shared" si="23"/>
        <v>#DIV/0!</v>
      </c>
      <c r="K34" s="123" t="str">
        <f t="shared" si="23"/>
        <v>#DIV/0!</v>
      </c>
      <c r="L34" s="123" t="str">
        <f t="shared" si="23"/>
        <v>#DIV/0!</v>
      </c>
      <c r="M34" s="123" t="str">
        <f t="shared" si="23"/>
        <v>#DIV/0!</v>
      </c>
      <c r="N34" s="123" t="str">
        <f t="shared" si="23"/>
        <v>#DIV/0!</v>
      </c>
      <c r="O34" s="123" t="str">
        <f t="shared" si="23"/>
        <v>#DIV/0!</v>
      </c>
      <c r="P34" s="123" t="str">
        <f t="shared" si="23"/>
        <v>#DIV/0!</v>
      </c>
      <c r="Q34" s="123" t="str">
        <f t="shared" si="23"/>
        <v>#DIV/0!</v>
      </c>
      <c r="R34" s="123"/>
      <c r="S34" s="123" t="str">
        <f t="shared" ref="S34:AD34" si="24">STDEV(S30:S32)</f>
        <v>#DIV/0!</v>
      </c>
      <c r="T34" s="123" t="str">
        <f t="shared" si="24"/>
        <v>#DIV/0!</v>
      </c>
      <c r="U34" s="123" t="str">
        <f t="shared" si="24"/>
        <v>#DIV/0!</v>
      </c>
      <c r="V34" s="123" t="str">
        <f t="shared" si="24"/>
        <v>#DIV/0!</v>
      </c>
      <c r="W34" s="123" t="str">
        <f t="shared" si="24"/>
        <v>#DIV/0!</v>
      </c>
      <c r="X34" s="123" t="str">
        <f t="shared" si="24"/>
        <v>#DIV/0!</v>
      </c>
      <c r="Y34" s="123" t="str">
        <f t="shared" si="24"/>
        <v>#DIV/0!</v>
      </c>
      <c r="Z34" s="123" t="str">
        <f t="shared" si="24"/>
        <v>#DIV/0!</v>
      </c>
      <c r="AA34" s="123" t="str">
        <f t="shared" si="24"/>
        <v>#DIV/0!</v>
      </c>
      <c r="AB34" s="123" t="str">
        <f t="shared" si="24"/>
        <v>#DIV/0!</v>
      </c>
      <c r="AC34" s="123" t="str">
        <f t="shared" si="24"/>
        <v>#DIV/0!</v>
      </c>
      <c r="AD34" s="123" t="str">
        <f t="shared" si="24"/>
        <v>#DIV/0!</v>
      </c>
    </row>
    <row r="35">
      <c r="A35" s="171" t="s">
        <v>94</v>
      </c>
      <c r="B35" s="88">
        <v>43.0</v>
      </c>
      <c r="C35" s="89" t="b">
        <v>1</v>
      </c>
      <c r="D35" s="89" t="s">
        <v>43</v>
      </c>
      <c r="E35" s="89" t="s">
        <v>44</v>
      </c>
      <c r="F35" s="90"/>
      <c r="G35" s="91"/>
      <c r="H35" s="91"/>
      <c r="I35" s="91"/>
      <c r="J35" s="91"/>
      <c r="K35" s="91"/>
      <c r="L35" s="91"/>
      <c r="M35" s="91"/>
      <c r="N35" s="92"/>
      <c r="O35" s="92"/>
      <c r="P35" s="92"/>
      <c r="Q35" s="92"/>
      <c r="R35" s="93"/>
      <c r="S35" s="94"/>
      <c r="T35" s="95"/>
      <c r="U35" s="95"/>
      <c r="V35" s="95"/>
      <c r="W35" s="95"/>
      <c r="X35" s="94"/>
      <c r="Y35" s="94"/>
      <c r="Z35" s="94"/>
      <c r="AA35" s="96"/>
      <c r="AB35" s="97"/>
      <c r="AC35" s="97"/>
      <c r="AD35" s="98"/>
    </row>
    <row r="36">
      <c r="A36" s="7"/>
      <c r="C36" s="99" t="b">
        <v>1</v>
      </c>
      <c r="D36" s="99" t="s">
        <v>43</v>
      </c>
      <c r="E36" s="99" t="s">
        <v>45</v>
      </c>
      <c r="F36" s="100"/>
      <c r="G36" s="101"/>
      <c r="H36" s="101"/>
      <c r="I36" s="101"/>
      <c r="J36" s="101"/>
      <c r="K36" s="101"/>
      <c r="L36" s="101"/>
      <c r="M36" s="101"/>
      <c r="N36" s="102"/>
      <c r="O36" s="102"/>
      <c r="P36" s="102"/>
      <c r="Q36" s="102"/>
      <c r="R36" s="103"/>
      <c r="S36" s="104"/>
      <c r="T36" s="105"/>
      <c r="U36" s="105"/>
      <c r="V36" s="105"/>
      <c r="W36" s="105"/>
      <c r="X36" s="104"/>
      <c r="Y36" s="104"/>
      <c r="Z36" s="104"/>
      <c r="AA36" s="106"/>
      <c r="AB36" s="107"/>
      <c r="AC36" s="107"/>
      <c r="AD36" s="108"/>
    </row>
    <row r="37">
      <c r="A37" s="7"/>
      <c r="B37" s="109"/>
      <c r="C37" s="99" t="b">
        <v>1</v>
      </c>
      <c r="D37" s="99" t="s">
        <v>43</v>
      </c>
      <c r="E37" s="99" t="s">
        <v>46</v>
      </c>
      <c r="F37" s="100"/>
      <c r="G37" s="101"/>
      <c r="H37" s="101"/>
      <c r="I37" s="101"/>
      <c r="J37" s="101"/>
      <c r="K37" s="101"/>
      <c r="L37" s="101"/>
      <c r="M37" s="101"/>
      <c r="N37" s="110"/>
      <c r="O37" s="110"/>
      <c r="P37" s="110"/>
      <c r="Q37" s="110"/>
      <c r="R37" s="103"/>
      <c r="S37" s="104"/>
      <c r="T37" s="105"/>
      <c r="U37" s="105"/>
      <c r="V37" s="105"/>
      <c r="W37" s="105"/>
      <c r="X37" s="104"/>
      <c r="Y37" s="104"/>
      <c r="Z37" s="104"/>
      <c r="AA37" s="111"/>
      <c r="AB37" s="112"/>
      <c r="AC37" s="112"/>
      <c r="AD37" s="113"/>
    </row>
    <row r="38">
      <c r="A38" s="7"/>
      <c r="B38" s="114" t="s">
        <v>47</v>
      </c>
      <c r="C38" s="30"/>
      <c r="D38" s="30"/>
      <c r="E38" s="72"/>
      <c r="F38" s="115" t="str">
        <f t="shared" ref="F38:Q38" si="25">AVERAGE(F35:F37)</f>
        <v>#DIV/0!</v>
      </c>
      <c r="G38" s="117" t="str">
        <f t="shared" si="25"/>
        <v>#DIV/0!</v>
      </c>
      <c r="H38" s="115" t="str">
        <f t="shared" si="25"/>
        <v>#DIV/0!</v>
      </c>
      <c r="I38" s="115" t="str">
        <f t="shared" si="25"/>
        <v>#DIV/0!</v>
      </c>
      <c r="J38" s="115" t="str">
        <f t="shared" si="25"/>
        <v>#DIV/0!</v>
      </c>
      <c r="K38" s="115" t="str">
        <f t="shared" si="25"/>
        <v>#DIV/0!</v>
      </c>
      <c r="L38" s="117" t="str">
        <f t="shared" si="25"/>
        <v>#DIV/0!</v>
      </c>
      <c r="M38" s="115" t="str">
        <f t="shared" si="25"/>
        <v>#DIV/0!</v>
      </c>
      <c r="N38" s="115" t="str">
        <f t="shared" si="25"/>
        <v>#DIV/0!</v>
      </c>
      <c r="O38" s="115" t="str">
        <f t="shared" si="25"/>
        <v>#DIV/0!</v>
      </c>
      <c r="P38" s="117" t="str">
        <f t="shared" si="25"/>
        <v>#DIV/0!</v>
      </c>
      <c r="Q38" s="117" t="str">
        <f t="shared" si="25"/>
        <v>#DIV/0!</v>
      </c>
      <c r="R38" s="116"/>
      <c r="S38" s="115" t="str">
        <f t="shared" ref="S38:AD38" si="26">AVERAGE(S35:S37)</f>
        <v>#DIV/0!</v>
      </c>
      <c r="T38" s="115" t="str">
        <f t="shared" si="26"/>
        <v>#DIV/0!</v>
      </c>
      <c r="U38" s="115" t="str">
        <f t="shared" si="26"/>
        <v>#DIV/0!</v>
      </c>
      <c r="V38" s="115" t="str">
        <f t="shared" si="26"/>
        <v>#DIV/0!</v>
      </c>
      <c r="W38" s="115" t="str">
        <f t="shared" si="26"/>
        <v>#DIV/0!</v>
      </c>
      <c r="X38" s="115" t="str">
        <f t="shared" si="26"/>
        <v>#DIV/0!</v>
      </c>
      <c r="Y38" s="115" t="str">
        <f t="shared" si="26"/>
        <v>#DIV/0!</v>
      </c>
      <c r="Z38" s="115" t="str">
        <f t="shared" si="26"/>
        <v>#DIV/0!</v>
      </c>
      <c r="AA38" s="115" t="str">
        <f t="shared" si="26"/>
        <v>#DIV/0!</v>
      </c>
      <c r="AB38" s="115" t="str">
        <f t="shared" si="26"/>
        <v>#DIV/0!</v>
      </c>
      <c r="AC38" s="115" t="str">
        <f t="shared" si="26"/>
        <v>#DIV/0!</v>
      </c>
      <c r="AD38" s="118" t="str">
        <f t="shared" si="26"/>
        <v>#DIV/0!</v>
      </c>
    </row>
    <row r="39">
      <c r="A39" s="119"/>
      <c r="B39" s="120" t="s">
        <v>48</v>
      </c>
      <c r="C39" s="121"/>
      <c r="D39" s="121"/>
      <c r="E39" s="122"/>
      <c r="F39" s="123" t="str">
        <f t="shared" ref="F39:Q39" si="27">STDEV(F35:F37)</f>
        <v>#DIV/0!</v>
      </c>
      <c r="G39" s="123" t="str">
        <f t="shared" si="27"/>
        <v>#DIV/0!</v>
      </c>
      <c r="H39" s="123" t="str">
        <f t="shared" si="27"/>
        <v>#DIV/0!</v>
      </c>
      <c r="I39" s="123" t="str">
        <f t="shared" si="27"/>
        <v>#DIV/0!</v>
      </c>
      <c r="J39" s="123" t="str">
        <f t="shared" si="27"/>
        <v>#DIV/0!</v>
      </c>
      <c r="K39" s="123" t="str">
        <f t="shared" si="27"/>
        <v>#DIV/0!</v>
      </c>
      <c r="L39" s="123" t="str">
        <f t="shared" si="27"/>
        <v>#DIV/0!</v>
      </c>
      <c r="M39" s="123" t="str">
        <f t="shared" si="27"/>
        <v>#DIV/0!</v>
      </c>
      <c r="N39" s="123" t="str">
        <f t="shared" si="27"/>
        <v>#DIV/0!</v>
      </c>
      <c r="O39" s="123" t="str">
        <f t="shared" si="27"/>
        <v>#DIV/0!</v>
      </c>
      <c r="P39" s="123" t="str">
        <f t="shared" si="27"/>
        <v>#DIV/0!</v>
      </c>
      <c r="Q39" s="123" t="str">
        <f t="shared" si="27"/>
        <v>#DIV/0!</v>
      </c>
      <c r="R39" s="123"/>
      <c r="S39" s="123" t="str">
        <f t="shared" ref="S39:AD39" si="28">STDEV(S35:S37)</f>
        <v>#DIV/0!</v>
      </c>
      <c r="T39" s="123" t="str">
        <f t="shared" si="28"/>
        <v>#DIV/0!</v>
      </c>
      <c r="U39" s="123" t="str">
        <f t="shared" si="28"/>
        <v>#DIV/0!</v>
      </c>
      <c r="V39" s="123" t="str">
        <f t="shared" si="28"/>
        <v>#DIV/0!</v>
      </c>
      <c r="W39" s="123" t="str">
        <f t="shared" si="28"/>
        <v>#DIV/0!</v>
      </c>
      <c r="X39" s="123" t="str">
        <f t="shared" si="28"/>
        <v>#DIV/0!</v>
      </c>
      <c r="Y39" s="123" t="str">
        <f t="shared" si="28"/>
        <v>#DIV/0!</v>
      </c>
      <c r="Z39" s="123" t="str">
        <f t="shared" si="28"/>
        <v>#DIV/0!</v>
      </c>
      <c r="AA39" s="123" t="str">
        <f t="shared" si="28"/>
        <v>#DIV/0!</v>
      </c>
      <c r="AB39" s="123" t="str">
        <f t="shared" si="28"/>
        <v>#DIV/0!</v>
      </c>
      <c r="AC39" s="123" t="str">
        <f t="shared" si="28"/>
        <v>#DIV/0!</v>
      </c>
      <c r="AD39" s="123" t="str">
        <f t="shared" si="28"/>
        <v>#DIV/0!</v>
      </c>
    </row>
    <row r="40">
      <c r="A40" s="171" t="s">
        <v>94</v>
      </c>
      <c r="B40" s="88">
        <v>50.0</v>
      </c>
      <c r="C40" s="89" t="b">
        <v>1</v>
      </c>
      <c r="D40" s="89" t="s">
        <v>43</v>
      </c>
      <c r="E40" s="89" t="s">
        <v>44</v>
      </c>
      <c r="F40" s="90"/>
      <c r="G40" s="91"/>
      <c r="H40" s="91"/>
      <c r="I40" s="91"/>
      <c r="J40" s="91"/>
      <c r="K40" s="91"/>
      <c r="L40" s="91"/>
      <c r="M40" s="91"/>
      <c r="N40" s="92"/>
      <c r="O40" s="92"/>
      <c r="P40" s="92"/>
      <c r="Q40" s="92"/>
      <c r="R40" s="93"/>
      <c r="S40" s="94"/>
      <c r="T40" s="95"/>
      <c r="U40" s="95"/>
      <c r="V40" s="95"/>
      <c r="W40" s="95"/>
      <c r="X40" s="94"/>
      <c r="Y40" s="94"/>
      <c r="Z40" s="94"/>
      <c r="AA40" s="96"/>
      <c r="AB40" s="97"/>
      <c r="AC40" s="97"/>
      <c r="AD40" s="98"/>
    </row>
    <row r="41">
      <c r="A41" s="7"/>
      <c r="C41" s="99" t="b">
        <v>1</v>
      </c>
      <c r="D41" s="99" t="s">
        <v>43</v>
      </c>
      <c r="E41" s="99" t="s">
        <v>45</v>
      </c>
      <c r="F41" s="100"/>
      <c r="G41" s="101"/>
      <c r="H41" s="101"/>
      <c r="I41" s="101"/>
      <c r="J41" s="101"/>
      <c r="K41" s="101"/>
      <c r="L41" s="101"/>
      <c r="M41" s="101"/>
      <c r="N41" s="102"/>
      <c r="O41" s="102"/>
      <c r="P41" s="102"/>
      <c r="Q41" s="102"/>
      <c r="R41" s="103"/>
      <c r="S41" s="104"/>
      <c r="T41" s="105"/>
      <c r="U41" s="105"/>
      <c r="V41" s="105"/>
      <c r="W41" s="105"/>
      <c r="X41" s="104"/>
      <c r="Y41" s="104"/>
      <c r="Z41" s="104"/>
      <c r="AA41" s="106"/>
      <c r="AB41" s="107"/>
      <c r="AC41" s="107"/>
      <c r="AD41" s="108"/>
    </row>
    <row r="42">
      <c r="A42" s="7"/>
      <c r="B42" s="109"/>
      <c r="C42" s="99" t="b">
        <v>1</v>
      </c>
      <c r="D42" s="99" t="s">
        <v>43</v>
      </c>
      <c r="E42" s="99" t="s">
        <v>46</v>
      </c>
      <c r="F42" s="100"/>
      <c r="G42" s="101"/>
      <c r="H42" s="101"/>
      <c r="I42" s="101"/>
      <c r="J42" s="101"/>
      <c r="K42" s="101"/>
      <c r="L42" s="101"/>
      <c r="M42" s="101"/>
      <c r="N42" s="110"/>
      <c r="O42" s="110"/>
      <c r="P42" s="110"/>
      <c r="Q42" s="110"/>
      <c r="R42" s="103"/>
      <c r="S42" s="104"/>
      <c r="T42" s="105"/>
      <c r="U42" s="105"/>
      <c r="V42" s="105"/>
      <c r="W42" s="105"/>
      <c r="X42" s="104"/>
      <c r="Y42" s="104"/>
      <c r="Z42" s="104"/>
      <c r="AA42" s="111"/>
      <c r="AB42" s="112"/>
      <c r="AC42" s="112"/>
      <c r="AD42" s="113"/>
    </row>
    <row r="43">
      <c r="A43" s="7"/>
      <c r="B43" s="114" t="s">
        <v>47</v>
      </c>
      <c r="C43" s="30"/>
      <c r="D43" s="30"/>
      <c r="E43" s="72"/>
      <c r="F43" s="115" t="str">
        <f t="shared" ref="F43:Q43" si="29">AVERAGE(F40:F42)</f>
        <v>#DIV/0!</v>
      </c>
      <c r="G43" s="115" t="str">
        <f t="shared" si="29"/>
        <v>#DIV/0!</v>
      </c>
      <c r="H43" s="115" t="str">
        <f t="shared" si="29"/>
        <v>#DIV/0!</v>
      </c>
      <c r="I43" s="115" t="str">
        <f t="shared" si="29"/>
        <v>#DIV/0!</v>
      </c>
      <c r="J43" s="115" t="str">
        <f t="shared" si="29"/>
        <v>#DIV/0!</v>
      </c>
      <c r="K43" s="115" t="str">
        <f t="shared" si="29"/>
        <v>#DIV/0!</v>
      </c>
      <c r="L43" s="115" t="str">
        <f t="shared" si="29"/>
        <v>#DIV/0!</v>
      </c>
      <c r="M43" s="115" t="str">
        <f t="shared" si="29"/>
        <v>#DIV/0!</v>
      </c>
      <c r="N43" s="115" t="str">
        <f t="shared" si="29"/>
        <v>#DIV/0!</v>
      </c>
      <c r="O43" s="115" t="str">
        <f t="shared" si="29"/>
        <v>#DIV/0!</v>
      </c>
      <c r="P43" s="115" t="str">
        <f t="shared" si="29"/>
        <v>#DIV/0!</v>
      </c>
      <c r="Q43" s="115" t="str">
        <f t="shared" si="29"/>
        <v>#DIV/0!</v>
      </c>
      <c r="R43" s="116"/>
      <c r="S43" s="115" t="str">
        <f t="shared" ref="S43:AD43" si="30">AVERAGE(S40:S42)</f>
        <v>#DIV/0!</v>
      </c>
      <c r="T43" s="115" t="str">
        <f t="shared" si="30"/>
        <v>#DIV/0!</v>
      </c>
      <c r="U43" s="115" t="str">
        <f t="shared" si="30"/>
        <v>#DIV/0!</v>
      </c>
      <c r="V43" s="115" t="str">
        <f t="shared" si="30"/>
        <v>#DIV/0!</v>
      </c>
      <c r="W43" s="115" t="str">
        <f t="shared" si="30"/>
        <v>#DIV/0!</v>
      </c>
      <c r="X43" s="115" t="str">
        <f t="shared" si="30"/>
        <v>#DIV/0!</v>
      </c>
      <c r="Y43" s="117" t="str">
        <f t="shared" si="30"/>
        <v>#DIV/0!</v>
      </c>
      <c r="Z43" s="115" t="str">
        <f t="shared" si="30"/>
        <v>#DIV/0!</v>
      </c>
      <c r="AA43" s="115" t="str">
        <f t="shared" si="30"/>
        <v>#DIV/0!</v>
      </c>
      <c r="AB43" s="115" t="str">
        <f t="shared" si="30"/>
        <v>#DIV/0!</v>
      </c>
      <c r="AC43" s="117" t="str">
        <f t="shared" si="30"/>
        <v>#DIV/0!</v>
      </c>
      <c r="AD43" s="162" t="str">
        <f t="shared" si="30"/>
        <v>#DIV/0!</v>
      </c>
    </row>
    <row r="44">
      <c r="A44" s="119"/>
      <c r="B44" s="120" t="s">
        <v>48</v>
      </c>
      <c r="C44" s="121"/>
      <c r="D44" s="121"/>
      <c r="E44" s="122"/>
      <c r="F44" s="123" t="str">
        <f t="shared" ref="F44:Q44" si="31">STDEV(F40:F42)</f>
        <v>#DIV/0!</v>
      </c>
      <c r="G44" s="123" t="str">
        <f t="shared" si="31"/>
        <v>#DIV/0!</v>
      </c>
      <c r="H44" s="123" t="str">
        <f t="shared" si="31"/>
        <v>#DIV/0!</v>
      </c>
      <c r="I44" s="123" t="str">
        <f t="shared" si="31"/>
        <v>#DIV/0!</v>
      </c>
      <c r="J44" s="123" t="str">
        <f t="shared" si="31"/>
        <v>#DIV/0!</v>
      </c>
      <c r="K44" s="123" t="str">
        <f t="shared" si="31"/>
        <v>#DIV/0!</v>
      </c>
      <c r="L44" s="123" t="str">
        <f t="shared" si="31"/>
        <v>#DIV/0!</v>
      </c>
      <c r="M44" s="123" t="str">
        <f t="shared" si="31"/>
        <v>#DIV/0!</v>
      </c>
      <c r="N44" s="123" t="str">
        <f t="shared" si="31"/>
        <v>#DIV/0!</v>
      </c>
      <c r="O44" s="123" t="str">
        <f t="shared" si="31"/>
        <v>#DIV/0!</v>
      </c>
      <c r="P44" s="123" t="str">
        <f t="shared" si="31"/>
        <v>#DIV/0!</v>
      </c>
      <c r="Q44" s="123" t="str">
        <f t="shared" si="31"/>
        <v>#DIV/0!</v>
      </c>
      <c r="R44" s="123"/>
      <c r="S44" s="123" t="str">
        <f t="shared" ref="S44:AD44" si="32">STDEV(S40:S42)</f>
        <v>#DIV/0!</v>
      </c>
      <c r="T44" s="123" t="str">
        <f t="shared" si="32"/>
        <v>#DIV/0!</v>
      </c>
      <c r="U44" s="123" t="str">
        <f t="shared" si="32"/>
        <v>#DIV/0!</v>
      </c>
      <c r="V44" s="123" t="str">
        <f t="shared" si="32"/>
        <v>#DIV/0!</v>
      </c>
      <c r="W44" s="123" t="str">
        <f t="shared" si="32"/>
        <v>#DIV/0!</v>
      </c>
      <c r="X44" s="123" t="str">
        <f t="shared" si="32"/>
        <v>#DIV/0!</v>
      </c>
      <c r="Y44" s="123" t="str">
        <f t="shared" si="32"/>
        <v>#DIV/0!</v>
      </c>
      <c r="Z44" s="123" t="str">
        <f t="shared" si="32"/>
        <v>#DIV/0!</v>
      </c>
      <c r="AA44" s="123" t="str">
        <f t="shared" si="32"/>
        <v>#DIV/0!</v>
      </c>
      <c r="AB44" s="123" t="str">
        <f t="shared" si="32"/>
        <v>#DIV/0!</v>
      </c>
      <c r="AC44" s="123" t="str">
        <f t="shared" si="32"/>
        <v>#DIV/0!</v>
      </c>
      <c r="AD44" s="123" t="str">
        <f t="shared" si="32"/>
        <v>#DIV/0!</v>
      </c>
    </row>
    <row r="45">
      <c r="A45" s="171" t="s">
        <v>94</v>
      </c>
      <c r="B45" s="88">
        <v>6.0</v>
      </c>
      <c r="C45" s="89" t="b">
        <v>1</v>
      </c>
      <c r="D45" s="89" t="s">
        <v>43</v>
      </c>
      <c r="E45" s="89" t="s">
        <v>44</v>
      </c>
      <c r="F45" s="90"/>
      <c r="G45" s="91"/>
      <c r="H45" s="91"/>
      <c r="I45" s="91"/>
      <c r="J45" s="91"/>
      <c r="K45" s="91"/>
      <c r="L45" s="91"/>
      <c r="M45" s="91"/>
      <c r="N45" s="92"/>
      <c r="O45" s="92"/>
      <c r="P45" s="92"/>
      <c r="Q45" s="92"/>
      <c r="R45" s="93"/>
      <c r="S45" s="94"/>
      <c r="T45" s="95"/>
      <c r="U45" s="95"/>
      <c r="V45" s="95"/>
      <c r="W45" s="95"/>
      <c r="X45" s="94"/>
      <c r="Y45" s="94"/>
      <c r="Z45" s="94"/>
      <c r="AA45" s="96"/>
      <c r="AB45" s="97"/>
      <c r="AC45" s="97"/>
      <c r="AD45" s="98"/>
    </row>
    <row r="46">
      <c r="A46" s="7"/>
      <c r="C46" s="99" t="b">
        <v>1</v>
      </c>
      <c r="D46" s="99" t="s">
        <v>43</v>
      </c>
      <c r="E46" s="99" t="s">
        <v>45</v>
      </c>
      <c r="F46" s="100"/>
      <c r="G46" s="101"/>
      <c r="H46" s="101"/>
      <c r="I46" s="101"/>
      <c r="J46" s="101"/>
      <c r="K46" s="101"/>
      <c r="L46" s="101"/>
      <c r="M46" s="101"/>
      <c r="N46" s="102"/>
      <c r="O46" s="102"/>
      <c r="P46" s="102"/>
      <c r="Q46" s="102"/>
      <c r="R46" s="103"/>
      <c r="S46" s="104"/>
      <c r="T46" s="105"/>
      <c r="U46" s="105"/>
      <c r="V46" s="105"/>
      <c r="W46" s="105"/>
      <c r="X46" s="104"/>
      <c r="Y46" s="104"/>
      <c r="Z46" s="104"/>
      <c r="AA46" s="106"/>
      <c r="AB46" s="107"/>
      <c r="AC46" s="107"/>
      <c r="AD46" s="108"/>
    </row>
    <row r="47">
      <c r="A47" s="7"/>
      <c r="B47" s="109"/>
      <c r="C47" s="99" t="b">
        <v>1</v>
      </c>
      <c r="D47" s="99" t="s">
        <v>43</v>
      </c>
      <c r="E47" s="99" t="s">
        <v>46</v>
      </c>
      <c r="F47" s="100"/>
      <c r="G47" s="101"/>
      <c r="H47" s="101"/>
      <c r="I47" s="101"/>
      <c r="J47" s="101"/>
      <c r="K47" s="101"/>
      <c r="L47" s="101"/>
      <c r="M47" s="101"/>
      <c r="N47" s="110"/>
      <c r="O47" s="110"/>
      <c r="P47" s="110"/>
      <c r="Q47" s="110"/>
      <c r="R47" s="103"/>
      <c r="S47" s="104"/>
      <c r="T47" s="105"/>
      <c r="U47" s="105"/>
      <c r="V47" s="105"/>
      <c r="W47" s="105"/>
      <c r="X47" s="104"/>
      <c r="Y47" s="104"/>
      <c r="Z47" s="104"/>
      <c r="AA47" s="111"/>
      <c r="AB47" s="112"/>
      <c r="AC47" s="112"/>
      <c r="AD47" s="113"/>
    </row>
    <row r="48">
      <c r="A48" s="7"/>
      <c r="B48" s="114" t="s">
        <v>47</v>
      </c>
      <c r="C48" s="30"/>
      <c r="D48" s="30"/>
      <c r="E48" s="72"/>
      <c r="F48" s="115" t="str">
        <f t="shared" ref="F48:Q48" si="33">AVERAGE(F45:F47)</f>
        <v>#DIV/0!</v>
      </c>
      <c r="G48" s="115" t="str">
        <f t="shared" si="33"/>
        <v>#DIV/0!</v>
      </c>
      <c r="H48" s="115" t="str">
        <f t="shared" si="33"/>
        <v>#DIV/0!</v>
      </c>
      <c r="I48" s="115" t="str">
        <f t="shared" si="33"/>
        <v>#DIV/0!</v>
      </c>
      <c r="J48" s="115" t="str">
        <f t="shared" si="33"/>
        <v>#DIV/0!</v>
      </c>
      <c r="K48" s="115" t="str">
        <f t="shared" si="33"/>
        <v>#DIV/0!</v>
      </c>
      <c r="L48" s="117" t="str">
        <f t="shared" si="33"/>
        <v>#DIV/0!</v>
      </c>
      <c r="M48" s="115" t="str">
        <f t="shared" si="33"/>
        <v>#DIV/0!</v>
      </c>
      <c r="N48" s="115" t="str">
        <f t="shared" si="33"/>
        <v>#DIV/0!</v>
      </c>
      <c r="O48" s="115" t="str">
        <f t="shared" si="33"/>
        <v>#DIV/0!</v>
      </c>
      <c r="P48" s="117" t="str">
        <f t="shared" si="33"/>
        <v>#DIV/0!</v>
      </c>
      <c r="Q48" s="117" t="str">
        <f t="shared" si="33"/>
        <v>#DIV/0!</v>
      </c>
      <c r="R48" s="116"/>
      <c r="S48" s="115" t="str">
        <f t="shared" ref="S48:AD48" si="34">AVERAGE(S45:S47)</f>
        <v>#DIV/0!</v>
      </c>
      <c r="T48" s="115" t="str">
        <f t="shared" si="34"/>
        <v>#DIV/0!</v>
      </c>
      <c r="U48" s="115" t="str">
        <f t="shared" si="34"/>
        <v>#DIV/0!</v>
      </c>
      <c r="V48" s="115" t="str">
        <f t="shared" si="34"/>
        <v>#DIV/0!</v>
      </c>
      <c r="W48" s="115" t="str">
        <f t="shared" si="34"/>
        <v>#DIV/0!</v>
      </c>
      <c r="X48" s="115" t="str">
        <f t="shared" si="34"/>
        <v>#DIV/0!</v>
      </c>
      <c r="Y48" s="115" t="str">
        <f t="shared" si="34"/>
        <v>#DIV/0!</v>
      </c>
      <c r="Z48" s="115" t="str">
        <f t="shared" si="34"/>
        <v>#DIV/0!</v>
      </c>
      <c r="AA48" s="115" t="str">
        <f t="shared" si="34"/>
        <v>#DIV/0!</v>
      </c>
      <c r="AB48" s="115" t="str">
        <f t="shared" si="34"/>
        <v>#DIV/0!</v>
      </c>
      <c r="AC48" s="115" t="str">
        <f t="shared" si="34"/>
        <v>#DIV/0!</v>
      </c>
      <c r="AD48" s="118" t="str">
        <f t="shared" si="34"/>
        <v>#DIV/0!</v>
      </c>
    </row>
    <row r="49">
      <c r="A49" s="119"/>
      <c r="B49" s="120" t="s">
        <v>48</v>
      </c>
      <c r="C49" s="121"/>
      <c r="D49" s="121"/>
      <c r="E49" s="122"/>
      <c r="F49" s="123" t="str">
        <f t="shared" ref="F49:Q49" si="35">STDEV(F45:F47)</f>
        <v>#DIV/0!</v>
      </c>
      <c r="G49" s="123" t="str">
        <f t="shared" si="35"/>
        <v>#DIV/0!</v>
      </c>
      <c r="H49" s="123" t="str">
        <f t="shared" si="35"/>
        <v>#DIV/0!</v>
      </c>
      <c r="I49" s="123" t="str">
        <f t="shared" si="35"/>
        <v>#DIV/0!</v>
      </c>
      <c r="J49" s="123" t="str">
        <f t="shared" si="35"/>
        <v>#DIV/0!</v>
      </c>
      <c r="K49" s="123" t="str">
        <f t="shared" si="35"/>
        <v>#DIV/0!</v>
      </c>
      <c r="L49" s="123" t="str">
        <f t="shared" si="35"/>
        <v>#DIV/0!</v>
      </c>
      <c r="M49" s="123" t="str">
        <f t="shared" si="35"/>
        <v>#DIV/0!</v>
      </c>
      <c r="N49" s="123" t="str">
        <f t="shared" si="35"/>
        <v>#DIV/0!</v>
      </c>
      <c r="O49" s="123" t="str">
        <f t="shared" si="35"/>
        <v>#DIV/0!</v>
      </c>
      <c r="P49" s="123" t="str">
        <f t="shared" si="35"/>
        <v>#DIV/0!</v>
      </c>
      <c r="Q49" s="123" t="str">
        <f t="shared" si="35"/>
        <v>#DIV/0!</v>
      </c>
      <c r="R49" s="123"/>
      <c r="S49" s="123" t="str">
        <f t="shared" ref="S49:AD49" si="36">STDEV(S45:S47)</f>
        <v>#DIV/0!</v>
      </c>
      <c r="T49" s="123" t="str">
        <f t="shared" si="36"/>
        <v>#DIV/0!</v>
      </c>
      <c r="U49" s="123" t="str">
        <f t="shared" si="36"/>
        <v>#DIV/0!</v>
      </c>
      <c r="V49" s="123" t="str">
        <f t="shared" si="36"/>
        <v>#DIV/0!</v>
      </c>
      <c r="W49" s="123" t="str">
        <f t="shared" si="36"/>
        <v>#DIV/0!</v>
      </c>
      <c r="X49" s="123" t="str">
        <f t="shared" si="36"/>
        <v>#DIV/0!</v>
      </c>
      <c r="Y49" s="123" t="str">
        <f t="shared" si="36"/>
        <v>#DIV/0!</v>
      </c>
      <c r="Z49" s="123" t="str">
        <f t="shared" si="36"/>
        <v>#DIV/0!</v>
      </c>
      <c r="AA49" s="123" t="str">
        <f t="shared" si="36"/>
        <v>#DIV/0!</v>
      </c>
      <c r="AB49" s="123" t="str">
        <f t="shared" si="36"/>
        <v>#DIV/0!</v>
      </c>
      <c r="AC49" s="123" t="str">
        <f t="shared" si="36"/>
        <v>#DIV/0!</v>
      </c>
      <c r="AD49" s="123" t="str">
        <f t="shared" si="36"/>
        <v>#DIV/0!</v>
      </c>
    </row>
    <row r="50">
      <c r="A50" s="171" t="s">
        <v>94</v>
      </c>
      <c r="B50" s="88">
        <v>9999.0</v>
      </c>
      <c r="C50" s="89" t="b">
        <v>1</v>
      </c>
      <c r="D50" s="89" t="s">
        <v>43</v>
      </c>
      <c r="E50" s="89" t="s">
        <v>44</v>
      </c>
      <c r="F50" s="124"/>
      <c r="G50" s="125"/>
      <c r="H50" s="125"/>
      <c r="I50" s="125"/>
      <c r="J50" s="125"/>
      <c r="K50" s="125"/>
      <c r="L50" s="125"/>
      <c r="M50" s="125"/>
      <c r="N50" s="126"/>
      <c r="O50" s="126"/>
      <c r="P50" s="126"/>
      <c r="Q50" s="126"/>
      <c r="R50" s="127"/>
      <c r="S50" s="128"/>
      <c r="T50" s="129"/>
      <c r="U50" s="129"/>
      <c r="V50" s="129"/>
      <c r="W50" s="129"/>
      <c r="X50" s="128"/>
      <c r="Y50" s="128"/>
      <c r="Z50" s="128"/>
      <c r="AA50" s="148"/>
      <c r="AB50" s="149"/>
      <c r="AC50" s="149"/>
      <c r="AD50" s="150"/>
    </row>
    <row r="51">
      <c r="A51" s="7"/>
      <c r="C51" s="99" t="b">
        <v>1</v>
      </c>
      <c r="D51" s="99" t="s">
        <v>43</v>
      </c>
      <c r="E51" s="99" t="s">
        <v>45</v>
      </c>
      <c r="F51" s="133"/>
      <c r="G51" s="134"/>
      <c r="H51" s="134"/>
      <c r="I51" s="134"/>
      <c r="J51" s="134"/>
      <c r="K51" s="134"/>
      <c r="L51" s="134"/>
      <c r="M51" s="134"/>
      <c r="N51" s="135"/>
      <c r="O51" s="135"/>
      <c r="P51" s="135"/>
      <c r="Q51" s="135"/>
      <c r="R51" s="136"/>
      <c r="S51" s="137"/>
      <c r="T51" s="138"/>
      <c r="U51" s="138"/>
      <c r="V51" s="138"/>
      <c r="W51" s="138"/>
      <c r="X51" s="137"/>
      <c r="Y51" s="137"/>
      <c r="Z51" s="137"/>
      <c r="AA51" s="139"/>
      <c r="AB51" s="140"/>
      <c r="AC51" s="140"/>
      <c r="AD51" s="141"/>
    </row>
    <row r="52">
      <c r="A52" s="7"/>
      <c r="B52" s="109"/>
      <c r="C52" s="99" t="b">
        <v>1</v>
      </c>
      <c r="D52" s="99" t="s">
        <v>43</v>
      </c>
      <c r="E52" s="99" t="s">
        <v>46</v>
      </c>
      <c r="F52" s="142"/>
      <c r="G52" s="143"/>
      <c r="H52" s="143"/>
      <c r="I52" s="143"/>
      <c r="J52" s="143"/>
      <c r="K52" s="143"/>
      <c r="L52" s="143"/>
      <c r="M52" s="143"/>
      <c r="N52" s="144"/>
      <c r="O52" s="144"/>
      <c r="P52" s="144"/>
      <c r="Q52" s="144"/>
      <c r="R52" s="145"/>
      <c r="S52" s="146"/>
      <c r="T52" s="147"/>
      <c r="U52" s="147"/>
      <c r="V52" s="147"/>
      <c r="W52" s="147"/>
      <c r="X52" s="146"/>
      <c r="Y52" s="146"/>
      <c r="Z52" s="146"/>
      <c r="AA52" s="148"/>
      <c r="AB52" s="149"/>
      <c r="AC52" s="149"/>
      <c r="AD52" s="150"/>
    </row>
    <row r="53">
      <c r="A53" s="7"/>
      <c r="B53" s="114" t="s">
        <v>47</v>
      </c>
      <c r="C53" s="30"/>
      <c r="D53" s="30"/>
      <c r="E53" s="72"/>
      <c r="F53" s="151" t="str">
        <f t="shared" ref="F53:Q53" si="37">AVERAGE(F50:F52)</f>
        <v>#DIV/0!</v>
      </c>
      <c r="G53" s="151" t="str">
        <f t="shared" si="37"/>
        <v>#DIV/0!</v>
      </c>
      <c r="H53" s="151" t="str">
        <f t="shared" si="37"/>
        <v>#DIV/0!</v>
      </c>
      <c r="I53" s="151" t="str">
        <f t="shared" si="37"/>
        <v>#DIV/0!</v>
      </c>
      <c r="J53" s="151" t="str">
        <f t="shared" si="37"/>
        <v>#DIV/0!</v>
      </c>
      <c r="K53" s="151" t="str">
        <f t="shared" si="37"/>
        <v>#DIV/0!</v>
      </c>
      <c r="L53" s="151" t="str">
        <f t="shared" si="37"/>
        <v>#DIV/0!</v>
      </c>
      <c r="M53" s="151" t="str">
        <f t="shared" si="37"/>
        <v>#DIV/0!</v>
      </c>
      <c r="N53" s="151" t="str">
        <f t="shared" si="37"/>
        <v>#DIV/0!</v>
      </c>
      <c r="O53" s="151" t="str">
        <f t="shared" si="37"/>
        <v>#DIV/0!</v>
      </c>
      <c r="P53" s="151" t="str">
        <f t="shared" si="37"/>
        <v>#DIV/0!</v>
      </c>
      <c r="Q53" s="151" t="str">
        <f t="shared" si="37"/>
        <v>#DIV/0!</v>
      </c>
      <c r="R53" s="152"/>
      <c r="S53" s="151" t="str">
        <f t="shared" ref="S53:AD53" si="38">AVERAGE(S50:S52)</f>
        <v>#DIV/0!</v>
      </c>
      <c r="T53" s="151" t="str">
        <f t="shared" si="38"/>
        <v>#DIV/0!</v>
      </c>
      <c r="U53" s="151" t="str">
        <f t="shared" si="38"/>
        <v>#DIV/0!</v>
      </c>
      <c r="V53" s="151" t="str">
        <f t="shared" si="38"/>
        <v>#DIV/0!</v>
      </c>
      <c r="W53" s="151" t="str">
        <f t="shared" si="38"/>
        <v>#DIV/0!</v>
      </c>
      <c r="X53" s="151" t="str">
        <f t="shared" si="38"/>
        <v>#DIV/0!</v>
      </c>
      <c r="Y53" s="151" t="str">
        <f t="shared" si="38"/>
        <v>#DIV/0!</v>
      </c>
      <c r="Z53" s="151" t="str">
        <f t="shared" si="38"/>
        <v>#DIV/0!</v>
      </c>
      <c r="AA53" s="151" t="str">
        <f t="shared" si="38"/>
        <v>#DIV/0!</v>
      </c>
      <c r="AB53" s="151" t="str">
        <f t="shared" si="38"/>
        <v>#DIV/0!</v>
      </c>
      <c r="AC53" s="151" t="str">
        <f t="shared" si="38"/>
        <v>#DIV/0!</v>
      </c>
      <c r="AD53" s="153" t="str">
        <f t="shared" si="38"/>
        <v>#DIV/0!</v>
      </c>
    </row>
    <row r="54">
      <c r="A54" s="119"/>
      <c r="B54" s="163" t="s">
        <v>48</v>
      </c>
      <c r="C54" s="3"/>
      <c r="D54" s="3"/>
      <c r="E54" s="164"/>
      <c r="F54" s="154" t="str">
        <f t="shared" ref="F54:Q54" si="39">STDEV(F50:F52)</f>
        <v>#DIV/0!</v>
      </c>
      <c r="G54" s="154" t="str">
        <f t="shared" si="39"/>
        <v>#DIV/0!</v>
      </c>
      <c r="H54" s="154" t="str">
        <f t="shared" si="39"/>
        <v>#DIV/0!</v>
      </c>
      <c r="I54" s="154" t="str">
        <f t="shared" si="39"/>
        <v>#DIV/0!</v>
      </c>
      <c r="J54" s="154" t="str">
        <f t="shared" si="39"/>
        <v>#DIV/0!</v>
      </c>
      <c r="K54" s="154" t="str">
        <f t="shared" si="39"/>
        <v>#DIV/0!</v>
      </c>
      <c r="L54" s="154" t="str">
        <f t="shared" si="39"/>
        <v>#DIV/0!</v>
      </c>
      <c r="M54" s="154" t="str">
        <f t="shared" si="39"/>
        <v>#DIV/0!</v>
      </c>
      <c r="N54" s="154" t="str">
        <f t="shared" si="39"/>
        <v>#DIV/0!</v>
      </c>
      <c r="O54" s="154" t="str">
        <f t="shared" si="39"/>
        <v>#DIV/0!</v>
      </c>
      <c r="P54" s="154" t="str">
        <f t="shared" si="39"/>
        <v>#DIV/0!</v>
      </c>
      <c r="Q54" s="154" t="str">
        <f t="shared" si="39"/>
        <v>#DIV/0!</v>
      </c>
      <c r="R54" s="154"/>
      <c r="S54" s="154" t="str">
        <f t="shared" ref="S54:AD54" si="40">STDEV(S50:S52)</f>
        <v>#DIV/0!</v>
      </c>
      <c r="T54" s="154" t="str">
        <f t="shared" si="40"/>
        <v>#DIV/0!</v>
      </c>
      <c r="U54" s="154" t="str">
        <f t="shared" si="40"/>
        <v>#DIV/0!</v>
      </c>
      <c r="V54" s="154" t="str">
        <f t="shared" si="40"/>
        <v>#DIV/0!</v>
      </c>
      <c r="W54" s="154" t="str">
        <f t="shared" si="40"/>
        <v>#DIV/0!</v>
      </c>
      <c r="X54" s="154" t="str">
        <f t="shared" si="40"/>
        <v>#DIV/0!</v>
      </c>
      <c r="Y54" s="154" t="str">
        <f t="shared" si="40"/>
        <v>#DIV/0!</v>
      </c>
      <c r="Z54" s="154" t="str">
        <f t="shared" si="40"/>
        <v>#DIV/0!</v>
      </c>
      <c r="AA54" s="154" t="str">
        <f t="shared" si="40"/>
        <v>#DIV/0!</v>
      </c>
      <c r="AB54" s="154" t="str">
        <f t="shared" si="40"/>
        <v>#DIV/0!</v>
      </c>
      <c r="AC54" s="154" t="str">
        <f t="shared" si="40"/>
        <v>#DIV/0!</v>
      </c>
      <c r="AD54" s="154" t="str">
        <f t="shared" si="40"/>
        <v>#DIV/0!</v>
      </c>
    </row>
    <row r="55">
      <c r="A55" s="166" t="s">
        <v>49</v>
      </c>
      <c r="B55" s="83"/>
      <c r="C55" s="83"/>
      <c r="D55" s="83"/>
      <c r="E55" s="84"/>
      <c r="F55" s="168" t="str">
        <f t="shared" ref="F55:Q55" si="41">AVERAGE(F8, F13, F18, F23,F28,F33,F38,F43,F48,F53)</f>
        <v>#DIV/0!</v>
      </c>
      <c r="G55" s="168" t="str">
        <f t="shared" si="41"/>
        <v>#DIV/0!</v>
      </c>
      <c r="H55" s="168" t="str">
        <f t="shared" si="41"/>
        <v>#DIV/0!</v>
      </c>
      <c r="I55" s="168" t="str">
        <f t="shared" si="41"/>
        <v>#DIV/0!</v>
      </c>
      <c r="J55" s="168" t="str">
        <f t="shared" si="41"/>
        <v>#DIV/0!</v>
      </c>
      <c r="K55" s="168" t="str">
        <f t="shared" si="41"/>
        <v>#DIV/0!</v>
      </c>
      <c r="L55" s="168" t="str">
        <f t="shared" si="41"/>
        <v>#DIV/0!</v>
      </c>
      <c r="M55" s="168" t="str">
        <f t="shared" si="41"/>
        <v>#DIV/0!</v>
      </c>
      <c r="N55" s="168" t="str">
        <f t="shared" si="41"/>
        <v>#DIV/0!</v>
      </c>
      <c r="O55" s="168" t="str">
        <f t="shared" si="41"/>
        <v>#DIV/0!</v>
      </c>
      <c r="P55" s="168" t="str">
        <f t="shared" si="41"/>
        <v>#DIV/0!</v>
      </c>
      <c r="Q55" s="168" t="str">
        <f t="shared" si="41"/>
        <v>#DIV/0!</v>
      </c>
      <c r="R55" s="168"/>
      <c r="S55" s="168" t="str">
        <f t="shared" ref="S55:AD55" si="42">AVERAGE(S8, S13, S18, S23,S28,S33,S38,S43,S48,S53)</f>
        <v>#DIV/0!</v>
      </c>
      <c r="T55" s="168" t="str">
        <f t="shared" si="42"/>
        <v>#DIV/0!</v>
      </c>
      <c r="U55" s="168" t="str">
        <f t="shared" si="42"/>
        <v>#DIV/0!</v>
      </c>
      <c r="V55" s="168" t="str">
        <f t="shared" si="42"/>
        <v>#DIV/0!</v>
      </c>
      <c r="W55" s="168" t="str">
        <f t="shared" si="42"/>
        <v>#DIV/0!</v>
      </c>
      <c r="X55" s="168" t="str">
        <f t="shared" si="42"/>
        <v>#DIV/0!</v>
      </c>
      <c r="Y55" s="168" t="str">
        <f t="shared" si="42"/>
        <v>#DIV/0!</v>
      </c>
      <c r="Z55" s="168" t="str">
        <f t="shared" si="42"/>
        <v>#DIV/0!</v>
      </c>
      <c r="AA55" s="168" t="str">
        <f t="shared" si="42"/>
        <v>#DIV/0!</v>
      </c>
      <c r="AB55" s="168" t="str">
        <f t="shared" si="42"/>
        <v>#DIV/0!</v>
      </c>
      <c r="AC55" s="168" t="str">
        <f t="shared" si="42"/>
        <v>#DIV/0!</v>
      </c>
      <c r="AD55" s="168" t="str">
        <f t="shared" si="42"/>
        <v>#DIV/0!</v>
      </c>
    </row>
    <row r="56">
      <c r="A56" s="74"/>
      <c r="B56" s="85"/>
      <c r="C56" s="85"/>
      <c r="D56" s="85"/>
      <c r="E56" s="86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66" t="s">
        <v>50</v>
      </c>
      <c r="B57" s="83"/>
      <c r="C57" s="83"/>
      <c r="D57" s="83"/>
      <c r="E57" s="84"/>
      <c r="F57" s="168" t="str">
        <f t="shared" ref="F57:Q57" si="43">STDEV(F8, F13, F18, F23,F28,F33,F38,F43,F48,F53)</f>
        <v>#DIV/0!</v>
      </c>
      <c r="G57" s="168" t="str">
        <f t="shared" si="43"/>
        <v>#DIV/0!</v>
      </c>
      <c r="H57" s="168" t="str">
        <f t="shared" si="43"/>
        <v>#DIV/0!</v>
      </c>
      <c r="I57" s="168" t="str">
        <f t="shared" si="43"/>
        <v>#DIV/0!</v>
      </c>
      <c r="J57" s="168" t="str">
        <f t="shared" si="43"/>
        <v>#DIV/0!</v>
      </c>
      <c r="K57" s="168" t="str">
        <f t="shared" si="43"/>
        <v>#DIV/0!</v>
      </c>
      <c r="L57" s="168" t="str">
        <f t="shared" si="43"/>
        <v>#DIV/0!</v>
      </c>
      <c r="M57" s="168" t="str">
        <f t="shared" si="43"/>
        <v>#DIV/0!</v>
      </c>
      <c r="N57" s="168" t="str">
        <f t="shared" si="43"/>
        <v>#DIV/0!</v>
      </c>
      <c r="O57" s="168" t="str">
        <f t="shared" si="43"/>
        <v>#DIV/0!</v>
      </c>
      <c r="P57" s="168" t="str">
        <f t="shared" si="43"/>
        <v>#DIV/0!</v>
      </c>
      <c r="Q57" s="168" t="str">
        <f t="shared" si="43"/>
        <v>#DIV/0!</v>
      </c>
      <c r="R57" s="168"/>
      <c r="S57" s="168" t="str">
        <f t="shared" ref="S57:AD57" si="44">STDEV(S8, S13, S18, S23,S28,S33,S38,S43,S48,S53)</f>
        <v>#DIV/0!</v>
      </c>
      <c r="T57" s="168" t="str">
        <f t="shared" si="44"/>
        <v>#DIV/0!</v>
      </c>
      <c r="U57" s="168" t="str">
        <f t="shared" si="44"/>
        <v>#DIV/0!</v>
      </c>
      <c r="V57" s="168" t="str">
        <f t="shared" si="44"/>
        <v>#DIV/0!</v>
      </c>
      <c r="W57" s="168" t="str">
        <f t="shared" si="44"/>
        <v>#DIV/0!</v>
      </c>
      <c r="X57" s="168" t="str">
        <f t="shared" si="44"/>
        <v>#DIV/0!</v>
      </c>
      <c r="Y57" s="168" t="str">
        <f t="shared" si="44"/>
        <v>#DIV/0!</v>
      </c>
      <c r="Z57" s="168" t="str">
        <f t="shared" si="44"/>
        <v>#DIV/0!</v>
      </c>
      <c r="AA57" s="168" t="str">
        <f t="shared" si="44"/>
        <v>#DIV/0!</v>
      </c>
      <c r="AB57" s="168" t="str">
        <f t="shared" si="44"/>
        <v>#DIV/0!</v>
      </c>
      <c r="AC57" s="168" t="str">
        <f t="shared" si="44"/>
        <v>#DIV/0!</v>
      </c>
      <c r="AD57" s="168" t="str">
        <f t="shared" si="44"/>
        <v>#DIV/0!</v>
      </c>
    </row>
    <row r="58">
      <c r="A58" s="74"/>
      <c r="B58" s="85"/>
      <c r="C58" s="85"/>
      <c r="D58" s="85"/>
      <c r="E58" s="86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N59" s="170"/>
      <c r="O59" s="170"/>
      <c r="P59" s="170"/>
      <c r="Q59" s="170"/>
      <c r="AA59" s="170"/>
      <c r="AB59" s="170"/>
      <c r="AC59" s="170"/>
      <c r="AD59" s="170"/>
    </row>
    <row r="60">
      <c r="N60" s="170"/>
      <c r="O60" s="170"/>
      <c r="P60" s="170"/>
      <c r="Q60" s="170"/>
      <c r="AA60" s="170"/>
      <c r="AB60" s="170"/>
      <c r="AC60" s="170"/>
      <c r="AD60" s="170"/>
    </row>
    <row r="61">
      <c r="N61" s="170"/>
      <c r="O61" s="170"/>
      <c r="P61" s="170"/>
      <c r="Q61" s="170"/>
      <c r="AA61" s="170"/>
      <c r="AB61" s="170"/>
      <c r="AC61" s="170"/>
      <c r="AD61" s="170"/>
    </row>
    <row r="62">
      <c r="N62" s="170"/>
      <c r="O62" s="170"/>
      <c r="P62" s="170"/>
      <c r="Q62" s="170"/>
      <c r="AA62" s="170"/>
      <c r="AB62" s="170"/>
      <c r="AC62" s="170"/>
      <c r="AD62" s="170"/>
    </row>
    <row r="63">
      <c r="N63" s="170"/>
      <c r="O63" s="170"/>
      <c r="P63" s="170"/>
      <c r="Q63" s="170"/>
      <c r="AA63" s="170"/>
      <c r="AB63" s="170"/>
      <c r="AC63" s="170"/>
      <c r="AD63" s="170"/>
    </row>
    <row r="64">
      <c r="N64" s="170"/>
      <c r="O64" s="170"/>
      <c r="P64" s="170"/>
      <c r="Q64" s="170"/>
      <c r="AA64" s="170"/>
      <c r="AB64" s="170"/>
      <c r="AC64" s="170"/>
      <c r="AD64" s="170"/>
    </row>
    <row r="65">
      <c r="N65" s="170"/>
      <c r="O65" s="170"/>
      <c r="P65" s="170"/>
      <c r="Q65" s="170"/>
      <c r="AA65" s="170"/>
      <c r="AB65" s="170"/>
      <c r="AC65" s="170"/>
      <c r="AD65" s="170"/>
    </row>
    <row r="66">
      <c r="N66" s="170"/>
      <c r="O66" s="170"/>
      <c r="P66" s="170"/>
      <c r="Q66" s="170"/>
      <c r="AA66" s="170"/>
      <c r="AB66" s="170"/>
      <c r="AC66" s="170"/>
      <c r="AD66" s="170"/>
    </row>
    <row r="67">
      <c r="N67" s="170"/>
      <c r="O67" s="170"/>
      <c r="P67" s="170"/>
      <c r="Q67" s="170"/>
      <c r="AA67" s="170"/>
      <c r="AB67" s="170"/>
      <c r="AC67" s="170"/>
      <c r="AD67" s="170"/>
    </row>
    <row r="68">
      <c r="N68" s="170"/>
      <c r="O68" s="170"/>
      <c r="P68" s="170"/>
      <c r="Q68" s="170"/>
      <c r="AA68" s="170"/>
      <c r="AB68" s="170"/>
      <c r="AC68" s="170"/>
      <c r="AD68" s="170"/>
    </row>
    <row r="69">
      <c r="N69" s="170"/>
      <c r="O69" s="170"/>
      <c r="P69" s="170"/>
      <c r="Q69" s="170"/>
      <c r="AA69" s="170"/>
      <c r="AB69" s="170"/>
      <c r="AC69" s="170"/>
      <c r="AD69" s="170"/>
    </row>
    <row r="70">
      <c r="N70" s="170"/>
      <c r="O70" s="170"/>
      <c r="P70" s="170"/>
      <c r="Q70" s="170"/>
      <c r="AA70" s="170"/>
      <c r="AB70" s="170"/>
      <c r="AC70" s="170"/>
      <c r="AD70" s="170"/>
    </row>
    <row r="71">
      <c r="N71" s="170"/>
      <c r="O71" s="170"/>
      <c r="P71" s="170"/>
      <c r="Q71" s="170"/>
      <c r="AA71" s="170"/>
      <c r="AB71" s="170"/>
      <c r="AC71" s="170"/>
      <c r="AD71" s="170"/>
    </row>
    <row r="72">
      <c r="N72" s="170"/>
      <c r="O72" s="170"/>
      <c r="P72" s="170"/>
      <c r="Q72" s="170"/>
      <c r="AA72" s="170"/>
      <c r="AB72" s="170"/>
      <c r="AC72" s="170"/>
      <c r="AD72" s="170"/>
    </row>
    <row r="73">
      <c r="N73" s="170"/>
      <c r="O73" s="170"/>
      <c r="P73" s="170"/>
      <c r="Q73" s="170"/>
      <c r="AA73" s="170"/>
      <c r="AB73" s="170"/>
      <c r="AC73" s="170"/>
      <c r="AD73" s="170"/>
    </row>
    <row r="74">
      <c r="N74" s="170"/>
      <c r="O74" s="170"/>
      <c r="P74" s="170"/>
      <c r="Q74" s="170"/>
      <c r="AA74" s="170"/>
      <c r="AB74" s="170"/>
      <c r="AC74" s="170"/>
      <c r="AD74" s="170"/>
    </row>
    <row r="75">
      <c r="N75" s="170"/>
      <c r="O75" s="170"/>
      <c r="P75" s="170"/>
      <c r="Q75" s="170"/>
      <c r="AA75" s="170"/>
      <c r="AB75" s="170"/>
      <c r="AC75" s="170"/>
      <c r="AD75" s="170"/>
    </row>
    <row r="76">
      <c r="N76" s="170"/>
      <c r="O76" s="170"/>
      <c r="P76" s="170"/>
      <c r="Q76" s="170"/>
      <c r="AA76" s="170"/>
      <c r="AB76" s="170"/>
      <c r="AC76" s="170"/>
      <c r="AD76" s="170"/>
    </row>
    <row r="77">
      <c r="N77" s="170"/>
      <c r="O77" s="170"/>
      <c r="P77" s="170"/>
      <c r="Q77" s="170"/>
      <c r="AA77" s="170"/>
      <c r="AB77" s="170"/>
      <c r="AC77" s="170"/>
      <c r="AD77" s="170"/>
    </row>
    <row r="78">
      <c r="N78" s="170"/>
      <c r="O78" s="170"/>
      <c r="P78" s="170"/>
      <c r="Q78" s="170"/>
      <c r="AA78" s="170"/>
      <c r="AB78" s="170"/>
      <c r="AC78" s="170"/>
      <c r="AD78" s="170"/>
    </row>
    <row r="79">
      <c r="N79" s="170"/>
      <c r="O79" s="170"/>
      <c r="P79" s="170"/>
      <c r="Q79" s="170"/>
      <c r="AA79" s="170"/>
      <c r="AB79" s="170"/>
      <c r="AC79" s="170"/>
      <c r="AD79" s="170"/>
    </row>
    <row r="80">
      <c r="N80" s="170"/>
      <c r="O80" s="170"/>
      <c r="P80" s="170"/>
      <c r="Q80" s="170"/>
      <c r="AA80" s="170"/>
      <c r="AB80" s="170"/>
      <c r="AC80" s="170"/>
      <c r="AD80" s="170"/>
    </row>
    <row r="81">
      <c r="N81" s="170"/>
      <c r="O81" s="170"/>
      <c r="P81" s="170"/>
      <c r="Q81" s="170"/>
      <c r="AA81" s="170"/>
      <c r="AB81" s="170"/>
      <c r="AC81" s="170"/>
      <c r="AD81" s="170"/>
    </row>
    <row r="82">
      <c r="N82" s="170"/>
      <c r="O82" s="170"/>
      <c r="P82" s="170"/>
      <c r="Q82" s="170"/>
      <c r="AA82" s="170"/>
      <c r="AB82" s="170"/>
      <c r="AC82" s="170"/>
      <c r="AD82" s="170"/>
    </row>
    <row r="83">
      <c r="N83" s="170"/>
      <c r="O83" s="170"/>
      <c r="P83" s="170"/>
      <c r="Q83" s="170"/>
      <c r="AA83" s="170"/>
      <c r="AB83" s="170"/>
      <c r="AC83" s="170"/>
      <c r="AD83" s="170"/>
    </row>
    <row r="84">
      <c r="N84" s="170"/>
      <c r="O84" s="170"/>
      <c r="P84" s="170"/>
      <c r="Q84" s="170"/>
      <c r="AA84" s="170"/>
      <c r="AB84" s="170"/>
      <c r="AC84" s="170"/>
      <c r="AD84" s="170"/>
    </row>
    <row r="85">
      <c r="N85" s="170"/>
      <c r="O85" s="170"/>
      <c r="P85" s="170"/>
      <c r="Q85" s="170"/>
      <c r="AA85" s="170"/>
      <c r="AB85" s="170"/>
      <c r="AC85" s="170"/>
      <c r="AD85" s="170"/>
    </row>
    <row r="86">
      <c r="N86" s="170"/>
      <c r="O86" s="170"/>
      <c r="P86" s="170"/>
      <c r="Q86" s="170"/>
      <c r="AA86" s="170"/>
      <c r="AB86" s="170"/>
      <c r="AC86" s="170"/>
      <c r="AD86" s="170"/>
    </row>
    <row r="87">
      <c r="N87" s="170"/>
      <c r="O87" s="170"/>
      <c r="P87" s="170"/>
      <c r="Q87" s="170"/>
      <c r="AA87" s="170"/>
      <c r="AB87" s="170"/>
      <c r="AC87" s="170"/>
      <c r="AD87" s="170"/>
    </row>
    <row r="88">
      <c r="N88" s="170"/>
      <c r="O88" s="170"/>
      <c r="P88" s="170"/>
      <c r="Q88" s="170"/>
      <c r="AA88" s="170"/>
      <c r="AB88" s="170"/>
      <c r="AC88" s="170"/>
      <c r="AD88" s="170"/>
    </row>
    <row r="89">
      <c r="N89" s="170"/>
      <c r="O89" s="170"/>
      <c r="P89" s="170"/>
      <c r="Q89" s="170"/>
      <c r="AA89" s="170"/>
      <c r="AB89" s="170"/>
      <c r="AC89" s="170"/>
      <c r="AD89" s="170"/>
    </row>
    <row r="90">
      <c r="N90" s="170"/>
      <c r="O90" s="170"/>
      <c r="P90" s="170"/>
      <c r="Q90" s="170"/>
      <c r="AA90" s="170"/>
      <c r="AB90" s="170"/>
      <c r="AC90" s="170"/>
      <c r="AD90" s="170"/>
    </row>
    <row r="91">
      <c r="N91" s="170"/>
      <c r="O91" s="170"/>
      <c r="P91" s="170"/>
      <c r="Q91" s="170"/>
      <c r="AA91" s="170"/>
      <c r="AB91" s="170"/>
      <c r="AC91" s="170"/>
      <c r="AD91" s="170"/>
    </row>
    <row r="92">
      <c r="N92" s="170"/>
      <c r="O92" s="170"/>
      <c r="P92" s="170"/>
      <c r="Q92" s="170"/>
      <c r="AA92" s="170"/>
      <c r="AB92" s="170"/>
      <c r="AC92" s="170"/>
      <c r="AD92" s="170"/>
    </row>
    <row r="93">
      <c r="N93" s="170"/>
      <c r="O93" s="170"/>
      <c r="P93" s="170"/>
      <c r="Q93" s="170"/>
      <c r="AA93" s="170"/>
      <c r="AB93" s="170"/>
      <c r="AC93" s="170"/>
      <c r="AD93" s="170"/>
    </row>
    <row r="94">
      <c r="N94" s="170"/>
      <c r="O94" s="170"/>
      <c r="P94" s="170"/>
      <c r="Q94" s="170"/>
      <c r="AA94" s="170"/>
      <c r="AB94" s="170"/>
      <c r="AC94" s="170"/>
      <c r="AD94" s="170"/>
    </row>
    <row r="95">
      <c r="N95" s="170"/>
      <c r="O95" s="170"/>
      <c r="P95" s="170"/>
      <c r="Q95" s="170"/>
      <c r="AA95" s="170"/>
      <c r="AB95" s="170"/>
      <c r="AC95" s="170"/>
      <c r="AD95" s="170"/>
    </row>
    <row r="96">
      <c r="N96" s="170"/>
      <c r="O96" s="170"/>
      <c r="P96" s="170"/>
      <c r="Q96" s="170"/>
      <c r="AA96" s="170"/>
      <c r="AB96" s="170"/>
      <c r="AC96" s="170"/>
      <c r="AD96" s="170"/>
    </row>
    <row r="97">
      <c r="N97" s="170"/>
      <c r="O97" s="170"/>
      <c r="P97" s="170"/>
      <c r="Q97" s="170"/>
      <c r="AA97" s="170"/>
      <c r="AB97" s="170"/>
      <c r="AC97" s="170"/>
      <c r="AD97" s="170"/>
    </row>
    <row r="98">
      <c r="N98" s="170"/>
      <c r="O98" s="170"/>
      <c r="P98" s="170"/>
      <c r="Q98" s="170"/>
      <c r="AA98" s="170"/>
      <c r="AB98" s="170"/>
      <c r="AC98" s="170"/>
      <c r="AD98" s="170"/>
    </row>
    <row r="99">
      <c r="N99" s="170"/>
      <c r="O99" s="170"/>
      <c r="P99" s="170"/>
      <c r="Q99" s="170"/>
      <c r="AA99" s="170"/>
      <c r="AB99" s="170"/>
      <c r="AC99" s="170"/>
      <c r="AD99" s="170"/>
    </row>
    <row r="100">
      <c r="N100" s="170"/>
      <c r="O100" s="170"/>
      <c r="P100" s="170"/>
      <c r="Q100" s="170"/>
      <c r="AA100" s="170"/>
      <c r="AB100" s="170"/>
      <c r="AC100" s="170"/>
      <c r="AD100" s="170"/>
    </row>
    <row r="101">
      <c r="N101" s="170"/>
      <c r="O101" s="170"/>
      <c r="P101" s="170"/>
      <c r="Q101" s="170"/>
      <c r="AA101" s="170"/>
      <c r="AB101" s="170"/>
      <c r="AC101" s="170"/>
      <c r="AD101" s="170"/>
    </row>
    <row r="102">
      <c r="N102" s="170"/>
      <c r="O102" s="170"/>
      <c r="P102" s="170"/>
      <c r="Q102" s="170"/>
      <c r="AA102" s="170"/>
      <c r="AB102" s="170"/>
      <c r="AC102" s="170"/>
      <c r="AD102" s="170"/>
    </row>
    <row r="103">
      <c r="N103" s="170"/>
      <c r="O103" s="170"/>
      <c r="P103" s="170"/>
      <c r="Q103" s="170"/>
      <c r="AA103" s="170"/>
      <c r="AB103" s="170"/>
      <c r="AC103" s="170"/>
      <c r="AD103" s="170"/>
    </row>
    <row r="104">
      <c r="N104" s="170"/>
      <c r="O104" s="170"/>
      <c r="P104" s="170"/>
      <c r="Q104" s="170"/>
      <c r="AA104" s="170"/>
      <c r="AB104" s="170"/>
      <c r="AC104" s="170"/>
      <c r="AD104" s="170"/>
    </row>
    <row r="105">
      <c r="N105" s="170"/>
      <c r="O105" s="170"/>
      <c r="P105" s="170"/>
      <c r="Q105" s="170"/>
      <c r="AA105" s="170"/>
      <c r="AB105" s="170"/>
      <c r="AC105" s="170"/>
      <c r="AD105" s="170"/>
    </row>
    <row r="106">
      <c r="N106" s="170"/>
      <c r="O106" s="170"/>
      <c r="P106" s="170"/>
      <c r="Q106" s="170"/>
      <c r="AA106" s="170"/>
      <c r="AB106" s="170"/>
      <c r="AC106" s="170"/>
      <c r="AD106" s="170"/>
    </row>
    <row r="107">
      <c r="N107" s="170"/>
      <c r="O107" s="170"/>
      <c r="P107" s="170"/>
      <c r="Q107" s="170"/>
      <c r="AA107" s="170"/>
      <c r="AB107" s="170"/>
      <c r="AC107" s="170"/>
      <c r="AD107" s="170"/>
    </row>
    <row r="108">
      <c r="N108" s="170"/>
      <c r="O108" s="170"/>
      <c r="P108" s="170"/>
      <c r="Q108" s="170"/>
      <c r="AA108" s="170"/>
      <c r="AB108" s="170"/>
      <c r="AC108" s="170"/>
      <c r="AD108" s="170"/>
    </row>
    <row r="109">
      <c r="N109" s="170"/>
      <c r="O109" s="170"/>
      <c r="P109" s="170"/>
      <c r="Q109" s="170"/>
      <c r="AA109" s="170"/>
      <c r="AB109" s="170"/>
      <c r="AC109" s="170"/>
      <c r="AD109" s="170"/>
    </row>
    <row r="110">
      <c r="N110" s="170"/>
      <c r="O110" s="170"/>
      <c r="P110" s="170"/>
      <c r="Q110" s="170"/>
      <c r="AA110" s="170"/>
      <c r="AB110" s="170"/>
      <c r="AC110" s="170"/>
      <c r="AD110" s="170"/>
    </row>
    <row r="111">
      <c r="N111" s="170"/>
      <c r="O111" s="170"/>
      <c r="P111" s="170"/>
      <c r="Q111" s="170"/>
      <c r="AA111" s="170"/>
      <c r="AB111" s="170"/>
      <c r="AC111" s="170"/>
      <c r="AD111" s="170"/>
    </row>
    <row r="112">
      <c r="N112" s="170"/>
      <c r="O112" s="170"/>
      <c r="P112" s="170"/>
      <c r="Q112" s="170"/>
      <c r="AA112" s="170"/>
      <c r="AB112" s="170"/>
      <c r="AC112" s="170"/>
      <c r="AD112" s="170"/>
    </row>
    <row r="113">
      <c r="N113" s="170"/>
      <c r="O113" s="170"/>
      <c r="P113" s="170"/>
      <c r="Q113" s="170"/>
      <c r="AA113" s="170"/>
      <c r="AB113" s="170"/>
      <c r="AC113" s="170"/>
      <c r="AD113" s="170"/>
    </row>
    <row r="114">
      <c r="N114" s="170"/>
      <c r="O114" s="170"/>
      <c r="P114" s="170"/>
      <c r="Q114" s="170"/>
      <c r="AA114" s="170"/>
      <c r="AB114" s="170"/>
      <c r="AC114" s="170"/>
      <c r="AD114" s="170"/>
    </row>
    <row r="115">
      <c r="N115" s="170"/>
      <c r="O115" s="170"/>
      <c r="P115" s="170"/>
      <c r="Q115" s="170"/>
      <c r="AA115" s="170"/>
      <c r="AB115" s="170"/>
      <c r="AC115" s="170"/>
      <c r="AD115" s="170"/>
    </row>
    <row r="116">
      <c r="N116" s="170"/>
      <c r="O116" s="170"/>
      <c r="P116" s="170"/>
      <c r="Q116" s="170"/>
      <c r="AA116" s="170"/>
      <c r="AB116" s="170"/>
      <c r="AC116" s="170"/>
      <c r="AD116" s="170"/>
    </row>
    <row r="117">
      <c r="N117" s="170"/>
      <c r="O117" s="170"/>
      <c r="P117" s="170"/>
      <c r="Q117" s="170"/>
      <c r="AA117" s="170"/>
      <c r="AB117" s="170"/>
      <c r="AC117" s="170"/>
      <c r="AD117" s="170"/>
    </row>
    <row r="118">
      <c r="N118" s="170"/>
      <c r="O118" s="170"/>
      <c r="P118" s="170"/>
      <c r="Q118" s="170"/>
      <c r="AA118" s="170"/>
      <c r="AB118" s="170"/>
      <c r="AC118" s="170"/>
      <c r="AD118" s="170"/>
    </row>
    <row r="119">
      <c r="N119" s="170"/>
      <c r="O119" s="170"/>
      <c r="P119" s="170"/>
      <c r="Q119" s="170"/>
      <c r="AA119" s="170"/>
      <c r="AB119" s="170"/>
      <c r="AC119" s="170"/>
      <c r="AD119" s="170"/>
    </row>
    <row r="120">
      <c r="N120" s="170"/>
      <c r="O120" s="170"/>
      <c r="P120" s="170"/>
      <c r="Q120" s="170"/>
      <c r="AA120" s="170"/>
      <c r="AB120" s="170"/>
      <c r="AC120" s="170"/>
      <c r="AD120" s="170"/>
    </row>
    <row r="121">
      <c r="N121" s="170"/>
      <c r="O121" s="170"/>
      <c r="P121" s="170"/>
      <c r="Q121" s="170"/>
      <c r="AA121" s="170"/>
      <c r="AB121" s="170"/>
      <c r="AC121" s="170"/>
      <c r="AD121" s="170"/>
    </row>
    <row r="122">
      <c r="N122" s="170"/>
      <c r="O122" s="170"/>
      <c r="P122" s="170"/>
      <c r="Q122" s="170"/>
      <c r="AA122" s="170"/>
      <c r="AB122" s="170"/>
      <c r="AC122" s="170"/>
      <c r="AD122" s="170"/>
    </row>
    <row r="123">
      <c r="N123" s="170"/>
      <c r="O123" s="170"/>
      <c r="P123" s="170"/>
      <c r="Q123" s="170"/>
      <c r="AA123" s="170"/>
      <c r="AB123" s="170"/>
      <c r="AC123" s="170"/>
      <c r="AD123" s="170"/>
    </row>
    <row r="124">
      <c r="N124" s="170"/>
      <c r="O124" s="170"/>
      <c r="P124" s="170"/>
      <c r="Q124" s="170"/>
      <c r="AA124" s="170"/>
      <c r="AB124" s="170"/>
      <c r="AC124" s="170"/>
      <c r="AD124" s="170"/>
    </row>
    <row r="125">
      <c r="N125" s="170"/>
      <c r="O125" s="170"/>
      <c r="P125" s="170"/>
      <c r="Q125" s="170"/>
      <c r="AA125" s="170"/>
      <c r="AB125" s="170"/>
      <c r="AC125" s="170"/>
      <c r="AD125" s="170"/>
    </row>
    <row r="126">
      <c r="N126" s="170"/>
      <c r="O126" s="170"/>
      <c r="P126" s="170"/>
      <c r="Q126" s="170"/>
      <c r="AA126" s="170"/>
      <c r="AB126" s="170"/>
      <c r="AC126" s="170"/>
      <c r="AD126" s="170"/>
    </row>
    <row r="127">
      <c r="N127" s="170"/>
      <c r="O127" s="170"/>
      <c r="P127" s="170"/>
      <c r="Q127" s="170"/>
      <c r="AA127" s="170"/>
      <c r="AB127" s="170"/>
      <c r="AC127" s="170"/>
      <c r="AD127" s="170"/>
    </row>
    <row r="128">
      <c r="N128" s="170"/>
      <c r="O128" s="170"/>
      <c r="P128" s="170"/>
      <c r="Q128" s="170"/>
      <c r="AA128" s="170"/>
      <c r="AB128" s="170"/>
      <c r="AC128" s="170"/>
      <c r="AD128" s="170"/>
    </row>
    <row r="129">
      <c r="N129" s="170"/>
      <c r="O129" s="170"/>
      <c r="P129" s="170"/>
      <c r="Q129" s="170"/>
      <c r="AA129" s="170"/>
      <c r="AB129" s="170"/>
      <c r="AC129" s="170"/>
      <c r="AD129" s="170"/>
    </row>
    <row r="130">
      <c r="N130" s="170"/>
      <c r="O130" s="170"/>
      <c r="P130" s="170"/>
      <c r="Q130" s="170"/>
      <c r="AA130" s="170"/>
      <c r="AB130" s="170"/>
      <c r="AC130" s="170"/>
      <c r="AD130" s="170"/>
    </row>
    <row r="131">
      <c r="N131" s="170"/>
      <c r="O131" s="170"/>
      <c r="P131" s="170"/>
      <c r="Q131" s="170"/>
      <c r="AA131" s="170"/>
      <c r="AB131" s="170"/>
      <c r="AC131" s="170"/>
      <c r="AD131" s="170"/>
    </row>
    <row r="132">
      <c r="N132" s="170"/>
      <c r="O132" s="170"/>
      <c r="P132" s="170"/>
      <c r="Q132" s="170"/>
      <c r="AA132" s="170"/>
      <c r="AB132" s="170"/>
      <c r="AC132" s="170"/>
      <c r="AD132" s="170"/>
    </row>
    <row r="133">
      <c r="N133" s="170"/>
      <c r="O133" s="170"/>
      <c r="P133" s="170"/>
      <c r="Q133" s="170"/>
      <c r="AA133" s="170"/>
      <c r="AB133" s="170"/>
      <c r="AC133" s="170"/>
      <c r="AD133" s="170"/>
    </row>
    <row r="134">
      <c r="N134" s="170"/>
      <c r="O134" s="170"/>
      <c r="P134" s="170"/>
      <c r="Q134" s="170"/>
      <c r="AA134" s="170"/>
      <c r="AB134" s="170"/>
      <c r="AC134" s="170"/>
      <c r="AD134" s="170"/>
    </row>
    <row r="135">
      <c r="N135" s="170"/>
      <c r="O135" s="170"/>
      <c r="P135" s="170"/>
      <c r="Q135" s="170"/>
      <c r="AA135" s="170"/>
      <c r="AB135" s="170"/>
      <c r="AC135" s="170"/>
      <c r="AD135" s="170"/>
    </row>
    <row r="136">
      <c r="N136" s="170"/>
      <c r="O136" s="170"/>
      <c r="P136" s="170"/>
      <c r="Q136" s="170"/>
      <c r="AA136" s="170"/>
      <c r="AB136" s="170"/>
      <c r="AC136" s="170"/>
      <c r="AD136" s="170"/>
    </row>
    <row r="137">
      <c r="N137" s="170"/>
      <c r="O137" s="170"/>
      <c r="P137" s="170"/>
      <c r="Q137" s="170"/>
      <c r="AA137" s="170"/>
      <c r="AB137" s="170"/>
      <c r="AC137" s="170"/>
      <c r="AD137" s="170"/>
    </row>
    <row r="138">
      <c r="N138" s="170"/>
      <c r="O138" s="170"/>
      <c r="P138" s="170"/>
      <c r="Q138" s="170"/>
      <c r="AA138" s="170"/>
      <c r="AB138" s="170"/>
      <c r="AC138" s="170"/>
      <c r="AD138" s="170"/>
    </row>
    <row r="139">
      <c r="N139" s="170"/>
      <c r="O139" s="170"/>
      <c r="P139" s="170"/>
      <c r="Q139" s="170"/>
      <c r="AA139" s="170"/>
      <c r="AB139" s="170"/>
      <c r="AC139" s="170"/>
      <c r="AD139" s="170"/>
    </row>
    <row r="140">
      <c r="N140" s="170"/>
      <c r="O140" s="170"/>
      <c r="P140" s="170"/>
      <c r="Q140" s="170"/>
      <c r="AA140" s="170"/>
      <c r="AB140" s="170"/>
      <c r="AC140" s="170"/>
      <c r="AD140" s="170"/>
    </row>
    <row r="141">
      <c r="N141" s="170"/>
      <c r="O141" s="170"/>
      <c r="P141" s="170"/>
      <c r="Q141" s="170"/>
      <c r="AA141" s="170"/>
      <c r="AB141" s="170"/>
      <c r="AC141" s="170"/>
      <c r="AD141" s="170"/>
    </row>
    <row r="142">
      <c r="N142" s="170"/>
      <c r="O142" s="170"/>
      <c r="P142" s="170"/>
      <c r="Q142" s="170"/>
      <c r="AA142" s="170"/>
      <c r="AB142" s="170"/>
      <c r="AC142" s="170"/>
      <c r="AD142" s="170"/>
    </row>
    <row r="143">
      <c r="N143" s="170"/>
      <c r="O143" s="170"/>
      <c r="P143" s="170"/>
      <c r="Q143" s="170"/>
      <c r="AA143" s="170"/>
      <c r="AB143" s="170"/>
      <c r="AC143" s="170"/>
      <c r="AD143" s="170"/>
    </row>
    <row r="144">
      <c r="N144" s="170"/>
      <c r="O144" s="170"/>
      <c r="P144" s="170"/>
      <c r="Q144" s="170"/>
      <c r="AA144" s="170"/>
      <c r="AB144" s="170"/>
      <c r="AC144" s="170"/>
      <c r="AD144" s="170"/>
    </row>
    <row r="145">
      <c r="N145" s="170"/>
      <c r="O145" s="170"/>
      <c r="P145" s="170"/>
      <c r="Q145" s="170"/>
      <c r="AA145" s="170"/>
      <c r="AB145" s="170"/>
      <c r="AC145" s="170"/>
      <c r="AD145" s="170"/>
    </row>
    <row r="146">
      <c r="N146" s="170"/>
      <c r="O146" s="170"/>
      <c r="P146" s="170"/>
      <c r="Q146" s="170"/>
      <c r="AA146" s="170"/>
      <c r="AB146" s="170"/>
      <c r="AC146" s="170"/>
      <c r="AD146" s="170"/>
    </row>
    <row r="147">
      <c r="N147" s="170"/>
      <c r="O147" s="170"/>
      <c r="P147" s="170"/>
      <c r="Q147" s="170"/>
      <c r="AA147" s="170"/>
      <c r="AB147" s="170"/>
      <c r="AC147" s="170"/>
      <c r="AD147" s="170"/>
    </row>
    <row r="148">
      <c r="N148" s="170"/>
      <c r="O148" s="170"/>
      <c r="P148" s="170"/>
      <c r="Q148" s="170"/>
      <c r="AA148" s="170"/>
      <c r="AB148" s="170"/>
      <c r="AC148" s="170"/>
      <c r="AD148" s="170"/>
    </row>
    <row r="149">
      <c r="N149" s="170"/>
      <c r="O149" s="170"/>
      <c r="P149" s="170"/>
      <c r="Q149" s="170"/>
      <c r="AA149" s="170"/>
      <c r="AB149" s="170"/>
      <c r="AC149" s="170"/>
      <c r="AD149" s="170"/>
    </row>
    <row r="150">
      <c r="N150" s="170"/>
      <c r="O150" s="170"/>
      <c r="P150" s="170"/>
      <c r="Q150" s="170"/>
      <c r="AA150" s="170"/>
      <c r="AB150" s="170"/>
      <c r="AC150" s="170"/>
      <c r="AD150" s="170"/>
    </row>
    <row r="151">
      <c r="N151" s="170"/>
      <c r="O151" s="170"/>
      <c r="P151" s="170"/>
      <c r="Q151" s="170"/>
      <c r="AA151" s="170"/>
      <c r="AB151" s="170"/>
      <c r="AC151" s="170"/>
      <c r="AD151" s="170"/>
    </row>
    <row r="152">
      <c r="N152" s="170"/>
      <c r="O152" s="170"/>
      <c r="P152" s="170"/>
      <c r="Q152" s="170"/>
      <c r="AA152" s="170"/>
      <c r="AB152" s="170"/>
      <c r="AC152" s="170"/>
      <c r="AD152" s="170"/>
    </row>
    <row r="153">
      <c r="N153" s="170"/>
      <c r="O153" s="170"/>
      <c r="P153" s="170"/>
      <c r="Q153" s="170"/>
      <c r="AA153" s="170"/>
      <c r="AB153" s="170"/>
      <c r="AC153" s="170"/>
      <c r="AD153" s="170"/>
    </row>
    <row r="154">
      <c r="N154" s="170"/>
      <c r="O154" s="170"/>
      <c r="P154" s="170"/>
      <c r="Q154" s="170"/>
      <c r="AA154" s="170"/>
      <c r="AB154" s="170"/>
      <c r="AC154" s="170"/>
      <c r="AD154" s="170"/>
    </row>
    <row r="155">
      <c r="N155" s="170"/>
      <c r="O155" s="170"/>
      <c r="P155" s="170"/>
      <c r="Q155" s="170"/>
      <c r="AA155" s="170"/>
      <c r="AB155" s="170"/>
      <c r="AC155" s="170"/>
      <c r="AD155" s="170"/>
    </row>
    <row r="156">
      <c r="N156" s="170"/>
      <c r="O156" s="170"/>
      <c r="P156" s="170"/>
      <c r="Q156" s="170"/>
      <c r="AA156" s="170"/>
      <c r="AB156" s="170"/>
      <c r="AC156" s="170"/>
      <c r="AD156" s="170"/>
    </row>
    <row r="157">
      <c r="N157" s="170"/>
      <c r="O157" s="170"/>
      <c r="P157" s="170"/>
      <c r="Q157" s="170"/>
      <c r="AA157" s="170"/>
      <c r="AB157" s="170"/>
      <c r="AC157" s="170"/>
      <c r="AD157" s="170"/>
    </row>
    <row r="158">
      <c r="N158" s="170"/>
      <c r="O158" s="170"/>
      <c r="P158" s="170"/>
      <c r="Q158" s="170"/>
      <c r="AA158" s="170"/>
      <c r="AB158" s="170"/>
      <c r="AC158" s="170"/>
      <c r="AD158" s="170"/>
    </row>
    <row r="159">
      <c r="N159" s="170"/>
      <c r="O159" s="170"/>
      <c r="P159" s="170"/>
      <c r="Q159" s="170"/>
      <c r="AA159" s="170"/>
      <c r="AB159" s="170"/>
      <c r="AC159" s="170"/>
      <c r="AD159" s="170"/>
    </row>
    <row r="160">
      <c r="N160" s="170"/>
      <c r="O160" s="170"/>
      <c r="P160" s="170"/>
      <c r="Q160" s="170"/>
      <c r="AA160" s="170"/>
      <c r="AB160" s="170"/>
      <c r="AC160" s="170"/>
      <c r="AD160" s="170"/>
    </row>
    <row r="161">
      <c r="N161" s="170"/>
      <c r="O161" s="170"/>
      <c r="P161" s="170"/>
      <c r="Q161" s="170"/>
      <c r="AA161" s="170"/>
      <c r="AB161" s="170"/>
      <c r="AC161" s="170"/>
      <c r="AD161" s="170"/>
    </row>
    <row r="162">
      <c r="N162" s="170"/>
      <c r="O162" s="170"/>
      <c r="P162" s="170"/>
      <c r="Q162" s="170"/>
      <c r="AA162" s="170"/>
      <c r="AB162" s="170"/>
      <c r="AC162" s="170"/>
      <c r="AD162" s="170"/>
    </row>
    <row r="163">
      <c r="N163" s="170"/>
      <c r="O163" s="170"/>
      <c r="P163" s="170"/>
      <c r="Q163" s="170"/>
      <c r="AA163" s="170"/>
      <c r="AB163" s="170"/>
      <c r="AC163" s="170"/>
      <c r="AD163" s="170"/>
    </row>
    <row r="164">
      <c r="N164" s="170"/>
      <c r="O164" s="170"/>
      <c r="P164" s="170"/>
      <c r="Q164" s="170"/>
      <c r="AA164" s="170"/>
      <c r="AB164" s="170"/>
      <c r="AC164" s="170"/>
      <c r="AD164" s="170"/>
    </row>
    <row r="165">
      <c r="N165" s="170"/>
      <c r="O165" s="170"/>
      <c r="P165" s="170"/>
      <c r="Q165" s="170"/>
      <c r="AA165" s="170"/>
      <c r="AB165" s="170"/>
      <c r="AC165" s="170"/>
      <c r="AD165" s="170"/>
    </row>
    <row r="166">
      <c r="N166" s="170"/>
      <c r="O166" s="170"/>
      <c r="P166" s="170"/>
      <c r="Q166" s="170"/>
      <c r="AA166" s="170"/>
      <c r="AB166" s="170"/>
      <c r="AC166" s="170"/>
      <c r="AD166" s="170"/>
    </row>
    <row r="167">
      <c r="N167" s="170"/>
      <c r="O167" s="170"/>
      <c r="P167" s="170"/>
      <c r="Q167" s="170"/>
      <c r="AA167" s="170"/>
      <c r="AB167" s="170"/>
      <c r="AC167" s="170"/>
      <c r="AD167" s="170"/>
    </row>
    <row r="168">
      <c r="N168" s="170"/>
      <c r="O168" s="170"/>
      <c r="P168" s="170"/>
      <c r="Q168" s="170"/>
      <c r="AA168" s="170"/>
      <c r="AB168" s="170"/>
      <c r="AC168" s="170"/>
      <c r="AD168" s="170"/>
    </row>
    <row r="169">
      <c r="N169" s="170"/>
      <c r="O169" s="170"/>
      <c r="P169" s="170"/>
      <c r="Q169" s="170"/>
      <c r="AA169" s="170"/>
      <c r="AB169" s="170"/>
      <c r="AC169" s="170"/>
      <c r="AD169" s="170"/>
    </row>
    <row r="170">
      <c r="N170" s="170"/>
      <c r="O170" s="170"/>
      <c r="P170" s="170"/>
      <c r="Q170" s="170"/>
      <c r="AA170" s="170"/>
      <c r="AB170" s="170"/>
      <c r="AC170" s="170"/>
      <c r="AD170" s="170"/>
    </row>
    <row r="171">
      <c r="N171" s="170"/>
      <c r="O171" s="170"/>
      <c r="P171" s="170"/>
      <c r="Q171" s="170"/>
      <c r="AA171" s="170"/>
      <c r="AB171" s="170"/>
      <c r="AC171" s="170"/>
      <c r="AD171" s="170"/>
    </row>
    <row r="172">
      <c r="N172" s="170"/>
      <c r="O172" s="170"/>
      <c r="P172" s="170"/>
      <c r="Q172" s="170"/>
      <c r="AA172" s="170"/>
      <c r="AB172" s="170"/>
      <c r="AC172" s="170"/>
      <c r="AD172" s="170"/>
    </row>
    <row r="173">
      <c r="N173" s="170"/>
      <c r="O173" s="170"/>
      <c r="P173" s="170"/>
      <c r="Q173" s="170"/>
      <c r="AA173" s="170"/>
      <c r="AB173" s="170"/>
      <c r="AC173" s="170"/>
      <c r="AD173" s="170"/>
    </row>
    <row r="174">
      <c r="N174" s="170"/>
      <c r="O174" s="170"/>
      <c r="P174" s="170"/>
      <c r="Q174" s="170"/>
      <c r="AA174" s="170"/>
      <c r="AB174" s="170"/>
      <c r="AC174" s="170"/>
      <c r="AD174" s="170"/>
    </row>
    <row r="175">
      <c r="N175" s="170"/>
      <c r="O175" s="170"/>
      <c r="P175" s="170"/>
      <c r="Q175" s="170"/>
      <c r="AA175" s="170"/>
      <c r="AB175" s="170"/>
      <c r="AC175" s="170"/>
      <c r="AD175" s="170"/>
    </row>
    <row r="176">
      <c r="N176" s="170"/>
      <c r="O176" s="170"/>
      <c r="P176" s="170"/>
      <c r="Q176" s="170"/>
      <c r="AA176" s="170"/>
      <c r="AB176" s="170"/>
      <c r="AC176" s="170"/>
      <c r="AD176" s="170"/>
    </row>
    <row r="177">
      <c r="N177" s="170"/>
      <c r="O177" s="170"/>
      <c r="P177" s="170"/>
      <c r="Q177" s="170"/>
      <c r="AA177" s="170"/>
      <c r="AB177" s="170"/>
      <c r="AC177" s="170"/>
      <c r="AD177" s="170"/>
    </row>
    <row r="178">
      <c r="N178" s="170"/>
      <c r="O178" s="170"/>
      <c r="P178" s="170"/>
      <c r="Q178" s="170"/>
      <c r="AA178" s="170"/>
      <c r="AB178" s="170"/>
      <c r="AC178" s="170"/>
      <c r="AD178" s="170"/>
    </row>
    <row r="179">
      <c r="N179" s="170"/>
      <c r="O179" s="170"/>
      <c r="P179" s="170"/>
      <c r="Q179" s="170"/>
      <c r="AA179" s="170"/>
      <c r="AB179" s="170"/>
      <c r="AC179" s="170"/>
      <c r="AD179" s="170"/>
    </row>
    <row r="180">
      <c r="N180" s="170"/>
      <c r="O180" s="170"/>
      <c r="P180" s="170"/>
      <c r="Q180" s="170"/>
      <c r="AA180" s="170"/>
      <c r="AB180" s="170"/>
      <c r="AC180" s="170"/>
      <c r="AD180" s="170"/>
    </row>
    <row r="181">
      <c r="N181" s="170"/>
      <c r="O181" s="170"/>
      <c r="P181" s="170"/>
      <c r="Q181" s="170"/>
      <c r="AA181" s="170"/>
      <c r="AB181" s="170"/>
      <c r="AC181" s="170"/>
      <c r="AD181" s="170"/>
    </row>
    <row r="182">
      <c r="N182" s="170"/>
      <c r="O182" s="170"/>
      <c r="P182" s="170"/>
      <c r="Q182" s="170"/>
      <c r="AA182" s="170"/>
      <c r="AB182" s="170"/>
      <c r="AC182" s="170"/>
      <c r="AD182" s="170"/>
    </row>
    <row r="183">
      <c r="N183" s="170"/>
      <c r="O183" s="170"/>
      <c r="P183" s="170"/>
      <c r="Q183" s="170"/>
      <c r="AA183" s="170"/>
      <c r="AB183" s="170"/>
      <c r="AC183" s="170"/>
      <c r="AD183" s="170"/>
    </row>
    <row r="184">
      <c r="N184" s="170"/>
      <c r="O184" s="170"/>
      <c r="P184" s="170"/>
      <c r="Q184" s="170"/>
      <c r="AA184" s="170"/>
      <c r="AB184" s="170"/>
      <c r="AC184" s="170"/>
      <c r="AD184" s="170"/>
    </row>
    <row r="185">
      <c r="N185" s="170"/>
      <c r="O185" s="170"/>
      <c r="P185" s="170"/>
      <c r="Q185" s="170"/>
      <c r="AA185" s="170"/>
      <c r="AB185" s="170"/>
      <c r="AC185" s="170"/>
      <c r="AD185" s="170"/>
    </row>
    <row r="186">
      <c r="N186" s="170"/>
      <c r="O186" s="170"/>
      <c r="P186" s="170"/>
      <c r="Q186" s="170"/>
      <c r="AA186" s="170"/>
      <c r="AB186" s="170"/>
      <c r="AC186" s="170"/>
      <c r="AD186" s="170"/>
    </row>
    <row r="187">
      <c r="N187" s="170"/>
      <c r="O187" s="170"/>
      <c r="P187" s="170"/>
      <c r="Q187" s="170"/>
      <c r="AA187" s="170"/>
      <c r="AB187" s="170"/>
      <c r="AC187" s="170"/>
      <c r="AD187" s="170"/>
    </row>
    <row r="188">
      <c r="N188" s="170"/>
      <c r="O188" s="170"/>
      <c r="P188" s="170"/>
      <c r="Q188" s="170"/>
      <c r="AA188" s="170"/>
      <c r="AB188" s="170"/>
      <c r="AC188" s="170"/>
      <c r="AD188" s="170"/>
    </row>
    <row r="189">
      <c r="N189" s="170"/>
      <c r="O189" s="170"/>
      <c r="P189" s="170"/>
      <c r="Q189" s="170"/>
      <c r="AA189" s="170"/>
      <c r="AB189" s="170"/>
      <c r="AC189" s="170"/>
      <c r="AD189" s="170"/>
    </row>
    <row r="190">
      <c r="N190" s="170"/>
      <c r="O190" s="170"/>
      <c r="P190" s="170"/>
      <c r="Q190" s="170"/>
      <c r="AA190" s="170"/>
      <c r="AB190" s="170"/>
      <c r="AC190" s="170"/>
      <c r="AD190" s="170"/>
    </row>
    <row r="191">
      <c r="N191" s="170"/>
      <c r="O191" s="170"/>
      <c r="P191" s="170"/>
      <c r="Q191" s="170"/>
      <c r="AA191" s="170"/>
      <c r="AB191" s="170"/>
      <c r="AC191" s="170"/>
      <c r="AD191" s="170"/>
    </row>
    <row r="192">
      <c r="N192" s="170"/>
      <c r="O192" s="170"/>
      <c r="P192" s="170"/>
      <c r="Q192" s="170"/>
      <c r="AA192" s="170"/>
      <c r="AB192" s="170"/>
      <c r="AC192" s="170"/>
      <c r="AD192" s="170"/>
    </row>
    <row r="193">
      <c r="N193" s="170"/>
      <c r="O193" s="170"/>
      <c r="P193" s="170"/>
      <c r="Q193" s="170"/>
      <c r="AA193" s="170"/>
      <c r="AB193" s="170"/>
      <c r="AC193" s="170"/>
      <c r="AD193" s="170"/>
    </row>
    <row r="194">
      <c r="N194" s="170"/>
      <c r="O194" s="170"/>
      <c r="P194" s="170"/>
      <c r="Q194" s="170"/>
      <c r="AA194" s="170"/>
      <c r="AB194" s="170"/>
      <c r="AC194" s="170"/>
      <c r="AD194" s="170"/>
    </row>
    <row r="195">
      <c r="N195" s="170"/>
      <c r="O195" s="170"/>
      <c r="P195" s="170"/>
      <c r="Q195" s="170"/>
      <c r="AA195" s="170"/>
      <c r="AB195" s="170"/>
      <c r="AC195" s="170"/>
      <c r="AD195" s="170"/>
    </row>
    <row r="196">
      <c r="N196" s="170"/>
      <c r="O196" s="170"/>
      <c r="P196" s="170"/>
      <c r="Q196" s="170"/>
      <c r="AA196" s="170"/>
      <c r="AB196" s="170"/>
      <c r="AC196" s="170"/>
      <c r="AD196" s="170"/>
    </row>
    <row r="197">
      <c r="N197" s="170"/>
      <c r="O197" s="170"/>
      <c r="P197" s="170"/>
      <c r="Q197" s="170"/>
      <c r="AA197" s="170"/>
      <c r="AB197" s="170"/>
      <c r="AC197" s="170"/>
      <c r="AD197" s="170"/>
    </row>
    <row r="198">
      <c r="N198" s="170"/>
      <c r="O198" s="170"/>
      <c r="P198" s="170"/>
      <c r="Q198" s="170"/>
      <c r="AA198" s="170"/>
      <c r="AB198" s="170"/>
      <c r="AC198" s="170"/>
      <c r="AD198" s="170"/>
    </row>
    <row r="199">
      <c r="N199" s="170"/>
      <c r="O199" s="170"/>
      <c r="P199" s="170"/>
      <c r="Q199" s="170"/>
      <c r="AA199" s="170"/>
      <c r="AB199" s="170"/>
      <c r="AC199" s="170"/>
      <c r="AD199" s="170"/>
    </row>
    <row r="200">
      <c r="N200" s="170"/>
      <c r="O200" s="170"/>
      <c r="P200" s="170"/>
      <c r="Q200" s="170"/>
      <c r="AA200" s="170"/>
      <c r="AB200" s="170"/>
      <c r="AC200" s="170"/>
      <c r="AD200" s="170"/>
    </row>
    <row r="201">
      <c r="N201" s="170"/>
      <c r="O201" s="170"/>
      <c r="P201" s="170"/>
      <c r="Q201" s="170"/>
      <c r="AA201" s="170"/>
      <c r="AB201" s="170"/>
      <c r="AC201" s="170"/>
      <c r="AD201" s="170"/>
    </row>
    <row r="202">
      <c r="N202" s="170"/>
      <c r="O202" s="170"/>
      <c r="P202" s="170"/>
      <c r="Q202" s="170"/>
      <c r="AA202" s="170"/>
      <c r="AB202" s="170"/>
      <c r="AC202" s="170"/>
      <c r="AD202" s="170"/>
    </row>
    <row r="203">
      <c r="N203" s="170"/>
      <c r="O203" s="170"/>
      <c r="P203" s="170"/>
      <c r="Q203" s="170"/>
      <c r="AA203" s="170"/>
      <c r="AB203" s="170"/>
      <c r="AC203" s="170"/>
      <c r="AD203" s="170"/>
    </row>
    <row r="204">
      <c r="N204" s="170"/>
      <c r="O204" s="170"/>
      <c r="P204" s="170"/>
      <c r="Q204" s="170"/>
      <c r="AA204" s="170"/>
      <c r="AB204" s="170"/>
      <c r="AC204" s="170"/>
      <c r="AD204" s="170"/>
    </row>
    <row r="205">
      <c r="N205" s="170"/>
      <c r="O205" s="170"/>
      <c r="P205" s="170"/>
      <c r="Q205" s="170"/>
      <c r="AA205" s="170"/>
      <c r="AB205" s="170"/>
      <c r="AC205" s="170"/>
      <c r="AD205" s="170"/>
    </row>
    <row r="206">
      <c r="N206" s="170"/>
      <c r="O206" s="170"/>
      <c r="P206" s="170"/>
      <c r="Q206" s="170"/>
      <c r="AA206" s="170"/>
      <c r="AB206" s="170"/>
      <c r="AC206" s="170"/>
      <c r="AD206" s="170"/>
    </row>
    <row r="207">
      <c r="N207" s="170"/>
      <c r="O207" s="170"/>
      <c r="P207" s="170"/>
      <c r="Q207" s="170"/>
      <c r="AA207" s="170"/>
      <c r="AB207" s="170"/>
      <c r="AC207" s="170"/>
      <c r="AD207" s="170"/>
    </row>
    <row r="208">
      <c r="N208" s="170"/>
      <c r="O208" s="170"/>
      <c r="P208" s="170"/>
      <c r="Q208" s="170"/>
      <c r="AA208" s="170"/>
      <c r="AB208" s="170"/>
      <c r="AC208" s="170"/>
      <c r="AD208" s="170"/>
    </row>
    <row r="209">
      <c r="N209" s="170"/>
      <c r="O209" s="170"/>
      <c r="P209" s="170"/>
      <c r="Q209" s="170"/>
      <c r="AA209" s="170"/>
      <c r="AB209" s="170"/>
      <c r="AC209" s="170"/>
      <c r="AD209" s="170"/>
    </row>
    <row r="210">
      <c r="N210" s="170"/>
      <c r="O210" s="170"/>
      <c r="P210" s="170"/>
      <c r="Q210" s="170"/>
      <c r="AA210" s="170"/>
      <c r="AB210" s="170"/>
      <c r="AC210" s="170"/>
      <c r="AD210" s="170"/>
    </row>
    <row r="211">
      <c r="N211" s="170"/>
      <c r="O211" s="170"/>
      <c r="P211" s="170"/>
      <c r="Q211" s="170"/>
      <c r="AA211" s="170"/>
      <c r="AB211" s="170"/>
      <c r="AC211" s="170"/>
      <c r="AD211" s="170"/>
    </row>
    <row r="212">
      <c r="N212" s="170"/>
      <c r="O212" s="170"/>
      <c r="P212" s="170"/>
      <c r="Q212" s="170"/>
      <c r="AA212" s="170"/>
      <c r="AB212" s="170"/>
      <c r="AC212" s="170"/>
      <c r="AD212" s="170"/>
    </row>
    <row r="213">
      <c r="N213" s="170"/>
      <c r="O213" s="170"/>
      <c r="P213" s="170"/>
      <c r="Q213" s="170"/>
      <c r="AA213" s="170"/>
      <c r="AB213" s="170"/>
      <c r="AC213" s="170"/>
      <c r="AD213" s="170"/>
    </row>
    <row r="214">
      <c r="N214" s="170"/>
      <c r="O214" s="170"/>
      <c r="P214" s="170"/>
      <c r="Q214" s="170"/>
      <c r="AA214" s="170"/>
      <c r="AB214" s="170"/>
      <c r="AC214" s="170"/>
      <c r="AD214" s="170"/>
    </row>
    <row r="215">
      <c r="N215" s="170"/>
      <c r="O215" s="170"/>
      <c r="P215" s="170"/>
      <c r="Q215" s="170"/>
      <c r="AA215" s="170"/>
      <c r="AB215" s="170"/>
      <c r="AC215" s="170"/>
      <c r="AD215" s="170"/>
    </row>
    <row r="216">
      <c r="N216" s="170"/>
      <c r="O216" s="170"/>
      <c r="P216" s="170"/>
      <c r="Q216" s="170"/>
      <c r="AA216" s="170"/>
      <c r="AB216" s="170"/>
      <c r="AC216" s="170"/>
      <c r="AD216" s="170"/>
    </row>
    <row r="217">
      <c r="N217" s="170"/>
      <c r="O217" s="170"/>
      <c r="P217" s="170"/>
      <c r="Q217" s="170"/>
      <c r="AA217" s="170"/>
      <c r="AB217" s="170"/>
      <c r="AC217" s="170"/>
      <c r="AD217" s="170"/>
    </row>
    <row r="218">
      <c r="N218" s="170"/>
      <c r="O218" s="170"/>
      <c r="P218" s="170"/>
      <c r="Q218" s="170"/>
      <c r="AA218" s="170"/>
      <c r="AB218" s="170"/>
      <c r="AC218" s="170"/>
      <c r="AD218" s="170"/>
    </row>
    <row r="219">
      <c r="N219" s="170"/>
      <c r="O219" s="170"/>
      <c r="P219" s="170"/>
      <c r="Q219" s="170"/>
      <c r="AA219" s="170"/>
      <c r="AB219" s="170"/>
      <c r="AC219" s="170"/>
      <c r="AD219" s="170"/>
    </row>
    <row r="220">
      <c r="N220" s="170"/>
      <c r="O220" s="170"/>
      <c r="P220" s="170"/>
      <c r="Q220" s="170"/>
      <c r="AA220" s="170"/>
      <c r="AB220" s="170"/>
      <c r="AC220" s="170"/>
      <c r="AD220" s="170"/>
    </row>
    <row r="221">
      <c r="N221" s="170"/>
      <c r="O221" s="170"/>
      <c r="P221" s="170"/>
      <c r="Q221" s="170"/>
      <c r="AA221" s="170"/>
      <c r="AB221" s="170"/>
      <c r="AC221" s="170"/>
      <c r="AD221" s="170"/>
    </row>
    <row r="222">
      <c r="N222" s="170"/>
      <c r="O222" s="170"/>
      <c r="P222" s="170"/>
      <c r="Q222" s="170"/>
      <c r="AA222" s="170"/>
      <c r="AB222" s="170"/>
      <c r="AC222" s="170"/>
      <c r="AD222" s="170"/>
    </row>
    <row r="223">
      <c r="N223" s="170"/>
      <c r="O223" s="170"/>
      <c r="P223" s="170"/>
      <c r="Q223" s="170"/>
      <c r="AA223" s="170"/>
      <c r="AB223" s="170"/>
      <c r="AC223" s="170"/>
      <c r="AD223" s="170"/>
    </row>
    <row r="224">
      <c r="N224" s="170"/>
      <c r="O224" s="170"/>
      <c r="P224" s="170"/>
      <c r="Q224" s="170"/>
      <c r="AA224" s="170"/>
      <c r="AB224" s="170"/>
      <c r="AC224" s="170"/>
      <c r="AD224" s="170"/>
    </row>
    <row r="225">
      <c r="N225" s="170"/>
      <c r="O225" s="170"/>
      <c r="P225" s="170"/>
      <c r="Q225" s="170"/>
      <c r="AA225" s="170"/>
      <c r="AB225" s="170"/>
      <c r="AC225" s="170"/>
      <c r="AD225" s="170"/>
    </row>
    <row r="226">
      <c r="N226" s="170"/>
      <c r="O226" s="170"/>
      <c r="P226" s="170"/>
      <c r="Q226" s="170"/>
      <c r="AA226" s="170"/>
      <c r="AB226" s="170"/>
      <c r="AC226" s="170"/>
      <c r="AD226" s="170"/>
    </row>
    <row r="227">
      <c r="N227" s="170"/>
      <c r="O227" s="170"/>
      <c r="P227" s="170"/>
      <c r="Q227" s="170"/>
      <c r="AA227" s="170"/>
      <c r="AB227" s="170"/>
      <c r="AC227" s="170"/>
      <c r="AD227" s="170"/>
    </row>
    <row r="228">
      <c r="N228" s="170"/>
      <c r="O228" s="170"/>
      <c r="P228" s="170"/>
      <c r="Q228" s="170"/>
      <c r="AA228" s="170"/>
      <c r="AB228" s="170"/>
      <c r="AC228" s="170"/>
      <c r="AD228" s="170"/>
    </row>
    <row r="229">
      <c r="N229" s="170"/>
      <c r="O229" s="170"/>
      <c r="P229" s="170"/>
      <c r="Q229" s="170"/>
      <c r="AA229" s="170"/>
      <c r="AB229" s="170"/>
      <c r="AC229" s="170"/>
      <c r="AD229" s="170"/>
    </row>
    <row r="230">
      <c r="N230" s="170"/>
      <c r="O230" s="170"/>
      <c r="P230" s="170"/>
      <c r="Q230" s="170"/>
      <c r="AA230" s="170"/>
      <c r="AB230" s="170"/>
      <c r="AC230" s="170"/>
      <c r="AD230" s="170"/>
    </row>
    <row r="231">
      <c r="N231" s="170"/>
      <c r="O231" s="170"/>
      <c r="P231" s="170"/>
      <c r="Q231" s="170"/>
      <c r="AA231" s="170"/>
      <c r="AB231" s="170"/>
      <c r="AC231" s="170"/>
      <c r="AD231" s="170"/>
    </row>
    <row r="232">
      <c r="N232" s="170"/>
      <c r="O232" s="170"/>
      <c r="P232" s="170"/>
      <c r="Q232" s="170"/>
      <c r="AA232" s="170"/>
      <c r="AB232" s="170"/>
      <c r="AC232" s="170"/>
      <c r="AD232" s="170"/>
    </row>
    <row r="233">
      <c r="N233" s="170"/>
      <c r="O233" s="170"/>
      <c r="P233" s="170"/>
      <c r="Q233" s="170"/>
      <c r="AA233" s="170"/>
      <c r="AB233" s="170"/>
      <c r="AC233" s="170"/>
      <c r="AD233" s="170"/>
    </row>
    <row r="234">
      <c r="N234" s="170"/>
      <c r="O234" s="170"/>
      <c r="P234" s="170"/>
      <c r="Q234" s="170"/>
      <c r="AA234" s="170"/>
      <c r="AB234" s="170"/>
      <c r="AC234" s="170"/>
      <c r="AD234" s="170"/>
    </row>
    <row r="235">
      <c r="N235" s="170"/>
      <c r="O235" s="170"/>
      <c r="P235" s="170"/>
      <c r="Q235" s="170"/>
      <c r="AA235" s="170"/>
      <c r="AB235" s="170"/>
      <c r="AC235" s="170"/>
      <c r="AD235" s="170"/>
    </row>
    <row r="236">
      <c r="N236" s="170"/>
      <c r="O236" s="170"/>
      <c r="P236" s="170"/>
      <c r="Q236" s="170"/>
      <c r="AA236" s="170"/>
      <c r="AB236" s="170"/>
      <c r="AC236" s="170"/>
      <c r="AD236" s="170"/>
    </row>
    <row r="237">
      <c r="N237" s="170"/>
      <c r="O237" s="170"/>
      <c r="P237" s="170"/>
      <c r="Q237" s="170"/>
      <c r="AA237" s="170"/>
      <c r="AB237" s="170"/>
      <c r="AC237" s="170"/>
      <c r="AD237" s="170"/>
    </row>
    <row r="238">
      <c r="N238" s="170"/>
      <c r="O238" s="170"/>
      <c r="P238" s="170"/>
      <c r="Q238" s="170"/>
      <c r="AA238" s="170"/>
      <c r="AB238" s="170"/>
      <c r="AC238" s="170"/>
      <c r="AD238" s="170"/>
    </row>
    <row r="239">
      <c r="N239" s="170"/>
      <c r="O239" s="170"/>
      <c r="P239" s="170"/>
      <c r="Q239" s="170"/>
      <c r="AA239" s="170"/>
      <c r="AB239" s="170"/>
      <c r="AC239" s="170"/>
      <c r="AD239" s="170"/>
    </row>
    <row r="240">
      <c r="N240" s="170"/>
      <c r="O240" s="170"/>
      <c r="P240" s="170"/>
      <c r="Q240" s="170"/>
      <c r="AA240" s="170"/>
      <c r="AB240" s="170"/>
      <c r="AC240" s="170"/>
      <c r="AD240" s="170"/>
    </row>
    <row r="241">
      <c r="N241" s="170"/>
      <c r="O241" s="170"/>
      <c r="P241" s="170"/>
      <c r="Q241" s="170"/>
      <c r="AA241" s="170"/>
      <c r="AB241" s="170"/>
      <c r="AC241" s="170"/>
      <c r="AD241" s="170"/>
    </row>
    <row r="242">
      <c r="N242" s="170"/>
      <c r="O242" s="170"/>
      <c r="P242" s="170"/>
      <c r="Q242" s="170"/>
      <c r="AA242" s="170"/>
      <c r="AB242" s="170"/>
      <c r="AC242" s="170"/>
      <c r="AD242" s="170"/>
    </row>
    <row r="243">
      <c r="N243" s="170"/>
      <c r="O243" s="170"/>
      <c r="P243" s="170"/>
      <c r="Q243" s="170"/>
      <c r="AA243" s="170"/>
      <c r="AB243" s="170"/>
      <c r="AC243" s="170"/>
      <c r="AD243" s="170"/>
    </row>
    <row r="244">
      <c r="N244" s="170"/>
      <c r="O244" s="170"/>
      <c r="P244" s="170"/>
      <c r="Q244" s="170"/>
      <c r="AA244" s="170"/>
      <c r="AB244" s="170"/>
      <c r="AC244" s="170"/>
      <c r="AD244" s="170"/>
    </row>
    <row r="245">
      <c r="N245" s="170"/>
      <c r="O245" s="170"/>
      <c r="P245" s="170"/>
      <c r="Q245" s="170"/>
      <c r="AA245" s="170"/>
      <c r="AB245" s="170"/>
      <c r="AC245" s="170"/>
      <c r="AD245" s="170"/>
    </row>
    <row r="246">
      <c r="N246" s="170"/>
      <c r="O246" s="170"/>
      <c r="P246" s="170"/>
      <c r="Q246" s="170"/>
      <c r="AA246" s="170"/>
      <c r="AB246" s="170"/>
      <c r="AC246" s="170"/>
      <c r="AD246" s="170"/>
    </row>
    <row r="247">
      <c r="N247" s="170"/>
      <c r="O247" s="170"/>
      <c r="P247" s="170"/>
      <c r="Q247" s="170"/>
      <c r="AA247" s="170"/>
      <c r="AB247" s="170"/>
      <c r="AC247" s="170"/>
      <c r="AD247" s="170"/>
    </row>
    <row r="248">
      <c r="N248" s="170"/>
      <c r="O248" s="170"/>
      <c r="P248" s="170"/>
      <c r="Q248" s="170"/>
      <c r="AA248" s="170"/>
      <c r="AB248" s="170"/>
      <c r="AC248" s="170"/>
      <c r="AD248" s="170"/>
    </row>
    <row r="249">
      <c r="N249" s="170"/>
      <c r="O249" s="170"/>
      <c r="P249" s="170"/>
      <c r="Q249" s="170"/>
      <c r="AA249" s="170"/>
      <c r="AB249" s="170"/>
      <c r="AC249" s="170"/>
      <c r="AD249" s="170"/>
    </row>
    <row r="250">
      <c r="N250" s="170"/>
      <c r="O250" s="170"/>
      <c r="P250" s="170"/>
      <c r="Q250" s="170"/>
      <c r="AA250" s="170"/>
      <c r="AB250" s="170"/>
      <c r="AC250" s="170"/>
      <c r="AD250" s="170"/>
    </row>
    <row r="251">
      <c r="N251" s="170"/>
      <c r="O251" s="170"/>
      <c r="P251" s="170"/>
      <c r="Q251" s="170"/>
      <c r="AA251" s="170"/>
      <c r="AB251" s="170"/>
      <c r="AC251" s="170"/>
      <c r="AD251" s="170"/>
    </row>
    <row r="252">
      <c r="N252" s="170"/>
      <c r="O252" s="170"/>
      <c r="P252" s="170"/>
      <c r="Q252" s="170"/>
      <c r="AA252" s="170"/>
      <c r="AB252" s="170"/>
      <c r="AC252" s="170"/>
      <c r="AD252" s="170"/>
    </row>
    <row r="253">
      <c r="N253" s="170"/>
      <c r="O253" s="170"/>
      <c r="P253" s="170"/>
      <c r="Q253" s="170"/>
      <c r="AA253" s="170"/>
      <c r="AB253" s="170"/>
      <c r="AC253" s="170"/>
      <c r="AD253" s="170"/>
    </row>
    <row r="254">
      <c r="N254" s="170"/>
      <c r="O254" s="170"/>
      <c r="P254" s="170"/>
      <c r="Q254" s="170"/>
      <c r="AA254" s="170"/>
      <c r="AB254" s="170"/>
      <c r="AC254" s="170"/>
      <c r="AD254" s="170"/>
    </row>
    <row r="255">
      <c r="N255" s="170"/>
      <c r="O255" s="170"/>
      <c r="P255" s="170"/>
      <c r="Q255" s="170"/>
      <c r="AA255" s="170"/>
      <c r="AB255" s="170"/>
      <c r="AC255" s="170"/>
      <c r="AD255" s="170"/>
    </row>
    <row r="256">
      <c r="N256" s="170"/>
      <c r="O256" s="170"/>
      <c r="P256" s="170"/>
      <c r="Q256" s="170"/>
      <c r="AA256" s="170"/>
      <c r="AB256" s="170"/>
      <c r="AC256" s="170"/>
      <c r="AD256" s="170"/>
    </row>
    <row r="257">
      <c r="N257" s="170"/>
      <c r="O257" s="170"/>
      <c r="P257" s="170"/>
      <c r="Q257" s="170"/>
      <c r="AA257" s="170"/>
      <c r="AB257" s="170"/>
      <c r="AC257" s="170"/>
      <c r="AD257" s="170"/>
    </row>
    <row r="258">
      <c r="N258" s="170"/>
      <c r="O258" s="170"/>
      <c r="P258" s="170"/>
      <c r="Q258" s="170"/>
      <c r="AA258" s="170"/>
      <c r="AB258" s="170"/>
      <c r="AC258" s="170"/>
      <c r="AD258" s="170"/>
    </row>
    <row r="259">
      <c r="N259" s="170"/>
      <c r="O259" s="170"/>
      <c r="P259" s="170"/>
      <c r="Q259" s="170"/>
      <c r="AA259" s="170"/>
      <c r="AB259" s="170"/>
      <c r="AC259" s="170"/>
      <c r="AD259" s="170"/>
    </row>
    <row r="260">
      <c r="N260" s="170"/>
      <c r="O260" s="170"/>
      <c r="P260" s="170"/>
      <c r="Q260" s="170"/>
      <c r="AA260" s="170"/>
      <c r="AB260" s="170"/>
      <c r="AC260" s="170"/>
      <c r="AD260" s="170"/>
    </row>
    <row r="261">
      <c r="N261" s="170"/>
      <c r="O261" s="170"/>
      <c r="P261" s="170"/>
      <c r="Q261" s="170"/>
      <c r="AA261" s="170"/>
      <c r="AB261" s="170"/>
      <c r="AC261" s="170"/>
      <c r="AD261" s="170"/>
    </row>
    <row r="262">
      <c r="N262" s="170"/>
      <c r="O262" s="170"/>
      <c r="P262" s="170"/>
      <c r="Q262" s="170"/>
      <c r="AA262" s="170"/>
      <c r="AB262" s="170"/>
      <c r="AC262" s="170"/>
      <c r="AD262" s="170"/>
    </row>
    <row r="263">
      <c r="N263" s="170"/>
      <c r="O263" s="170"/>
      <c r="P263" s="170"/>
      <c r="Q263" s="170"/>
      <c r="AA263" s="170"/>
      <c r="AB263" s="170"/>
      <c r="AC263" s="170"/>
      <c r="AD263" s="170"/>
    </row>
    <row r="264">
      <c r="N264" s="170"/>
      <c r="O264" s="170"/>
      <c r="P264" s="170"/>
      <c r="Q264" s="170"/>
      <c r="AA264" s="170"/>
      <c r="AB264" s="170"/>
      <c r="AC264" s="170"/>
      <c r="AD264" s="170"/>
    </row>
    <row r="265">
      <c r="N265" s="170"/>
      <c r="O265" s="170"/>
      <c r="P265" s="170"/>
      <c r="Q265" s="170"/>
      <c r="AA265" s="170"/>
      <c r="AB265" s="170"/>
      <c r="AC265" s="170"/>
      <c r="AD265" s="170"/>
    </row>
    <row r="266">
      <c r="N266" s="170"/>
      <c r="O266" s="170"/>
      <c r="P266" s="170"/>
      <c r="Q266" s="170"/>
      <c r="AA266" s="170"/>
      <c r="AB266" s="170"/>
      <c r="AC266" s="170"/>
      <c r="AD266" s="170"/>
    </row>
    <row r="267">
      <c r="N267" s="170"/>
      <c r="O267" s="170"/>
      <c r="P267" s="170"/>
      <c r="Q267" s="170"/>
      <c r="AA267" s="170"/>
      <c r="AB267" s="170"/>
      <c r="AC267" s="170"/>
      <c r="AD267" s="170"/>
    </row>
    <row r="268">
      <c r="N268" s="170"/>
      <c r="O268" s="170"/>
      <c r="P268" s="170"/>
      <c r="Q268" s="170"/>
      <c r="AA268" s="170"/>
      <c r="AB268" s="170"/>
      <c r="AC268" s="170"/>
      <c r="AD268" s="170"/>
    </row>
    <row r="269">
      <c r="N269" s="170"/>
      <c r="O269" s="170"/>
      <c r="P269" s="170"/>
      <c r="Q269" s="170"/>
      <c r="AA269" s="170"/>
      <c r="AB269" s="170"/>
      <c r="AC269" s="170"/>
      <c r="AD269" s="170"/>
    </row>
    <row r="270">
      <c r="N270" s="170"/>
      <c r="O270" s="170"/>
      <c r="P270" s="170"/>
      <c r="Q270" s="170"/>
      <c r="AA270" s="170"/>
      <c r="AB270" s="170"/>
      <c r="AC270" s="170"/>
      <c r="AD270" s="170"/>
    </row>
    <row r="271">
      <c r="N271" s="170"/>
      <c r="O271" s="170"/>
      <c r="P271" s="170"/>
      <c r="Q271" s="170"/>
      <c r="AA271" s="170"/>
      <c r="AB271" s="170"/>
      <c r="AC271" s="170"/>
      <c r="AD271" s="170"/>
    </row>
    <row r="272">
      <c r="N272" s="170"/>
      <c r="O272" s="170"/>
      <c r="P272" s="170"/>
      <c r="Q272" s="170"/>
      <c r="AA272" s="170"/>
      <c r="AB272" s="170"/>
      <c r="AC272" s="170"/>
      <c r="AD272" s="170"/>
    </row>
    <row r="273">
      <c r="N273" s="170"/>
      <c r="O273" s="170"/>
      <c r="P273" s="170"/>
      <c r="Q273" s="170"/>
      <c r="AA273" s="170"/>
      <c r="AB273" s="170"/>
      <c r="AC273" s="170"/>
      <c r="AD273" s="170"/>
    </row>
    <row r="274">
      <c r="N274" s="170"/>
      <c r="O274" s="170"/>
      <c r="P274" s="170"/>
      <c r="Q274" s="170"/>
      <c r="AA274" s="170"/>
      <c r="AB274" s="170"/>
      <c r="AC274" s="170"/>
      <c r="AD274" s="170"/>
    </row>
    <row r="275">
      <c r="N275" s="170"/>
      <c r="O275" s="170"/>
      <c r="P275" s="170"/>
      <c r="Q275" s="170"/>
      <c r="AA275" s="170"/>
      <c r="AB275" s="170"/>
      <c r="AC275" s="170"/>
      <c r="AD275" s="170"/>
    </row>
    <row r="276">
      <c r="N276" s="170"/>
      <c r="O276" s="170"/>
      <c r="P276" s="170"/>
      <c r="Q276" s="170"/>
      <c r="AA276" s="170"/>
      <c r="AB276" s="170"/>
      <c r="AC276" s="170"/>
      <c r="AD276" s="170"/>
    </row>
    <row r="277">
      <c r="N277" s="170"/>
      <c r="O277" s="170"/>
      <c r="P277" s="170"/>
      <c r="Q277" s="170"/>
      <c r="AA277" s="170"/>
      <c r="AB277" s="170"/>
      <c r="AC277" s="170"/>
      <c r="AD277" s="170"/>
    </row>
    <row r="278">
      <c r="N278" s="170"/>
      <c r="O278" s="170"/>
      <c r="P278" s="170"/>
      <c r="Q278" s="170"/>
      <c r="AA278" s="170"/>
      <c r="AB278" s="170"/>
      <c r="AC278" s="170"/>
      <c r="AD278" s="170"/>
    </row>
    <row r="279">
      <c r="N279" s="170"/>
      <c r="O279" s="170"/>
      <c r="P279" s="170"/>
      <c r="Q279" s="170"/>
      <c r="AA279" s="170"/>
      <c r="AB279" s="170"/>
      <c r="AC279" s="170"/>
      <c r="AD279" s="170"/>
    </row>
    <row r="280">
      <c r="N280" s="170"/>
      <c r="O280" s="170"/>
      <c r="P280" s="170"/>
      <c r="Q280" s="170"/>
      <c r="AA280" s="170"/>
      <c r="AB280" s="170"/>
      <c r="AC280" s="170"/>
      <c r="AD280" s="170"/>
    </row>
    <row r="281">
      <c r="N281" s="170"/>
      <c r="O281" s="170"/>
      <c r="P281" s="170"/>
      <c r="Q281" s="170"/>
      <c r="AA281" s="170"/>
      <c r="AB281" s="170"/>
      <c r="AC281" s="170"/>
      <c r="AD281" s="170"/>
    </row>
    <row r="282">
      <c r="N282" s="170"/>
      <c r="O282" s="170"/>
      <c r="P282" s="170"/>
      <c r="Q282" s="170"/>
      <c r="AA282" s="170"/>
      <c r="AB282" s="170"/>
      <c r="AC282" s="170"/>
      <c r="AD282" s="170"/>
    </row>
    <row r="283">
      <c r="N283" s="170"/>
      <c r="O283" s="170"/>
      <c r="P283" s="170"/>
      <c r="Q283" s="170"/>
      <c r="AA283" s="170"/>
      <c r="AB283" s="170"/>
      <c r="AC283" s="170"/>
      <c r="AD283" s="170"/>
    </row>
    <row r="284">
      <c r="N284" s="170"/>
      <c r="O284" s="170"/>
      <c r="P284" s="170"/>
      <c r="Q284" s="170"/>
      <c r="AA284" s="170"/>
      <c r="AB284" s="170"/>
      <c r="AC284" s="170"/>
      <c r="AD284" s="170"/>
    </row>
    <row r="285">
      <c r="N285" s="170"/>
      <c r="O285" s="170"/>
      <c r="P285" s="170"/>
      <c r="Q285" s="170"/>
      <c r="AA285" s="170"/>
      <c r="AB285" s="170"/>
      <c r="AC285" s="170"/>
      <c r="AD285" s="170"/>
    </row>
    <row r="286">
      <c r="N286" s="170"/>
      <c r="O286" s="170"/>
      <c r="P286" s="170"/>
      <c r="Q286" s="170"/>
      <c r="AA286" s="170"/>
      <c r="AB286" s="170"/>
      <c r="AC286" s="170"/>
      <c r="AD286" s="170"/>
    </row>
    <row r="287">
      <c r="N287" s="170"/>
      <c r="O287" s="170"/>
      <c r="P287" s="170"/>
      <c r="Q287" s="170"/>
      <c r="AA287" s="170"/>
      <c r="AB287" s="170"/>
      <c r="AC287" s="170"/>
      <c r="AD287" s="170"/>
    </row>
    <row r="288">
      <c r="N288" s="170"/>
      <c r="O288" s="170"/>
      <c r="P288" s="170"/>
      <c r="Q288" s="170"/>
      <c r="AA288" s="170"/>
      <c r="AB288" s="170"/>
      <c r="AC288" s="170"/>
      <c r="AD288" s="170"/>
    </row>
    <row r="289">
      <c r="N289" s="170"/>
      <c r="O289" s="170"/>
      <c r="P289" s="170"/>
      <c r="Q289" s="170"/>
      <c r="AA289" s="170"/>
      <c r="AB289" s="170"/>
      <c r="AC289" s="170"/>
      <c r="AD289" s="170"/>
    </row>
    <row r="290">
      <c r="N290" s="170"/>
      <c r="O290" s="170"/>
      <c r="P290" s="170"/>
      <c r="Q290" s="170"/>
      <c r="AA290" s="170"/>
      <c r="AB290" s="170"/>
      <c r="AC290" s="170"/>
      <c r="AD290" s="170"/>
    </row>
    <row r="291">
      <c r="N291" s="170"/>
      <c r="O291" s="170"/>
      <c r="P291" s="170"/>
      <c r="Q291" s="170"/>
      <c r="AA291" s="170"/>
      <c r="AB291" s="170"/>
      <c r="AC291" s="170"/>
      <c r="AD291" s="170"/>
    </row>
    <row r="292">
      <c r="N292" s="170"/>
      <c r="O292" s="170"/>
      <c r="P292" s="170"/>
      <c r="Q292" s="170"/>
      <c r="AA292" s="170"/>
      <c r="AB292" s="170"/>
      <c r="AC292" s="170"/>
      <c r="AD292" s="170"/>
    </row>
    <row r="293">
      <c r="N293" s="170"/>
      <c r="O293" s="170"/>
      <c r="P293" s="170"/>
      <c r="Q293" s="170"/>
      <c r="AA293" s="170"/>
      <c r="AB293" s="170"/>
      <c r="AC293" s="170"/>
      <c r="AD293" s="170"/>
    </row>
    <row r="294">
      <c r="N294" s="170"/>
      <c r="O294" s="170"/>
      <c r="P294" s="170"/>
      <c r="Q294" s="170"/>
      <c r="AA294" s="170"/>
      <c r="AB294" s="170"/>
      <c r="AC294" s="170"/>
      <c r="AD294" s="170"/>
    </row>
    <row r="295">
      <c r="N295" s="170"/>
      <c r="O295" s="170"/>
      <c r="P295" s="170"/>
      <c r="Q295" s="170"/>
      <c r="AA295" s="170"/>
      <c r="AB295" s="170"/>
      <c r="AC295" s="170"/>
      <c r="AD295" s="170"/>
    </row>
    <row r="296">
      <c r="N296" s="170"/>
      <c r="O296" s="170"/>
      <c r="P296" s="170"/>
      <c r="Q296" s="170"/>
      <c r="AA296" s="170"/>
      <c r="AB296" s="170"/>
      <c r="AC296" s="170"/>
      <c r="AD296" s="170"/>
    </row>
    <row r="297">
      <c r="N297" s="170"/>
      <c r="O297" s="170"/>
      <c r="P297" s="170"/>
      <c r="Q297" s="170"/>
      <c r="AA297" s="170"/>
      <c r="AB297" s="170"/>
      <c r="AC297" s="170"/>
      <c r="AD297" s="170"/>
    </row>
    <row r="298">
      <c r="N298" s="170"/>
      <c r="O298" s="170"/>
      <c r="P298" s="170"/>
      <c r="Q298" s="170"/>
      <c r="AA298" s="170"/>
      <c r="AB298" s="170"/>
      <c r="AC298" s="170"/>
      <c r="AD298" s="170"/>
    </row>
    <row r="299">
      <c r="N299" s="170"/>
      <c r="O299" s="170"/>
      <c r="P299" s="170"/>
      <c r="Q299" s="170"/>
      <c r="AA299" s="170"/>
      <c r="AB299" s="170"/>
      <c r="AC299" s="170"/>
      <c r="AD299" s="170"/>
    </row>
    <row r="300">
      <c r="N300" s="170"/>
      <c r="O300" s="170"/>
      <c r="P300" s="170"/>
      <c r="Q300" s="170"/>
      <c r="AA300" s="170"/>
      <c r="AB300" s="170"/>
      <c r="AC300" s="170"/>
      <c r="AD300" s="170"/>
    </row>
    <row r="301">
      <c r="N301" s="170"/>
      <c r="O301" s="170"/>
      <c r="P301" s="170"/>
      <c r="Q301" s="170"/>
      <c r="AA301" s="170"/>
      <c r="AB301" s="170"/>
      <c r="AC301" s="170"/>
      <c r="AD301" s="170"/>
    </row>
    <row r="302">
      <c r="N302" s="170"/>
      <c r="O302" s="170"/>
      <c r="P302" s="170"/>
      <c r="Q302" s="170"/>
      <c r="AA302" s="170"/>
      <c r="AB302" s="170"/>
      <c r="AC302" s="170"/>
      <c r="AD302" s="170"/>
    </row>
    <row r="303">
      <c r="N303" s="170"/>
      <c r="O303" s="170"/>
      <c r="P303" s="170"/>
      <c r="Q303" s="170"/>
      <c r="AA303" s="170"/>
      <c r="AB303" s="170"/>
      <c r="AC303" s="170"/>
      <c r="AD303" s="170"/>
    </row>
    <row r="304">
      <c r="N304" s="170"/>
      <c r="O304" s="170"/>
      <c r="P304" s="170"/>
      <c r="Q304" s="170"/>
      <c r="AA304" s="170"/>
      <c r="AB304" s="170"/>
      <c r="AC304" s="170"/>
      <c r="AD304" s="170"/>
    </row>
    <row r="305">
      <c r="N305" s="170"/>
      <c r="O305" s="170"/>
      <c r="P305" s="170"/>
      <c r="Q305" s="170"/>
      <c r="AA305" s="170"/>
      <c r="AB305" s="170"/>
      <c r="AC305" s="170"/>
      <c r="AD305" s="170"/>
    </row>
    <row r="306">
      <c r="N306" s="170"/>
      <c r="O306" s="170"/>
      <c r="P306" s="170"/>
      <c r="Q306" s="170"/>
      <c r="AA306" s="170"/>
      <c r="AB306" s="170"/>
      <c r="AC306" s="170"/>
      <c r="AD306" s="170"/>
    </row>
    <row r="307">
      <c r="N307" s="170"/>
      <c r="O307" s="170"/>
      <c r="P307" s="170"/>
      <c r="Q307" s="170"/>
      <c r="AA307" s="170"/>
      <c r="AB307" s="170"/>
      <c r="AC307" s="170"/>
      <c r="AD307" s="170"/>
    </row>
    <row r="308">
      <c r="N308" s="170"/>
      <c r="O308" s="170"/>
      <c r="P308" s="170"/>
      <c r="Q308" s="170"/>
      <c r="AA308" s="170"/>
      <c r="AB308" s="170"/>
      <c r="AC308" s="170"/>
      <c r="AD308" s="170"/>
    </row>
    <row r="309">
      <c r="N309" s="170"/>
      <c r="O309" s="170"/>
      <c r="P309" s="170"/>
      <c r="Q309" s="170"/>
      <c r="AA309" s="170"/>
      <c r="AB309" s="170"/>
      <c r="AC309" s="170"/>
      <c r="AD309" s="170"/>
    </row>
    <row r="310">
      <c r="N310" s="170"/>
      <c r="O310" s="170"/>
      <c r="P310" s="170"/>
      <c r="Q310" s="170"/>
      <c r="AA310" s="170"/>
      <c r="AB310" s="170"/>
      <c r="AC310" s="170"/>
      <c r="AD310" s="170"/>
    </row>
    <row r="311">
      <c r="N311" s="170"/>
      <c r="O311" s="170"/>
      <c r="P311" s="170"/>
      <c r="Q311" s="170"/>
      <c r="AA311" s="170"/>
      <c r="AB311" s="170"/>
      <c r="AC311" s="170"/>
      <c r="AD311" s="170"/>
    </row>
    <row r="312">
      <c r="N312" s="170"/>
      <c r="O312" s="170"/>
      <c r="P312" s="170"/>
      <c r="Q312" s="170"/>
      <c r="AA312" s="170"/>
      <c r="AB312" s="170"/>
      <c r="AC312" s="170"/>
      <c r="AD312" s="170"/>
    </row>
    <row r="313">
      <c r="N313" s="170"/>
      <c r="O313" s="170"/>
      <c r="P313" s="170"/>
      <c r="Q313" s="170"/>
      <c r="AA313" s="170"/>
      <c r="AB313" s="170"/>
      <c r="AC313" s="170"/>
      <c r="AD313" s="170"/>
    </row>
    <row r="314">
      <c r="N314" s="170"/>
      <c r="O314" s="170"/>
      <c r="P314" s="170"/>
      <c r="Q314" s="170"/>
      <c r="AA314" s="170"/>
      <c r="AB314" s="170"/>
      <c r="AC314" s="170"/>
      <c r="AD314" s="170"/>
    </row>
    <row r="315">
      <c r="N315" s="170"/>
      <c r="O315" s="170"/>
      <c r="P315" s="170"/>
      <c r="Q315" s="170"/>
      <c r="AA315" s="170"/>
      <c r="AB315" s="170"/>
      <c r="AC315" s="170"/>
      <c r="AD315" s="170"/>
    </row>
    <row r="316">
      <c r="N316" s="170"/>
      <c r="O316" s="170"/>
      <c r="P316" s="170"/>
      <c r="Q316" s="170"/>
      <c r="AA316" s="170"/>
      <c r="AB316" s="170"/>
      <c r="AC316" s="170"/>
      <c r="AD316" s="170"/>
    </row>
    <row r="317">
      <c r="N317" s="170"/>
      <c r="O317" s="170"/>
      <c r="P317" s="170"/>
      <c r="Q317" s="170"/>
      <c r="AA317" s="170"/>
      <c r="AB317" s="170"/>
      <c r="AC317" s="170"/>
      <c r="AD317" s="170"/>
    </row>
    <row r="318">
      <c r="N318" s="170"/>
      <c r="O318" s="170"/>
      <c r="P318" s="170"/>
      <c r="Q318" s="170"/>
      <c r="AA318" s="170"/>
      <c r="AB318" s="170"/>
      <c r="AC318" s="170"/>
      <c r="AD318" s="170"/>
    </row>
    <row r="319">
      <c r="N319" s="170"/>
      <c r="O319" s="170"/>
      <c r="P319" s="170"/>
      <c r="Q319" s="170"/>
      <c r="AA319" s="170"/>
      <c r="AB319" s="170"/>
      <c r="AC319" s="170"/>
      <c r="AD319" s="170"/>
    </row>
    <row r="320">
      <c r="N320" s="170"/>
      <c r="O320" s="170"/>
      <c r="P320" s="170"/>
      <c r="Q320" s="170"/>
      <c r="AA320" s="170"/>
      <c r="AB320" s="170"/>
      <c r="AC320" s="170"/>
      <c r="AD320" s="170"/>
    </row>
    <row r="321">
      <c r="N321" s="170"/>
      <c r="O321" s="170"/>
      <c r="P321" s="170"/>
      <c r="Q321" s="170"/>
      <c r="AA321" s="170"/>
      <c r="AB321" s="170"/>
      <c r="AC321" s="170"/>
      <c r="AD321" s="170"/>
    </row>
    <row r="322">
      <c r="N322" s="170"/>
      <c r="O322" s="170"/>
      <c r="P322" s="170"/>
      <c r="Q322" s="170"/>
      <c r="AA322" s="170"/>
      <c r="AB322" s="170"/>
      <c r="AC322" s="170"/>
      <c r="AD322" s="170"/>
    </row>
    <row r="323">
      <c r="N323" s="170"/>
      <c r="O323" s="170"/>
      <c r="P323" s="170"/>
      <c r="Q323" s="170"/>
      <c r="AA323" s="170"/>
      <c r="AB323" s="170"/>
      <c r="AC323" s="170"/>
      <c r="AD323" s="170"/>
    </row>
    <row r="324">
      <c r="N324" s="170"/>
      <c r="O324" s="170"/>
      <c r="P324" s="170"/>
      <c r="Q324" s="170"/>
      <c r="AA324" s="170"/>
      <c r="AB324" s="170"/>
      <c r="AC324" s="170"/>
      <c r="AD324" s="170"/>
    </row>
    <row r="325">
      <c r="N325" s="170"/>
      <c r="O325" s="170"/>
      <c r="P325" s="170"/>
      <c r="Q325" s="170"/>
      <c r="AA325" s="170"/>
      <c r="AB325" s="170"/>
      <c r="AC325" s="170"/>
      <c r="AD325" s="170"/>
    </row>
    <row r="326">
      <c r="N326" s="170"/>
      <c r="O326" s="170"/>
      <c r="P326" s="170"/>
      <c r="Q326" s="170"/>
      <c r="AA326" s="170"/>
      <c r="AB326" s="170"/>
      <c r="AC326" s="170"/>
      <c r="AD326" s="170"/>
    </row>
    <row r="327">
      <c r="N327" s="170"/>
      <c r="O327" s="170"/>
      <c r="P327" s="170"/>
      <c r="Q327" s="170"/>
      <c r="AA327" s="170"/>
      <c r="AB327" s="170"/>
      <c r="AC327" s="170"/>
      <c r="AD327" s="170"/>
    </row>
    <row r="328">
      <c r="N328" s="170"/>
      <c r="O328" s="170"/>
      <c r="P328" s="170"/>
      <c r="Q328" s="170"/>
      <c r="AA328" s="170"/>
      <c r="AB328" s="170"/>
      <c r="AC328" s="170"/>
      <c r="AD328" s="170"/>
    </row>
    <row r="329">
      <c r="N329" s="170"/>
      <c r="O329" s="170"/>
      <c r="P329" s="170"/>
      <c r="Q329" s="170"/>
      <c r="AA329" s="170"/>
      <c r="AB329" s="170"/>
      <c r="AC329" s="170"/>
      <c r="AD329" s="170"/>
    </row>
    <row r="330">
      <c r="N330" s="170"/>
      <c r="O330" s="170"/>
      <c r="P330" s="170"/>
      <c r="Q330" s="170"/>
      <c r="AA330" s="170"/>
      <c r="AB330" s="170"/>
      <c r="AC330" s="170"/>
      <c r="AD330" s="170"/>
    </row>
    <row r="331">
      <c r="N331" s="170"/>
      <c r="O331" s="170"/>
      <c r="P331" s="170"/>
      <c r="Q331" s="170"/>
      <c r="AA331" s="170"/>
      <c r="AB331" s="170"/>
      <c r="AC331" s="170"/>
      <c r="AD331" s="170"/>
    </row>
    <row r="332">
      <c r="N332" s="170"/>
      <c r="O332" s="170"/>
      <c r="P332" s="170"/>
      <c r="Q332" s="170"/>
      <c r="AA332" s="170"/>
      <c r="AB332" s="170"/>
      <c r="AC332" s="170"/>
      <c r="AD332" s="170"/>
    </row>
    <row r="333">
      <c r="N333" s="170"/>
      <c r="O333" s="170"/>
      <c r="P333" s="170"/>
      <c r="Q333" s="170"/>
      <c r="AA333" s="170"/>
      <c r="AB333" s="170"/>
      <c r="AC333" s="170"/>
      <c r="AD333" s="170"/>
    </row>
    <row r="334">
      <c r="N334" s="170"/>
      <c r="O334" s="170"/>
      <c r="P334" s="170"/>
      <c r="Q334" s="170"/>
      <c r="AA334" s="170"/>
      <c r="AB334" s="170"/>
      <c r="AC334" s="170"/>
      <c r="AD334" s="170"/>
    </row>
    <row r="335">
      <c r="N335" s="170"/>
      <c r="O335" s="170"/>
      <c r="P335" s="170"/>
      <c r="Q335" s="170"/>
      <c r="AA335" s="170"/>
      <c r="AB335" s="170"/>
      <c r="AC335" s="170"/>
      <c r="AD335" s="170"/>
    </row>
    <row r="336">
      <c r="N336" s="170"/>
      <c r="O336" s="170"/>
      <c r="P336" s="170"/>
      <c r="Q336" s="170"/>
      <c r="AA336" s="170"/>
      <c r="AB336" s="170"/>
      <c r="AC336" s="170"/>
      <c r="AD336" s="170"/>
    </row>
    <row r="337">
      <c r="N337" s="170"/>
      <c r="O337" s="170"/>
      <c r="P337" s="170"/>
      <c r="Q337" s="170"/>
      <c r="AA337" s="170"/>
      <c r="AB337" s="170"/>
      <c r="AC337" s="170"/>
      <c r="AD337" s="170"/>
    </row>
    <row r="338">
      <c r="N338" s="170"/>
      <c r="O338" s="170"/>
      <c r="P338" s="170"/>
      <c r="Q338" s="170"/>
      <c r="AA338" s="170"/>
      <c r="AB338" s="170"/>
      <c r="AC338" s="170"/>
      <c r="AD338" s="170"/>
    </row>
    <row r="339">
      <c r="N339" s="170"/>
      <c r="O339" s="170"/>
      <c r="P339" s="170"/>
      <c r="Q339" s="170"/>
      <c r="AA339" s="170"/>
      <c r="AB339" s="170"/>
      <c r="AC339" s="170"/>
      <c r="AD339" s="170"/>
    </row>
    <row r="340">
      <c r="N340" s="170"/>
      <c r="O340" s="170"/>
      <c r="P340" s="170"/>
      <c r="Q340" s="170"/>
      <c r="AA340" s="170"/>
      <c r="AB340" s="170"/>
      <c r="AC340" s="170"/>
      <c r="AD340" s="170"/>
    </row>
    <row r="341">
      <c r="N341" s="170"/>
      <c r="O341" s="170"/>
      <c r="P341" s="170"/>
      <c r="Q341" s="170"/>
      <c r="AA341" s="170"/>
      <c r="AB341" s="170"/>
      <c r="AC341" s="170"/>
      <c r="AD341" s="170"/>
    </row>
    <row r="342">
      <c r="N342" s="170"/>
      <c r="O342" s="170"/>
      <c r="P342" s="170"/>
      <c r="Q342" s="170"/>
      <c r="AA342" s="170"/>
      <c r="AB342" s="170"/>
      <c r="AC342" s="170"/>
      <c r="AD342" s="170"/>
    </row>
    <row r="343">
      <c r="N343" s="170"/>
      <c r="O343" s="170"/>
      <c r="P343" s="170"/>
      <c r="Q343" s="170"/>
      <c r="AA343" s="170"/>
      <c r="AB343" s="170"/>
      <c r="AC343" s="170"/>
      <c r="AD343" s="170"/>
    </row>
    <row r="344">
      <c r="N344" s="170"/>
      <c r="O344" s="170"/>
      <c r="P344" s="170"/>
      <c r="Q344" s="170"/>
      <c r="AA344" s="170"/>
      <c r="AB344" s="170"/>
      <c r="AC344" s="170"/>
      <c r="AD344" s="170"/>
    </row>
    <row r="345">
      <c r="N345" s="170"/>
      <c r="O345" s="170"/>
      <c r="P345" s="170"/>
      <c r="Q345" s="170"/>
      <c r="AA345" s="170"/>
      <c r="AB345" s="170"/>
      <c r="AC345" s="170"/>
      <c r="AD345" s="170"/>
    </row>
    <row r="346">
      <c r="N346" s="170"/>
      <c r="O346" s="170"/>
      <c r="P346" s="170"/>
      <c r="Q346" s="170"/>
      <c r="AA346" s="170"/>
      <c r="AB346" s="170"/>
      <c r="AC346" s="170"/>
      <c r="AD346" s="170"/>
    </row>
    <row r="347">
      <c r="N347" s="170"/>
      <c r="O347" s="170"/>
      <c r="P347" s="170"/>
      <c r="Q347" s="170"/>
      <c r="AA347" s="170"/>
      <c r="AB347" s="170"/>
      <c r="AC347" s="170"/>
      <c r="AD347" s="170"/>
    </row>
    <row r="348">
      <c r="N348" s="170"/>
      <c r="O348" s="170"/>
      <c r="P348" s="170"/>
      <c r="Q348" s="170"/>
      <c r="AA348" s="170"/>
      <c r="AB348" s="170"/>
      <c r="AC348" s="170"/>
      <c r="AD348" s="170"/>
    </row>
    <row r="349">
      <c r="N349" s="170"/>
      <c r="O349" s="170"/>
      <c r="P349" s="170"/>
      <c r="Q349" s="170"/>
      <c r="AA349" s="170"/>
      <c r="AB349" s="170"/>
      <c r="AC349" s="170"/>
      <c r="AD349" s="170"/>
    </row>
    <row r="350">
      <c r="N350" s="170"/>
      <c r="O350" s="170"/>
      <c r="P350" s="170"/>
      <c r="Q350" s="170"/>
      <c r="AA350" s="170"/>
      <c r="AB350" s="170"/>
      <c r="AC350" s="170"/>
      <c r="AD350" s="170"/>
    </row>
    <row r="351">
      <c r="N351" s="170"/>
      <c r="O351" s="170"/>
      <c r="P351" s="170"/>
      <c r="Q351" s="170"/>
      <c r="AA351" s="170"/>
      <c r="AB351" s="170"/>
      <c r="AC351" s="170"/>
      <c r="AD351" s="170"/>
    </row>
    <row r="352">
      <c r="N352" s="170"/>
      <c r="O352" s="170"/>
      <c r="P352" s="170"/>
      <c r="Q352" s="170"/>
      <c r="AA352" s="170"/>
      <c r="AB352" s="170"/>
      <c r="AC352" s="170"/>
      <c r="AD352" s="170"/>
    </row>
    <row r="353">
      <c r="N353" s="170"/>
      <c r="O353" s="170"/>
      <c r="P353" s="170"/>
      <c r="Q353" s="170"/>
      <c r="AA353" s="170"/>
      <c r="AB353" s="170"/>
      <c r="AC353" s="170"/>
      <c r="AD353" s="170"/>
    </row>
    <row r="354">
      <c r="N354" s="170"/>
      <c r="O354" s="170"/>
      <c r="P354" s="170"/>
      <c r="Q354" s="170"/>
      <c r="AA354" s="170"/>
      <c r="AB354" s="170"/>
      <c r="AC354" s="170"/>
      <c r="AD354" s="170"/>
    </row>
    <row r="355">
      <c r="N355" s="170"/>
      <c r="O355" s="170"/>
      <c r="P355" s="170"/>
      <c r="Q355" s="170"/>
      <c r="AA355" s="170"/>
      <c r="AB355" s="170"/>
      <c r="AC355" s="170"/>
      <c r="AD355" s="170"/>
    </row>
    <row r="356">
      <c r="N356" s="170"/>
      <c r="O356" s="170"/>
      <c r="P356" s="170"/>
      <c r="Q356" s="170"/>
      <c r="AA356" s="170"/>
      <c r="AB356" s="170"/>
      <c r="AC356" s="170"/>
      <c r="AD356" s="170"/>
    </row>
    <row r="357">
      <c r="N357" s="170"/>
      <c r="O357" s="170"/>
      <c r="P357" s="170"/>
      <c r="Q357" s="170"/>
      <c r="AA357" s="170"/>
      <c r="AB357" s="170"/>
      <c r="AC357" s="170"/>
      <c r="AD357" s="170"/>
    </row>
    <row r="358">
      <c r="N358" s="170"/>
      <c r="O358" s="170"/>
      <c r="P358" s="170"/>
      <c r="Q358" s="170"/>
      <c r="AA358" s="170"/>
      <c r="AB358" s="170"/>
      <c r="AC358" s="170"/>
      <c r="AD358" s="170"/>
    </row>
    <row r="359">
      <c r="N359" s="170"/>
      <c r="O359" s="170"/>
      <c r="P359" s="170"/>
      <c r="Q359" s="170"/>
      <c r="AA359" s="170"/>
      <c r="AB359" s="170"/>
      <c r="AC359" s="170"/>
      <c r="AD359" s="170"/>
    </row>
    <row r="360">
      <c r="N360" s="170"/>
      <c r="O360" s="170"/>
      <c r="P360" s="170"/>
      <c r="Q360" s="170"/>
      <c r="AA360" s="170"/>
      <c r="AB360" s="170"/>
      <c r="AC360" s="170"/>
      <c r="AD360" s="170"/>
    </row>
    <row r="361">
      <c r="N361" s="170"/>
      <c r="O361" s="170"/>
      <c r="P361" s="170"/>
      <c r="Q361" s="170"/>
      <c r="AA361" s="170"/>
      <c r="AB361" s="170"/>
      <c r="AC361" s="170"/>
      <c r="AD361" s="170"/>
    </row>
    <row r="362">
      <c r="N362" s="170"/>
      <c r="O362" s="170"/>
      <c r="P362" s="170"/>
      <c r="Q362" s="170"/>
      <c r="AA362" s="170"/>
      <c r="AB362" s="170"/>
      <c r="AC362" s="170"/>
      <c r="AD362" s="170"/>
    </row>
    <row r="363">
      <c r="N363" s="170"/>
      <c r="O363" s="170"/>
      <c r="P363" s="170"/>
      <c r="Q363" s="170"/>
      <c r="AA363" s="170"/>
      <c r="AB363" s="170"/>
      <c r="AC363" s="170"/>
      <c r="AD363" s="170"/>
    </row>
    <row r="364">
      <c r="N364" s="170"/>
      <c r="O364" s="170"/>
      <c r="P364" s="170"/>
      <c r="Q364" s="170"/>
      <c r="AA364" s="170"/>
      <c r="AB364" s="170"/>
      <c r="AC364" s="170"/>
      <c r="AD364" s="170"/>
    </row>
    <row r="365">
      <c r="N365" s="170"/>
      <c r="O365" s="170"/>
      <c r="P365" s="170"/>
      <c r="Q365" s="170"/>
      <c r="AA365" s="170"/>
      <c r="AB365" s="170"/>
      <c r="AC365" s="170"/>
      <c r="AD365" s="170"/>
    </row>
    <row r="366">
      <c r="N366" s="170"/>
      <c r="O366" s="170"/>
      <c r="P366" s="170"/>
      <c r="Q366" s="170"/>
      <c r="AA366" s="170"/>
      <c r="AB366" s="170"/>
      <c r="AC366" s="170"/>
      <c r="AD366" s="170"/>
    </row>
    <row r="367">
      <c r="N367" s="170"/>
      <c r="O367" s="170"/>
      <c r="P367" s="170"/>
      <c r="Q367" s="170"/>
      <c r="AA367" s="170"/>
      <c r="AB367" s="170"/>
      <c r="AC367" s="170"/>
      <c r="AD367" s="170"/>
    </row>
    <row r="368">
      <c r="N368" s="170"/>
      <c r="O368" s="170"/>
      <c r="P368" s="170"/>
      <c r="Q368" s="170"/>
      <c r="AA368" s="170"/>
      <c r="AB368" s="170"/>
      <c r="AC368" s="170"/>
      <c r="AD368" s="170"/>
    </row>
    <row r="369">
      <c r="N369" s="170"/>
      <c r="O369" s="170"/>
      <c r="P369" s="170"/>
      <c r="Q369" s="170"/>
      <c r="AA369" s="170"/>
      <c r="AB369" s="170"/>
      <c r="AC369" s="170"/>
      <c r="AD369" s="170"/>
    </row>
    <row r="370">
      <c r="N370" s="170"/>
      <c r="O370" s="170"/>
      <c r="P370" s="170"/>
      <c r="Q370" s="170"/>
      <c r="AA370" s="170"/>
      <c r="AB370" s="170"/>
      <c r="AC370" s="170"/>
      <c r="AD370" s="170"/>
    </row>
    <row r="371">
      <c r="N371" s="170"/>
      <c r="O371" s="170"/>
      <c r="P371" s="170"/>
      <c r="Q371" s="170"/>
      <c r="AA371" s="170"/>
      <c r="AB371" s="170"/>
      <c r="AC371" s="170"/>
      <c r="AD371" s="170"/>
    </row>
    <row r="372">
      <c r="N372" s="170"/>
      <c r="O372" s="170"/>
      <c r="P372" s="170"/>
      <c r="Q372" s="170"/>
      <c r="AA372" s="170"/>
      <c r="AB372" s="170"/>
      <c r="AC372" s="170"/>
      <c r="AD372" s="170"/>
    </row>
    <row r="373">
      <c r="N373" s="170"/>
      <c r="O373" s="170"/>
      <c r="P373" s="170"/>
      <c r="Q373" s="170"/>
      <c r="AA373" s="170"/>
      <c r="AB373" s="170"/>
      <c r="AC373" s="170"/>
      <c r="AD373" s="170"/>
    </row>
    <row r="374">
      <c r="N374" s="170"/>
      <c r="O374" s="170"/>
      <c r="P374" s="170"/>
      <c r="Q374" s="170"/>
      <c r="AA374" s="170"/>
      <c r="AB374" s="170"/>
      <c r="AC374" s="170"/>
      <c r="AD374" s="170"/>
    </row>
    <row r="375">
      <c r="N375" s="170"/>
      <c r="O375" s="170"/>
      <c r="P375" s="170"/>
      <c r="Q375" s="170"/>
      <c r="AA375" s="170"/>
      <c r="AB375" s="170"/>
      <c r="AC375" s="170"/>
      <c r="AD375" s="170"/>
    </row>
    <row r="376">
      <c r="N376" s="170"/>
      <c r="O376" s="170"/>
      <c r="P376" s="170"/>
      <c r="Q376" s="170"/>
      <c r="AA376" s="170"/>
      <c r="AB376" s="170"/>
      <c r="AC376" s="170"/>
      <c r="AD376" s="170"/>
    </row>
    <row r="377">
      <c r="N377" s="170"/>
      <c r="O377" s="170"/>
      <c r="P377" s="170"/>
      <c r="Q377" s="170"/>
      <c r="AA377" s="170"/>
      <c r="AB377" s="170"/>
      <c r="AC377" s="170"/>
      <c r="AD377" s="170"/>
    </row>
    <row r="378">
      <c r="N378" s="170"/>
      <c r="O378" s="170"/>
      <c r="P378" s="170"/>
      <c r="Q378" s="170"/>
      <c r="AA378" s="170"/>
      <c r="AB378" s="170"/>
      <c r="AC378" s="170"/>
      <c r="AD378" s="170"/>
    </row>
    <row r="379">
      <c r="N379" s="170"/>
      <c r="O379" s="170"/>
      <c r="P379" s="170"/>
      <c r="Q379" s="170"/>
      <c r="AA379" s="170"/>
      <c r="AB379" s="170"/>
      <c r="AC379" s="170"/>
      <c r="AD379" s="170"/>
    </row>
    <row r="380">
      <c r="N380" s="170"/>
      <c r="O380" s="170"/>
      <c r="P380" s="170"/>
      <c r="Q380" s="170"/>
      <c r="AA380" s="170"/>
      <c r="AB380" s="170"/>
      <c r="AC380" s="170"/>
      <c r="AD380" s="170"/>
    </row>
    <row r="381">
      <c r="N381" s="170"/>
      <c r="O381" s="170"/>
      <c r="P381" s="170"/>
      <c r="Q381" s="170"/>
      <c r="AA381" s="170"/>
      <c r="AB381" s="170"/>
      <c r="AC381" s="170"/>
      <c r="AD381" s="170"/>
    </row>
    <row r="382">
      <c r="N382" s="170"/>
      <c r="O382" s="170"/>
      <c r="P382" s="170"/>
      <c r="Q382" s="170"/>
      <c r="AA382" s="170"/>
      <c r="AB382" s="170"/>
      <c r="AC382" s="170"/>
      <c r="AD382" s="170"/>
    </row>
    <row r="383">
      <c r="N383" s="170"/>
      <c r="O383" s="170"/>
      <c r="P383" s="170"/>
      <c r="Q383" s="170"/>
      <c r="AA383" s="170"/>
      <c r="AB383" s="170"/>
      <c r="AC383" s="170"/>
      <c r="AD383" s="170"/>
    </row>
    <row r="384">
      <c r="N384" s="170"/>
      <c r="O384" s="170"/>
      <c r="P384" s="170"/>
      <c r="Q384" s="170"/>
      <c r="AA384" s="170"/>
      <c r="AB384" s="170"/>
      <c r="AC384" s="170"/>
      <c r="AD384" s="170"/>
    </row>
    <row r="385">
      <c r="N385" s="170"/>
      <c r="O385" s="170"/>
      <c r="P385" s="170"/>
      <c r="Q385" s="170"/>
      <c r="AA385" s="170"/>
      <c r="AB385" s="170"/>
      <c r="AC385" s="170"/>
      <c r="AD385" s="170"/>
    </row>
    <row r="386">
      <c r="N386" s="170"/>
      <c r="O386" s="170"/>
      <c r="P386" s="170"/>
      <c r="Q386" s="170"/>
      <c r="AA386" s="170"/>
      <c r="AB386" s="170"/>
      <c r="AC386" s="170"/>
      <c r="AD386" s="170"/>
    </row>
    <row r="387">
      <c r="N387" s="170"/>
      <c r="O387" s="170"/>
      <c r="P387" s="170"/>
      <c r="Q387" s="170"/>
      <c r="AA387" s="170"/>
      <c r="AB387" s="170"/>
      <c r="AC387" s="170"/>
      <c r="AD387" s="170"/>
    </row>
    <row r="388">
      <c r="N388" s="170"/>
      <c r="O388" s="170"/>
      <c r="P388" s="170"/>
      <c r="Q388" s="170"/>
      <c r="AA388" s="170"/>
      <c r="AB388" s="170"/>
      <c r="AC388" s="170"/>
      <c r="AD388" s="170"/>
    </row>
    <row r="389">
      <c r="N389" s="170"/>
      <c r="O389" s="170"/>
      <c r="P389" s="170"/>
      <c r="Q389" s="170"/>
      <c r="AA389" s="170"/>
      <c r="AB389" s="170"/>
      <c r="AC389" s="170"/>
      <c r="AD389" s="170"/>
    </row>
    <row r="390">
      <c r="N390" s="170"/>
      <c r="O390" s="170"/>
      <c r="P390" s="170"/>
      <c r="Q390" s="170"/>
      <c r="AA390" s="170"/>
      <c r="AB390" s="170"/>
      <c r="AC390" s="170"/>
      <c r="AD390" s="170"/>
    </row>
    <row r="391">
      <c r="N391" s="170"/>
      <c r="O391" s="170"/>
      <c r="P391" s="170"/>
      <c r="Q391" s="170"/>
      <c r="AA391" s="170"/>
      <c r="AB391" s="170"/>
      <c r="AC391" s="170"/>
      <c r="AD391" s="170"/>
    </row>
    <row r="392">
      <c r="N392" s="170"/>
      <c r="O392" s="170"/>
      <c r="P392" s="170"/>
      <c r="Q392" s="170"/>
      <c r="AA392" s="170"/>
      <c r="AB392" s="170"/>
      <c r="AC392" s="170"/>
      <c r="AD392" s="170"/>
    </row>
    <row r="393">
      <c r="N393" s="170"/>
      <c r="O393" s="170"/>
      <c r="P393" s="170"/>
      <c r="Q393" s="170"/>
      <c r="AA393" s="170"/>
      <c r="AB393" s="170"/>
      <c r="AC393" s="170"/>
      <c r="AD393" s="170"/>
    </row>
    <row r="394">
      <c r="N394" s="170"/>
      <c r="O394" s="170"/>
      <c r="P394" s="170"/>
      <c r="Q394" s="170"/>
      <c r="AA394" s="170"/>
      <c r="AB394" s="170"/>
      <c r="AC394" s="170"/>
      <c r="AD394" s="170"/>
    </row>
    <row r="395">
      <c r="N395" s="170"/>
      <c r="O395" s="170"/>
      <c r="P395" s="170"/>
      <c r="Q395" s="170"/>
      <c r="AA395" s="170"/>
      <c r="AB395" s="170"/>
      <c r="AC395" s="170"/>
      <c r="AD395" s="170"/>
    </row>
    <row r="396">
      <c r="N396" s="170"/>
      <c r="O396" s="170"/>
      <c r="P396" s="170"/>
      <c r="Q396" s="170"/>
      <c r="AA396" s="170"/>
      <c r="AB396" s="170"/>
      <c r="AC396" s="170"/>
      <c r="AD396" s="170"/>
    </row>
    <row r="397">
      <c r="N397" s="170"/>
      <c r="O397" s="170"/>
      <c r="P397" s="170"/>
      <c r="Q397" s="170"/>
      <c r="AA397" s="170"/>
      <c r="AB397" s="170"/>
      <c r="AC397" s="170"/>
      <c r="AD397" s="170"/>
    </row>
    <row r="398">
      <c r="N398" s="170"/>
      <c r="O398" s="170"/>
      <c r="P398" s="170"/>
      <c r="Q398" s="170"/>
      <c r="AA398" s="170"/>
      <c r="AB398" s="170"/>
      <c r="AC398" s="170"/>
      <c r="AD398" s="170"/>
    </row>
    <row r="399">
      <c r="N399" s="170"/>
      <c r="O399" s="170"/>
      <c r="P399" s="170"/>
      <c r="Q399" s="170"/>
      <c r="AA399" s="170"/>
      <c r="AB399" s="170"/>
      <c r="AC399" s="170"/>
      <c r="AD399" s="170"/>
    </row>
    <row r="400">
      <c r="N400" s="170"/>
      <c r="O400" s="170"/>
      <c r="P400" s="170"/>
      <c r="Q400" s="170"/>
      <c r="AA400" s="170"/>
      <c r="AB400" s="170"/>
      <c r="AC400" s="170"/>
      <c r="AD400" s="170"/>
    </row>
    <row r="401">
      <c r="N401" s="170"/>
      <c r="O401" s="170"/>
      <c r="P401" s="170"/>
      <c r="Q401" s="170"/>
      <c r="AA401" s="170"/>
      <c r="AB401" s="170"/>
      <c r="AC401" s="170"/>
      <c r="AD401" s="170"/>
    </row>
    <row r="402">
      <c r="N402" s="170"/>
      <c r="O402" s="170"/>
      <c r="P402" s="170"/>
      <c r="Q402" s="170"/>
      <c r="AA402" s="170"/>
      <c r="AB402" s="170"/>
      <c r="AC402" s="170"/>
      <c r="AD402" s="170"/>
    </row>
    <row r="403">
      <c r="N403" s="170"/>
      <c r="O403" s="170"/>
      <c r="P403" s="170"/>
      <c r="Q403" s="170"/>
      <c r="AA403" s="170"/>
      <c r="AB403" s="170"/>
      <c r="AC403" s="170"/>
      <c r="AD403" s="170"/>
    </row>
    <row r="404">
      <c r="N404" s="170"/>
      <c r="O404" s="170"/>
      <c r="P404" s="170"/>
      <c r="Q404" s="170"/>
      <c r="AA404" s="170"/>
      <c r="AB404" s="170"/>
      <c r="AC404" s="170"/>
      <c r="AD404" s="170"/>
    </row>
    <row r="405">
      <c r="N405" s="170"/>
      <c r="O405" s="170"/>
      <c r="P405" s="170"/>
      <c r="Q405" s="170"/>
      <c r="AA405" s="170"/>
      <c r="AB405" s="170"/>
      <c r="AC405" s="170"/>
      <c r="AD405" s="170"/>
    </row>
    <row r="406">
      <c r="N406" s="170"/>
      <c r="O406" s="170"/>
      <c r="P406" s="170"/>
      <c r="Q406" s="170"/>
      <c r="AA406" s="170"/>
      <c r="AB406" s="170"/>
      <c r="AC406" s="170"/>
      <c r="AD406" s="170"/>
    </row>
    <row r="407">
      <c r="N407" s="170"/>
      <c r="O407" s="170"/>
      <c r="P407" s="170"/>
      <c r="Q407" s="170"/>
      <c r="AA407" s="170"/>
      <c r="AB407" s="170"/>
      <c r="AC407" s="170"/>
      <c r="AD407" s="170"/>
    </row>
    <row r="408">
      <c r="N408" s="170"/>
      <c r="O408" s="170"/>
      <c r="P408" s="170"/>
      <c r="Q408" s="170"/>
      <c r="AA408" s="170"/>
      <c r="AB408" s="170"/>
      <c r="AC408" s="170"/>
      <c r="AD408" s="170"/>
    </row>
    <row r="409">
      <c r="N409" s="170"/>
      <c r="O409" s="170"/>
      <c r="P409" s="170"/>
      <c r="Q409" s="170"/>
      <c r="AA409" s="170"/>
      <c r="AB409" s="170"/>
      <c r="AC409" s="170"/>
      <c r="AD409" s="170"/>
    </row>
    <row r="410">
      <c r="N410" s="170"/>
      <c r="O410" s="170"/>
      <c r="P410" s="170"/>
      <c r="Q410" s="170"/>
      <c r="AA410" s="170"/>
      <c r="AB410" s="170"/>
      <c r="AC410" s="170"/>
      <c r="AD410" s="170"/>
    </row>
    <row r="411">
      <c r="N411" s="170"/>
      <c r="O411" s="170"/>
      <c r="P411" s="170"/>
      <c r="Q411" s="170"/>
      <c r="AA411" s="170"/>
      <c r="AB411" s="170"/>
      <c r="AC411" s="170"/>
      <c r="AD411" s="170"/>
    </row>
    <row r="412">
      <c r="N412" s="170"/>
      <c r="O412" s="170"/>
      <c r="P412" s="170"/>
      <c r="Q412" s="170"/>
      <c r="AA412" s="170"/>
      <c r="AB412" s="170"/>
      <c r="AC412" s="170"/>
      <c r="AD412" s="170"/>
    </row>
    <row r="413">
      <c r="N413" s="170"/>
      <c r="O413" s="170"/>
      <c r="P413" s="170"/>
      <c r="Q413" s="170"/>
      <c r="AA413" s="170"/>
      <c r="AB413" s="170"/>
      <c r="AC413" s="170"/>
      <c r="AD413" s="170"/>
    </row>
    <row r="414">
      <c r="N414" s="170"/>
      <c r="O414" s="170"/>
      <c r="P414" s="170"/>
      <c r="Q414" s="170"/>
      <c r="AA414" s="170"/>
      <c r="AB414" s="170"/>
      <c r="AC414" s="170"/>
      <c r="AD414" s="170"/>
    </row>
    <row r="415">
      <c r="N415" s="170"/>
      <c r="O415" s="170"/>
      <c r="P415" s="170"/>
      <c r="Q415" s="170"/>
      <c r="AA415" s="170"/>
      <c r="AB415" s="170"/>
      <c r="AC415" s="170"/>
      <c r="AD415" s="170"/>
    </row>
    <row r="416">
      <c r="N416" s="170"/>
      <c r="O416" s="170"/>
      <c r="P416" s="170"/>
      <c r="Q416" s="170"/>
      <c r="AA416" s="170"/>
      <c r="AB416" s="170"/>
      <c r="AC416" s="170"/>
      <c r="AD416" s="170"/>
    </row>
    <row r="417">
      <c r="N417" s="170"/>
      <c r="O417" s="170"/>
      <c r="P417" s="170"/>
      <c r="Q417" s="170"/>
      <c r="AA417" s="170"/>
      <c r="AB417" s="170"/>
      <c r="AC417" s="170"/>
      <c r="AD417" s="170"/>
    </row>
    <row r="418">
      <c r="N418" s="170"/>
      <c r="O418" s="170"/>
      <c r="P418" s="170"/>
      <c r="Q418" s="170"/>
      <c r="AA418" s="170"/>
      <c r="AB418" s="170"/>
      <c r="AC418" s="170"/>
      <c r="AD418" s="170"/>
    </row>
    <row r="419">
      <c r="N419" s="170"/>
      <c r="O419" s="170"/>
      <c r="P419" s="170"/>
      <c r="Q419" s="170"/>
      <c r="AA419" s="170"/>
      <c r="AB419" s="170"/>
      <c r="AC419" s="170"/>
      <c r="AD419" s="170"/>
    </row>
    <row r="420">
      <c r="N420" s="170"/>
      <c r="O420" s="170"/>
      <c r="P420" s="170"/>
      <c r="Q420" s="170"/>
      <c r="AA420" s="170"/>
      <c r="AB420" s="170"/>
      <c r="AC420" s="170"/>
      <c r="AD420" s="170"/>
    </row>
    <row r="421">
      <c r="N421" s="170"/>
      <c r="O421" s="170"/>
      <c r="P421" s="170"/>
      <c r="Q421" s="170"/>
      <c r="AA421" s="170"/>
      <c r="AB421" s="170"/>
      <c r="AC421" s="170"/>
      <c r="AD421" s="170"/>
    </row>
    <row r="422">
      <c r="N422" s="170"/>
      <c r="O422" s="170"/>
      <c r="P422" s="170"/>
      <c r="Q422" s="170"/>
      <c r="AA422" s="170"/>
      <c r="AB422" s="170"/>
      <c r="AC422" s="170"/>
      <c r="AD422" s="170"/>
    </row>
    <row r="423">
      <c r="N423" s="170"/>
      <c r="O423" s="170"/>
      <c r="P423" s="170"/>
      <c r="Q423" s="170"/>
      <c r="AA423" s="170"/>
      <c r="AB423" s="170"/>
      <c r="AC423" s="170"/>
      <c r="AD423" s="170"/>
    </row>
    <row r="424">
      <c r="N424" s="170"/>
      <c r="O424" s="170"/>
      <c r="P424" s="170"/>
      <c r="Q424" s="170"/>
      <c r="AA424" s="170"/>
      <c r="AB424" s="170"/>
      <c r="AC424" s="170"/>
      <c r="AD424" s="170"/>
    </row>
    <row r="425">
      <c r="N425" s="170"/>
      <c r="O425" s="170"/>
      <c r="P425" s="170"/>
      <c r="Q425" s="170"/>
      <c r="AA425" s="170"/>
      <c r="AB425" s="170"/>
      <c r="AC425" s="170"/>
      <c r="AD425" s="170"/>
    </row>
    <row r="426">
      <c r="N426" s="170"/>
      <c r="O426" s="170"/>
      <c r="P426" s="170"/>
      <c r="Q426" s="170"/>
      <c r="AA426" s="170"/>
      <c r="AB426" s="170"/>
      <c r="AC426" s="170"/>
      <c r="AD426" s="170"/>
    </row>
    <row r="427">
      <c r="N427" s="170"/>
      <c r="O427" s="170"/>
      <c r="P427" s="170"/>
      <c r="Q427" s="170"/>
      <c r="AA427" s="170"/>
      <c r="AB427" s="170"/>
      <c r="AC427" s="170"/>
      <c r="AD427" s="170"/>
    </row>
    <row r="428">
      <c r="N428" s="170"/>
      <c r="O428" s="170"/>
      <c r="P428" s="170"/>
      <c r="Q428" s="170"/>
      <c r="AA428" s="170"/>
      <c r="AB428" s="170"/>
      <c r="AC428" s="170"/>
      <c r="AD428" s="170"/>
    </row>
    <row r="429">
      <c r="N429" s="170"/>
      <c r="O429" s="170"/>
      <c r="P429" s="170"/>
      <c r="Q429" s="170"/>
      <c r="AA429" s="170"/>
      <c r="AB429" s="170"/>
      <c r="AC429" s="170"/>
      <c r="AD429" s="170"/>
    </row>
    <row r="430">
      <c r="N430" s="170"/>
      <c r="O430" s="170"/>
      <c r="P430" s="170"/>
      <c r="Q430" s="170"/>
      <c r="AA430" s="170"/>
      <c r="AB430" s="170"/>
      <c r="AC430" s="170"/>
      <c r="AD430" s="170"/>
    </row>
    <row r="431">
      <c r="N431" s="170"/>
      <c r="O431" s="170"/>
      <c r="P431" s="170"/>
      <c r="Q431" s="170"/>
      <c r="AA431" s="170"/>
      <c r="AB431" s="170"/>
      <c r="AC431" s="170"/>
      <c r="AD431" s="170"/>
    </row>
    <row r="432">
      <c r="N432" s="170"/>
      <c r="O432" s="170"/>
      <c r="P432" s="170"/>
      <c r="Q432" s="170"/>
      <c r="AA432" s="170"/>
      <c r="AB432" s="170"/>
      <c r="AC432" s="170"/>
      <c r="AD432" s="170"/>
    </row>
    <row r="433">
      <c r="N433" s="170"/>
      <c r="O433" s="170"/>
      <c r="P433" s="170"/>
      <c r="Q433" s="170"/>
      <c r="AA433" s="170"/>
      <c r="AB433" s="170"/>
      <c r="AC433" s="170"/>
      <c r="AD433" s="170"/>
    </row>
    <row r="434">
      <c r="N434" s="170"/>
      <c r="O434" s="170"/>
      <c r="P434" s="170"/>
      <c r="Q434" s="170"/>
      <c r="AA434" s="170"/>
      <c r="AB434" s="170"/>
      <c r="AC434" s="170"/>
      <c r="AD434" s="170"/>
    </row>
    <row r="435">
      <c r="N435" s="170"/>
      <c r="O435" s="170"/>
      <c r="P435" s="170"/>
      <c r="Q435" s="170"/>
      <c r="AA435" s="170"/>
      <c r="AB435" s="170"/>
      <c r="AC435" s="170"/>
      <c r="AD435" s="170"/>
    </row>
    <row r="436">
      <c r="N436" s="170"/>
      <c r="O436" s="170"/>
      <c r="P436" s="170"/>
      <c r="Q436" s="170"/>
      <c r="AA436" s="170"/>
      <c r="AB436" s="170"/>
      <c r="AC436" s="170"/>
      <c r="AD436" s="170"/>
    </row>
    <row r="437">
      <c r="N437" s="170"/>
      <c r="O437" s="170"/>
      <c r="P437" s="170"/>
      <c r="Q437" s="170"/>
      <c r="AA437" s="170"/>
      <c r="AB437" s="170"/>
      <c r="AC437" s="170"/>
      <c r="AD437" s="170"/>
    </row>
    <row r="438">
      <c r="N438" s="170"/>
      <c r="O438" s="170"/>
      <c r="P438" s="170"/>
      <c r="Q438" s="170"/>
      <c r="AA438" s="170"/>
      <c r="AB438" s="170"/>
      <c r="AC438" s="170"/>
      <c r="AD438" s="170"/>
    </row>
    <row r="439">
      <c r="N439" s="170"/>
      <c r="O439" s="170"/>
      <c r="P439" s="170"/>
      <c r="Q439" s="170"/>
      <c r="AA439" s="170"/>
      <c r="AB439" s="170"/>
      <c r="AC439" s="170"/>
      <c r="AD439" s="170"/>
    </row>
    <row r="440">
      <c r="N440" s="170"/>
      <c r="O440" s="170"/>
      <c r="P440" s="170"/>
      <c r="Q440" s="170"/>
      <c r="AA440" s="170"/>
      <c r="AB440" s="170"/>
      <c r="AC440" s="170"/>
      <c r="AD440" s="170"/>
    </row>
    <row r="441">
      <c r="N441" s="170"/>
      <c r="O441" s="170"/>
      <c r="P441" s="170"/>
      <c r="Q441" s="170"/>
      <c r="AA441" s="170"/>
      <c r="AB441" s="170"/>
      <c r="AC441" s="170"/>
      <c r="AD441" s="170"/>
    </row>
    <row r="442">
      <c r="N442" s="170"/>
      <c r="O442" s="170"/>
      <c r="P442" s="170"/>
      <c r="Q442" s="170"/>
      <c r="AA442" s="170"/>
      <c r="AB442" s="170"/>
      <c r="AC442" s="170"/>
      <c r="AD442" s="170"/>
    </row>
    <row r="443">
      <c r="N443" s="170"/>
      <c r="O443" s="170"/>
      <c r="P443" s="170"/>
      <c r="Q443" s="170"/>
      <c r="AA443" s="170"/>
      <c r="AB443" s="170"/>
      <c r="AC443" s="170"/>
      <c r="AD443" s="170"/>
    </row>
    <row r="444">
      <c r="N444" s="170"/>
      <c r="O444" s="170"/>
      <c r="P444" s="170"/>
      <c r="Q444" s="170"/>
      <c r="AA444" s="170"/>
      <c r="AB444" s="170"/>
      <c r="AC444" s="170"/>
      <c r="AD444" s="170"/>
    </row>
    <row r="445">
      <c r="N445" s="170"/>
      <c r="O445" s="170"/>
      <c r="P445" s="170"/>
      <c r="Q445" s="170"/>
      <c r="AA445" s="170"/>
      <c r="AB445" s="170"/>
      <c r="AC445" s="170"/>
      <c r="AD445" s="170"/>
    </row>
    <row r="446">
      <c r="N446" s="170"/>
      <c r="O446" s="170"/>
      <c r="P446" s="170"/>
      <c r="Q446" s="170"/>
      <c r="AA446" s="170"/>
      <c r="AB446" s="170"/>
      <c r="AC446" s="170"/>
      <c r="AD446" s="170"/>
    </row>
    <row r="447">
      <c r="N447" s="170"/>
      <c r="O447" s="170"/>
      <c r="P447" s="170"/>
      <c r="Q447" s="170"/>
      <c r="AA447" s="170"/>
      <c r="AB447" s="170"/>
      <c r="AC447" s="170"/>
      <c r="AD447" s="170"/>
    </row>
    <row r="448">
      <c r="N448" s="170"/>
      <c r="O448" s="170"/>
      <c r="P448" s="170"/>
      <c r="Q448" s="170"/>
      <c r="AA448" s="170"/>
      <c r="AB448" s="170"/>
      <c r="AC448" s="170"/>
      <c r="AD448" s="170"/>
    </row>
    <row r="449">
      <c r="N449" s="170"/>
      <c r="O449" s="170"/>
      <c r="P449" s="170"/>
      <c r="Q449" s="170"/>
      <c r="AA449" s="170"/>
      <c r="AB449" s="170"/>
      <c r="AC449" s="170"/>
      <c r="AD449" s="170"/>
    </row>
    <row r="450">
      <c r="N450" s="170"/>
      <c r="O450" s="170"/>
      <c r="P450" s="170"/>
      <c r="Q450" s="170"/>
      <c r="AA450" s="170"/>
      <c r="AB450" s="170"/>
      <c r="AC450" s="170"/>
      <c r="AD450" s="170"/>
    </row>
    <row r="451">
      <c r="N451" s="170"/>
      <c r="O451" s="170"/>
      <c r="P451" s="170"/>
      <c r="Q451" s="170"/>
      <c r="AA451" s="170"/>
      <c r="AB451" s="170"/>
      <c r="AC451" s="170"/>
      <c r="AD451" s="170"/>
    </row>
    <row r="452">
      <c r="N452" s="170"/>
      <c r="O452" s="170"/>
      <c r="P452" s="170"/>
      <c r="Q452" s="170"/>
      <c r="AA452" s="170"/>
      <c r="AB452" s="170"/>
      <c r="AC452" s="170"/>
      <c r="AD452" s="170"/>
    </row>
    <row r="453">
      <c r="N453" s="170"/>
      <c r="O453" s="170"/>
      <c r="P453" s="170"/>
      <c r="Q453" s="170"/>
      <c r="AA453" s="170"/>
      <c r="AB453" s="170"/>
      <c r="AC453" s="170"/>
      <c r="AD453" s="170"/>
    </row>
    <row r="454">
      <c r="N454" s="170"/>
      <c r="O454" s="170"/>
      <c r="P454" s="170"/>
      <c r="Q454" s="170"/>
      <c r="AA454" s="170"/>
      <c r="AB454" s="170"/>
      <c r="AC454" s="170"/>
      <c r="AD454" s="170"/>
    </row>
    <row r="455">
      <c r="N455" s="170"/>
      <c r="O455" s="170"/>
      <c r="P455" s="170"/>
      <c r="Q455" s="170"/>
      <c r="AA455" s="170"/>
      <c r="AB455" s="170"/>
      <c r="AC455" s="170"/>
      <c r="AD455" s="170"/>
    </row>
    <row r="456">
      <c r="N456" s="170"/>
      <c r="O456" s="170"/>
      <c r="P456" s="170"/>
      <c r="Q456" s="170"/>
      <c r="AA456" s="170"/>
      <c r="AB456" s="170"/>
      <c r="AC456" s="170"/>
      <c r="AD456" s="170"/>
    </row>
    <row r="457">
      <c r="N457" s="170"/>
      <c r="O457" s="170"/>
      <c r="P457" s="170"/>
      <c r="Q457" s="170"/>
      <c r="AA457" s="170"/>
      <c r="AB457" s="170"/>
      <c r="AC457" s="170"/>
      <c r="AD457" s="170"/>
    </row>
    <row r="458">
      <c r="N458" s="170"/>
      <c r="O458" s="170"/>
      <c r="P458" s="170"/>
      <c r="Q458" s="170"/>
      <c r="AA458" s="170"/>
      <c r="AB458" s="170"/>
      <c r="AC458" s="170"/>
      <c r="AD458" s="170"/>
    </row>
    <row r="459">
      <c r="N459" s="170"/>
      <c r="O459" s="170"/>
      <c r="P459" s="170"/>
      <c r="Q459" s="170"/>
      <c r="AA459" s="170"/>
      <c r="AB459" s="170"/>
      <c r="AC459" s="170"/>
      <c r="AD459" s="170"/>
    </row>
    <row r="460">
      <c r="N460" s="170"/>
      <c r="O460" s="170"/>
      <c r="P460" s="170"/>
      <c r="Q460" s="170"/>
      <c r="AA460" s="170"/>
      <c r="AB460" s="170"/>
      <c r="AC460" s="170"/>
      <c r="AD460" s="170"/>
    </row>
    <row r="461">
      <c r="N461" s="170"/>
      <c r="O461" s="170"/>
      <c r="P461" s="170"/>
      <c r="Q461" s="170"/>
      <c r="AA461" s="170"/>
      <c r="AB461" s="170"/>
      <c r="AC461" s="170"/>
      <c r="AD461" s="170"/>
    </row>
    <row r="462">
      <c r="N462" s="170"/>
      <c r="O462" s="170"/>
      <c r="P462" s="170"/>
      <c r="Q462" s="170"/>
      <c r="AA462" s="170"/>
      <c r="AB462" s="170"/>
      <c r="AC462" s="170"/>
      <c r="AD462" s="170"/>
    </row>
    <row r="463">
      <c r="N463" s="170"/>
      <c r="O463" s="170"/>
      <c r="P463" s="170"/>
      <c r="Q463" s="170"/>
      <c r="AA463" s="170"/>
      <c r="AB463" s="170"/>
      <c r="AC463" s="170"/>
      <c r="AD463" s="170"/>
    </row>
    <row r="464">
      <c r="N464" s="170"/>
      <c r="O464" s="170"/>
      <c r="P464" s="170"/>
      <c r="Q464" s="170"/>
      <c r="AA464" s="170"/>
      <c r="AB464" s="170"/>
      <c r="AC464" s="170"/>
      <c r="AD464" s="170"/>
    </row>
    <row r="465">
      <c r="N465" s="170"/>
      <c r="O465" s="170"/>
      <c r="P465" s="170"/>
      <c r="Q465" s="170"/>
      <c r="AA465" s="170"/>
      <c r="AB465" s="170"/>
      <c r="AC465" s="170"/>
      <c r="AD465" s="170"/>
    </row>
    <row r="466">
      <c r="N466" s="170"/>
      <c r="O466" s="170"/>
      <c r="P466" s="170"/>
      <c r="Q466" s="170"/>
      <c r="AA466" s="170"/>
      <c r="AB466" s="170"/>
      <c r="AC466" s="170"/>
      <c r="AD466" s="170"/>
    </row>
    <row r="467">
      <c r="N467" s="170"/>
      <c r="O467" s="170"/>
      <c r="P467" s="170"/>
      <c r="Q467" s="170"/>
      <c r="AA467" s="170"/>
      <c r="AB467" s="170"/>
      <c r="AC467" s="170"/>
      <c r="AD467" s="170"/>
    </row>
    <row r="468">
      <c r="N468" s="170"/>
      <c r="O468" s="170"/>
      <c r="P468" s="170"/>
      <c r="Q468" s="170"/>
      <c r="AA468" s="170"/>
      <c r="AB468" s="170"/>
      <c r="AC468" s="170"/>
      <c r="AD468" s="170"/>
    </row>
    <row r="469">
      <c r="N469" s="170"/>
      <c r="O469" s="170"/>
      <c r="P469" s="170"/>
      <c r="Q469" s="170"/>
      <c r="AA469" s="170"/>
      <c r="AB469" s="170"/>
      <c r="AC469" s="170"/>
      <c r="AD469" s="170"/>
    </row>
    <row r="470">
      <c r="N470" s="170"/>
      <c r="O470" s="170"/>
      <c r="P470" s="170"/>
      <c r="Q470" s="170"/>
      <c r="AA470" s="170"/>
      <c r="AB470" s="170"/>
      <c r="AC470" s="170"/>
      <c r="AD470" s="170"/>
    </row>
    <row r="471">
      <c r="N471" s="170"/>
      <c r="O471" s="170"/>
      <c r="P471" s="170"/>
      <c r="Q471" s="170"/>
      <c r="AA471" s="170"/>
      <c r="AB471" s="170"/>
      <c r="AC471" s="170"/>
      <c r="AD471" s="170"/>
    </row>
    <row r="472">
      <c r="N472" s="170"/>
      <c r="O472" s="170"/>
      <c r="P472" s="170"/>
      <c r="Q472" s="170"/>
      <c r="AA472" s="170"/>
      <c r="AB472" s="170"/>
      <c r="AC472" s="170"/>
      <c r="AD472" s="170"/>
    </row>
    <row r="473">
      <c r="N473" s="170"/>
      <c r="O473" s="170"/>
      <c r="P473" s="170"/>
      <c r="Q473" s="170"/>
      <c r="AA473" s="170"/>
      <c r="AB473" s="170"/>
      <c r="AC473" s="170"/>
      <c r="AD473" s="170"/>
    </row>
    <row r="474">
      <c r="N474" s="170"/>
      <c r="O474" s="170"/>
      <c r="P474" s="170"/>
      <c r="Q474" s="170"/>
      <c r="AA474" s="170"/>
      <c r="AB474" s="170"/>
      <c r="AC474" s="170"/>
      <c r="AD474" s="170"/>
    </row>
    <row r="475">
      <c r="N475" s="170"/>
      <c r="O475" s="170"/>
      <c r="P475" s="170"/>
      <c r="Q475" s="170"/>
      <c r="AA475" s="170"/>
      <c r="AB475" s="170"/>
      <c r="AC475" s="170"/>
      <c r="AD475" s="170"/>
    </row>
    <row r="476">
      <c r="N476" s="170"/>
      <c r="O476" s="170"/>
      <c r="P476" s="170"/>
      <c r="Q476" s="170"/>
      <c r="AA476" s="170"/>
      <c r="AB476" s="170"/>
      <c r="AC476" s="170"/>
      <c r="AD476" s="170"/>
    </row>
    <row r="477">
      <c r="N477" s="170"/>
      <c r="O477" s="170"/>
      <c r="P477" s="170"/>
      <c r="Q477" s="170"/>
      <c r="AA477" s="170"/>
      <c r="AB477" s="170"/>
      <c r="AC477" s="170"/>
      <c r="AD477" s="170"/>
    </row>
    <row r="478">
      <c r="N478" s="170"/>
      <c r="O478" s="170"/>
      <c r="P478" s="170"/>
      <c r="Q478" s="170"/>
      <c r="AA478" s="170"/>
      <c r="AB478" s="170"/>
      <c r="AC478" s="170"/>
      <c r="AD478" s="170"/>
    </row>
    <row r="479">
      <c r="N479" s="170"/>
      <c r="O479" s="170"/>
      <c r="P479" s="170"/>
      <c r="Q479" s="170"/>
      <c r="AA479" s="170"/>
      <c r="AB479" s="170"/>
      <c r="AC479" s="170"/>
      <c r="AD479" s="170"/>
    </row>
    <row r="480">
      <c r="N480" s="170"/>
      <c r="O480" s="170"/>
      <c r="P480" s="170"/>
      <c r="Q480" s="170"/>
      <c r="AA480" s="170"/>
      <c r="AB480" s="170"/>
      <c r="AC480" s="170"/>
      <c r="AD480" s="170"/>
    </row>
    <row r="481">
      <c r="N481" s="170"/>
      <c r="O481" s="170"/>
      <c r="P481" s="170"/>
      <c r="Q481" s="170"/>
      <c r="AA481" s="170"/>
      <c r="AB481" s="170"/>
      <c r="AC481" s="170"/>
      <c r="AD481" s="170"/>
    </row>
    <row r="482">
      <c r="N482" s="170"/>
      <c r="O482" s="170"/>
      <c r="P482" s="170"/>
      <c r="Q482" s="170"/>
      <c r="AA482" s="170"/>
      <c r="AB482" s="170"/>
      <c r="AC482" s="170"/>
      <c r="AD482" s="170"/>
    </row>
    <row r="483">
      <c r="N483" s="170"/>
      <c r="O483" s="170"/>
      <c r="P483" s="170"/>
      <c r="Q483" s="170"/>
      <c r="AA483" s="170"/>
      <c r="AB483" s="170"/>
      <c r="AC483" s="170"/>
      <c r="AD483" s="170"/>
    </row>
    <row r="484">
      <c r="N484" s="170"/>
      <c r="O484" s="170"/>
      <c r="P484" s="170"/>
      <c r="Q484" s="170"/>
      <c r="AA484" s="170"/>
      <c r="AB484" s="170"/>
      <c r="AC484" s="170"/>
      <c r="AD484" s="170"/>
    </row>
    <row r="485">
      <c r="N485" s="170"/>
      <c r="O485" s="170"/>
      <c r="P485" s="170"/>
      <c r="Q485" s="170"/>
      <c r="AA485" s="170"/>
      <c r="AB485" s="170"/>
      <c r="AC485" s="170"/>
      <c r="AD485" s="170"/>
    </row>
    <row r="486">
      <c r="N486" s="170"/>
      <c r="O486" s="170"/>
      <c r="P486" s="170"/>
      <c r="Q486" s="170"/>
      <c r="AA486" s="170"/>
      <c r="AB486" s="170"/>
      <c r="AC486" s="170"/>
      <c r="AD486" s="170"/>
    </row>
    <row r="487">
      <c r="N487" s="170"/>
      <c r="O487" s="170"/>
      <c r="P487" s="170"/>
      <c r="Q487" s="170"/>
      <c r="AA487" s="170"/>
      <c r="AB487" s="170"/>
      <c r="AC487" s="170"/>
      <c r="AD487" s="170"/>
    </row>
    <row r="488">
      <c r="N488" s="170"/>
      <c r="O488" s="170"/>
      <c r="P488" s="170"/>
      <c r="Q488" s="170"/>
      <c r="AA488" s="170"/>
      <c r="AB488" s="170"/>
      <c r="AC488" s="170"/>
      <c r="AD488" s="170"/>
    </row>
    <row r="489">
      <c r="N489" s="170"/>
      <c r="O489" s="170"/>
      <c r="P489" s="170"/>
      <c r="Q489" s="170"/>
      <c r="AA489" s="170"/>
      <c r="AB489" s="170"/>
      <c r="AC489" s="170"/>
      <c r="AD489" s="170"/>
    </row>
    <row r="490">
      <c r="N490" s="170"/>
      <c r="O490" s="170"/>
      <c r="P490" s="170"/>
      <c r="Q490" s="170"/>
      <c r="AA490" s="170"/>
      <c r="AB490" s="170"/>
      <c r="AC490" s="170"/>
      <c r="AD490" s="170"/>
    </row>
    <row r="491">
      <c r="N491" s="170"/>
      <c r="O491" s="170"/>
      <c r="P491" s="170"/>
      <c r="Q491" s="170"/>
      <c r="AA491" s="170"/>
      <c r="AB491" s="170"/>
      <c r="AC491" s="170"/>
      <c r="AD491" s="170"/>
    </row>
    <row r="492">
      <c r="N492" s="170"/>
      <c r="O492" s="170"/>
      <c r="P492" s="170"/>
      <c r="Q492" s="170"/>
      <c r="AA492" s="170"/>
      <c r="AB492" s="170"/>
      <c r="AC492" s="170"/>
      <c r="AD492" s="170"/>
    </row>
    <row r="493">
      <c r="N493" s="170"/>
      <c r="O493" s="170"/>
      <c r="P493" s="170"/>
      <c r="Q493" s="170"/>
      <c r="AA493" s="170"/>
      <c r="AB493" s="170"/>
      <c r="AC493" s="170"/>
      <c r="AD493" s="170"/>
    </row>
    <row r="494">
      <c r="N494" s="170"/>
      <c r="O494" s="170"/>
      <c r="P494" s="170"/>
      <c r="Q494" s="170"/>
      <c r="AA494" s="170"/>
      <c r="AB494" s="170"/>
      <c r="AC494" s="170"/>
      <c r="AD494" s="170"/>
    </row>
    <row r="495">
      <c r="N495" s="170"/>
      <c r="O495" s="170"/>
      <c r="P495" s="170"/>
      <c r="Q495" s="170"/>
      <c r="AA495" s="170"/>
      <c r="AB495" s="170"/>
      <c r="AC495" s="170"/>
      <c r="AD495" s="170"/>
    </row>
    <row r="496">
      <c r="N496" s="170"/>
      <c r="O496" s="170"/>
      <c r="P496" s="170"/>
      <c r="Q496" s="170"/>
      <c r="AA496" s="170"/>
      <c r="AB496" s="170"/>
      <c r="AC496" s="170"/>
      <c r="AD496" s="170"/>
    </row>
    <row r="497">
      <c r="N497" s="170"/>
      <c r="O497" s="170"/>
      <c r="P497" s="170"/>
      <c r="Q497" s="170"/>
      <c r="AA497" s="170"/>
      <c r="AB497" s="170"/>
      <c r="AC497" s="170"/>
      <c r="AD497" s="170"/>
    </row>
    <row r="498">
      <c r="N498" s="170"/>
      <c r="O498" s="170"/>
      <c r="P498" s="170"/>
      <c r="Q498" s="170"/>
      <c r="AA498" s="170"/>
      <c r="AB498" s="170"/>
      <c r="AC498" s="170"/>
      <c r="AD498" s="170"/>
    </row>
    <row r="499">
      <c r="N499" s="170"/>
      <c r="O499" s="170"/>
      <c r="P499" s="170"/>
      <c r="Q499" s="170"/>
      <c r="AA499" s="170"/>
      <c r="AB499" s="170"/>
      <c r="AC499" s="170"/>
      <c r="AD499" s="170"/>
    </row>
    <row r="500">
      <c r="N500" s="170"/>
      <c r="O500" s="170"/>
      <c r="P500" s="170"/>
      <c r="Q500" s="170"/>
      <c r="AA500" s="170"/>
      <c r="AB500" s="170"/>
      <c r="AC500" s="170"/>
      <c r="AD500" s="170"/>
    </row>
    <row r="501">
      <c r="N501" s="170"/>
      <c r="O501" s="170"/>
      <c r="P501" s="170"/>
      <c r="Q501" s="170"/>
      <c r="AA501" s="170"/>
      <c r="AB501" s="170"/>
      <c r="AC501" s="170"/>
      <c r="AD501" s="170"/>
    </row>
    <row r="502">
      <c r="N502" s="170"/>
      <c r="O502" s="170"/>
      <c r="P502" s="170"/>
      <c r="Q502" s="170"/>
      <c r="AA502" s="170"/>
      <c r="AB502" s="170"/>
      <c r="AC502" s="170"/>
      <c r="AD502" s="170"/>
    </row>
    <row r="503">
      <c r="N503" s="170"/>
      <c r="O503" s="170"/>
      <c r="P503" s="170"/>
      <c r="Q503" s="170"/>
      <c r="AA503" s="170"/>
      <c r="AB503" s="170"/>
      <c r="AC503" s="170"/>
      <c r="AD503" s="170"/>
    </row>
    <row r="504">
      <c r="N504" s="170"/>
      <c r="O504" s="170"/>
      <c r="P504" s="170"/>
      <c r="Q504" s="170"/>
      <c r="AA504" s="170"/>
      <c r="AB504" s="170"/>
      <c r="AC504" s="170"/>
      <c r="AD504" s="170"/>
    </row>
    <row r="505">
      <c r="N505" s="170"/>
      <c r="O505" s="170"/>
      <c r="P505" s="170"/>
      <c r="Q505" s="170"/>
      <c r="AA505" s="170"/>
      <c r="AB505" s="170"/>
      <c r="AC505" s="170"/>
      <c r="AD505" s="170"/>
    </row>
    <row r="506">
      <c r="N506" s="170"/>
      <c r="O506" s="170"/>
      <c r="P506" s="170"/>
      <c r="Q506" s="170"/>
      <c r="AA506" s="170"/>
      <c r="AB506" s="170"/>
      <c r="AC506" s="170"/>
      <c r="AD506" s="170"/>
    </row>
    <row r="507">
      <c r="N507" s="170"/>
      <c r="O507" s="170"/>
      <c r="P507" s="170"/>
      <c r="Q507" s="170"/>
      <c r="AA507" s="170"/>
      <c r="AB507" s="170"/>
      <c r="AC507" s="170"/>
      <c r="AD507" s="170"/>
    </row>
    <row r="508">
      <c r="N508" s="170"/>
      <c r="O508" s="170"/>
      <c r="P508" s="170"/>
      <c r="Q508" s="170"/>
      <c r="AA508" s="170"/>
      <c r="AB508" s="170"/>
      <c r="AC508" s="170"/>
      <c r="AD508" s="170"/>
    </row>
    <row r="509">
      <c r="N509" s="170"/>
      <c r="O509" s="170"/>
      <c r="P509" s="170"/>
      <c r="Q509" s="170"/>
      <c r="AA509" s="170"/>
      <c r="AB509" s="170"/>
      <c r="AC509" s="170"/>
      <c r="AD509" s="170"/>
    </row>
    <row r="510">
      <c r="N510" s="170"/>
      <c r="O510" s="170"/>
      <c r="P510" s="170"/>
      <c r="Q510" s="170"/>
      <c r="AA510" s="170"/>
      <c r="AB510" s="170"/>
      <c r="AC510" s="170"/>
      <c r="AD510" s="170"/>
    </row>
    <row r="511">
      <c r="N511" s="170"/>
      <c r="O511" s="170"/>
      <c r="P511" s="170"/>
      <c r="Q511" s="170"/>
      <c r="AA511" s="170"/>
      <c r="AB511" s="170"/>
      <c r="AC511" s="170"/>
      <c r="AD511" s="170"/>
    </row>
    <row r="512">
      <c r="N512" s="170"/>
      <c r="O512" s="170"/>
      <c r="P512" s="170"/>
      <c r="Q512" s="170"/>
      <c r="AA512" s="170"/>
      <c r="AB512" s="170"/>
      <c r="AC512" s="170"/>
      <c r="AD512" s="170"/>
    </row>
    <row r="513">
      <c r="N513" s="170"/>
      <c r="O513" s="170"/>
      <c r="P513" s="170"/>
      <c r="Q513" s="170"/>
      <c r="AA513" s="170"/>
      <c r="AB513" s="170"/>
      <c r="AC513" s="170"/>
      <c r="AD513" s="170"/>
    </row>
    <row r="514">
      <c r="N514" s="170"/>
      <c r="O514" s="170"/>
      <c r="P514" s="170"/>
      <c r="Q514" s="170"/>
      <c r="AA514" s="170"/>
      <c r="AB514" s="170"/>
      <c r="AC514" s="170"/>
      <c r="AD514" s="170"/>
    </row>
    <row r="515">
      <c r="N515" s="170"/>
      <c r="O515" s="170"/>
      <c r="P515" s="170"/>
      <c r="Q515" s="170"/>
      <c r="AA515" s="170"/>
      <c r="AB515" s="170"/>
      <c r="AC515" s="170"/>
      <c r="AD515" s="170"/>
    </row>
    <row r="516">
      <c r="N516" s="170"/>
      <c r="O516" s="170"/>
      <c r="P516" s="170"/>
      <c r="Q516" s="170"/>
      <c r="AA516" s="170"/>
      <c r="AB516" s="170"/>
      <c r="AC516" s="170"/>
      <c r="AD516" s="170"/>
    </row>
    <row r="517">
      <c r="N517" s="170"/>
      <c r="O517" s="170"/>
      <c r="P517" s="170"/>
      <c r="Q517" s="170"/>
      <c r="AA517" s="170"/>
      <c r="AB517" s="170"/>
      <c r="AC517" s="170"/>
      <c r="AD517" s="170"/>
    </row>
    <row r="518">
      <c r="N518" s="170"/>
      <c r="O518" s="170"/>
      <c r="P518" s="170"/>
      <c r="Q518" s="170"/>
      <c r="AA518" s="170"/>
      <c r="AB518" s="170"/>
      <c r="AC518" s="170"/>
      <c r="AD518" s="170"/>
    </row>
    <row r="519">
      <c r="N519" s="170"/>
      <c r="O519" s="170"/>
      <c r="P519" s="170"/>
      <c r="Q519" s="170"/>
      <c r="AA519" s="170"/>
      <c r="AB519" s="170"/>
      <c r="AC519" s="170"/>
      <c r="AD519" s="170"/>
    </row>
    <row r="520">
      <c r="N520" s="170"/>
      <c r="O520" s="170"/>
      <c r="P520" s="170"/>
      <c r="Q520" s="170"/>
      <c r="AA520" s="170"/>
      <c r="AB520" s="170"/>
      <c r="AC520" s="170"/>
      <c r="AD520" s="170"/>
    </row>
    <row r="521">
      <c r="N521" s="170"/>
      <c r="O521" s="170"/>
      <c r="P521" s="170"/>
      <c r="Q521" s="170"/>
      <c r="AA521" s="170"/>
      <c r="AB521" s="170"/>
      <c r="AC521" s="170"/>
      <c r="AD521" s="170"/>
    </row>
    <row r="522">
      <c r="N522" s="170"/>
      <c r="O522" s="170"/>
      <c r="P522" s="170"/>
      <c r="Q522" s="170"/>
      <c r="AA522" s="170"/>
      <c r="AB522" s="170"/>
      <c r="AC522" s="170"/>
      <c r="AD522" s="170"/>
    </row>
    <row r="523">
      <c r="N523" s="170"/>
      <c r="O523" s="170"/>
      <c r="P523" s="170"/>
      <c r="Q523" s="170"/>
      <c r="AA523" s="170"/>
      <c r="AB523" s="170"/>
      <c r="AC523" s="170"/>
      <c r="AD523" s="170"/>
    </row>
    <row r="524">
      <c r="N524" s="170"/>
      <c r="O524" s="170"/>
      <c r="P524" s="170"/>
      <c r="Q524" s="170"/>
      <c r="AA524" s="170"/>
      <c r="AB524" s="170"/>
      <c r="AC524" s="170"/>
      <c r="AD524" s="170"/>
    </row>
    <row r="525">
      <c r="N525" s="170"/>
      <c r="O525" s="170"/>
      <c r="P525" s="170"/>
      <c r="Q525" s="170"/>
      <c r="AA525" s="170"/>
      <c r="AB525" s="170"/>
      <c r="AC525" s="170"/>
      <c r="AD525" s="170"/>
    </row>
    <row r="526">
      <c r="N526" s="170"/>
      <c r="O526" s="170"/>
      <c r="P526" s="170"/>
      <c r="Q526" s="170"/>
      <c r="AA526" s="170"/>
      <c r="AB526" s="170"/>
      <c r="AC526" s="170"/>
      <c r="AD526" s="170"/>
    </row>
    <row r="527">
      <c r="N527" s="170"/>
      <c r="O527" s="170"/>
      <c r="P527" s="170"/>
      <c r="Q527" s="170"/>
      <c r="AA527" s="170"/>
      <c r="AB527" s="170"/>
      <c r="AC527" s="170"/>
      <c r="AD527" s="170"/>
    </row>
    <row r="528">
      <c r="N528" s="170"/>
      <c r="O528" s="170"/>
      <c r="P528" s="170"/>
      <c r="Q528" s="170"/>
      <c r="AA528" s="170"/>
      <c r="AB528" s="170"/>
      <c r="AC528" s="170"/>
      <c r="AD528" s="170"/>
    </row>
    <row r="529">
      <c r="N529" s="170"/>
      <c r="O529" s="170"/>
      <c r="P529" s="170"/>
      <c r="Q529" s="170"/>
      <c r="AA529" s="170"/>
      <c r="AB529" s="170"/>
      <c r="AC529" s="170"/>
      <c r="AD529" s="170"/>
    </row>
    <row r="530">
      <c r="N530" s="170"/>
      <c r="O530" s="170"/>
      <c r="P530" s="170"/>
      <c r="Q530" s="170"/>
      <c r="AA530" s="170"/>
      <c r="AB530" s="170"/>
      <c r="AC530" s="170"/>
      <c r="AD530" s="170"/>
    </row>
    <row r="531">
      <c r="N531" s="170"/>
      <c r="O531" s="170"/>
      <c r="P531" s="170"/>
      <c r="Q531" s="170"/>
      <c r="AA531" s="170"/>
      <c r="AB531" s="170"/>
      <c r="AC531" s="170"/>
      <c r="AD531" s="170"/>
    </row>
    <row r="532">
      <c r="N532" s="170"/>
      <c r="O532" s="170"/>
      <c r="P532" s="170"/>
      <c r="Q532" s="170"/>
      <c r="AA532" s="170"/>
      <c r="AB532" s="170"/>
      <c r="AC532" s="170"/>
      <c r="AD532" s="170"/>
    </row>
    <row r="533">
      <c r="N533" s="170"/>
      <c r="O533" s="170"/>
      <c r="P533" s="170"/>
      <c r="Q533" s="170"/>
      <c r="AA533" s="170"/>
      <c r="AB533" s="170"/>
      <c r="AC533" s="170"/>
      <c r="AD533" s="170"/>
    </row>
    <row r="534">
      <c r="N534" s="170"/>
      <c r="O534" s="170"/>
      <c r="P534" s="170"/>
      <c r="Q534" s="170"/>
      <c r="AA534" s="170"/>
      <c r="AB534" s="170"/>
      <c r="AC534" s="170"/>
      <c r="AD534" s="170"/>
    </row>
    <row r="535">
      <c r="N535" s="170"/>
      <c r="O535" s="170"/>
      <c r="P535" s="170"/>
      <c r="Q535" s="170"/>
      <c r="AA535" s="170"/>
      <c r="AB535" s="170"/>
      <c r="AC535" s="170"/>
      <c r="AD535" s="170"/>
    </row>
    <row r="536">
      <c r="N536" s="170"/>
      <c r="O536" s="170"/>
      <c r="P536" s="170"/>
      <c r="Q536" s="170"/>
      <c r="AA536" s="170"/>
      <c r="AB536" s="170"/>
      <c r="AC536" s="170"/>
      <c r="AD536" s="170"/>
    </row>
    <row r="537">
      <c r="N537" s="170"/>
      <c r="O537" s="170"/>
      <c r="P537" s="170"/>
      <c r="Q537" s="170"/>
      <c r="AA537" s="170"/>
      <c r="AB537" s="170"/>
      <c r="AC537" s="170"/>
      <c r="AD537" s="170"/>
    </row>
    <row r="538">
      <c r="N538" s="170"/>
      <c r="O538" s="170"/>
      <c r="P538" s="170"/>
      <c r="Q538" s="170"/>
      <c r="AA538" s="170"/>
      <c r="AB538" s="170"/>
      <c r="AC538" s="170"/>
      <c r="AD538" s="170"/>
    </row>
    <row r="539">
      <c r="N539" s="170"/>
      <c r="O539" s="170"/>
      <c r="P539" s="170"/>
      <c r="Q539" s="170"/>
      <c r="AA539" s="170"/>
      <c r="AB539" s="170"/>
      <c r="AC539" s="170"/>
      <c r="AD539" s="170"/>
    </row>
    <row r="540">
      <c r="N540" s="170"/>
      <c r="O540" s="170"/>
      <c r="P540" s="170"/>
      <c r="Q540" s="170"/>
      <c r="AA540" s="170"/>
      <c r="AB540" s="170"/>
      <c r="AC540" s="170"/>
      <c r="AD540" s="170"/>
    </row>
    <row r="541">
      <c r="N541" s="170"/>
      <c r="O541" s="170"/>
      <c r="P541" s="170"/>
      <c r="Q541" s="170"/>
      <c r="AA541" s="170"/>
      <c r="AB541" s="170"/>
      <c r="AC541" s="170"/>
      <c r="AD541" s="170"/>
    </row>
    <row r="542">
      <c r="N542" s="170"/>
      <c r="O542" s="170"/>
      <c r="P542" s="170"/>
      <c r="Q542" s="170"/>
      <c r="AA542" s="170"/>
      <c r="AB542" s="170"/>
      <c r="AC542" s="170"/>
      <c r="AD542" s="170"/>
    </row>
    <row r="543">
      <c r="N543" s="170"/>
      <c r="O543" s="170"/>
      <c r="P543" s="170"/>
      <c r="Q543" s="170"/>
      <c r="AA543" s="170"/>
      <c r="AB543" s="170"/>
      <c r="AC543" s="170"/>
      <c r="AD543" s="170"/>
    </row>
    <row r="544">
      <c r="N544" s="170"/>
      <c r="O544" s="170"/>
      <c r="P544" s="170"/>
      <c r="Q544" s="170"/>
      <c r="AA544" s="170"/>
      <c r="AB544" s="170"/>
      <c r="AC544" s="170"/>
      <c r="AD544" s="170"/>
    </row>
    <row r="545">
      <c r="N545" s="170"/>
      <c r="O545" s="170"/>
      <c r="P545" s="170"/>
      <c r="Q545" s="170"/>
      <c r="AA545" s="170"/>
      <c r="AB545" s="170"/>
      <c r="AC545" s="170"/>
      <c r="AD545" s="170"/>
    </row>
    <row r="546">
      <c r="N546" s="170"/>
      <c r="O546" s="170"/>
      <c r="P546" s="170"/>
      <c r="Q546" s="170"/>
      <c r="AA546" s="170"/>
      <c r="AB546" s="170"/>
      <c r="AC546" s="170"/>
      <c r="AD546" s="170"/>
    </row>
    <row r="547">
      <c r="N547" s="170"/>
      <c r="O547" s="170"/>
      <c r="P547" s="170"/>
      <c r="Q547" s="170"/>
      <c r="AA547" s="170"/>
      <c r="AB547" s="170"/>
      <c r="AC547" s="170"/>
      <c r="AD547" s="170"/>
    </row>
    <row r="548">
      <c r="N548" s="170"/>
      <c r="O548" s="170"/>
      <c r="P548" s="170"/>
      <c r="Q548" s="170"/>
      <c r="AA548" s="170"/>
      <c r="AB548" s="170"/>
      <c r="AC548" s="170"/>
      <c r="AD548" s="170"/>
    </row>
    <row r="549">
      <c r="N549" s="170"/>
      <c r="O549" s="170"/>
      <c r="P549" s="170"/>
      <c r="Q549" s="170"/>
      <c r="AA549" s="170"/>
      <c r="AB549" s="170"/>
      <c r="AC549" s="170"/>
      <c r="AD549" s="170"/>
    </row>
    <row r="550">
      <c r="N550" s="170"/>
      <c r="O550" s="170"/>
      <c r="P550" s="170"/>
      <c r="Q550" s="170"/>
      <c r="AA550" s="170"/>
      <c r="AB550" s="170"/>
      <c r="AC550" s="170"/>
      <c r="AD550" s="170"/>
    </row>
    <row r="551">
      <c r="N551" s="170"/>
      <c r="O551" s="170"/>
      <c r="P551" s="170"/>
      <c r="Q551" s="170"/>
      <c r="AA551" s="170"/>
      <c r="AB551" s="170"/>
      <c r="AC551" s="170"/>
      <c r="AD551" s="170"/>
    </row>
    <row r="552">
      <c r="N552" s="170"/>
      <c r="O552" s="170"/>
      <c r="P552" s="170"/>
      <c r="Q552" s="170"/>
      <c r="AA552" s="170"/>
      <c r="AB552" s="170"/>
      <c r="AC552" s="170"/>
      <c r="AD552" s="170"/>
    </row>
    <row r="553">
      <c r="N553" s="170"/>
      <c r="O553" s="170"/>
      <c r="P553" s="170"/>
      <c r="Q553" s="170"/>
      <c r="AA553" s="170"/>
      <c r="AB553" s="170"/>
      <c r="AC553" s="170"/>
      <c r="AD553" s="170"/>
    </row>
    <row r="554">
      <c r="N554" s="170"/>
      <c r="O554" s="170"/>
      <c r="P554" s="170"/>
      <c r="Q554" s="170"/>
      <c r="AA554" s="170"/>
      <c r="AB554" s="170"/>
      <c r="AC554" s="170"/>
      <c r="AD554" s="170"/>
    </row>
    <row r="555">
      <c r="N555" s="170"/>
      <c r="O555" s="170"/>
      <c r="P555" s="170"/>
      <c r="Q555" s="170"/>
      <c r="AA555" s="170"/>
      <c r="AB555" s="170"/>
      <c r="AC555" s="170"/>
      <c r="AD555" s="170"/>
    </row>
    <row r="556">
      <c r="N556" s="170"/>
      <c r="O556" s="170"/>
      <c r="P556" s="170"/>
      <c r="Q556" s="170"/>
      <c r="AA556" s="170"/>
      <c r="AB556" s="170"/>
      <c r="AC556" s="170"/>
      <c r="AD556" s="170"/>
    </row>
    <row r="557">
      <c r="N557" s="170"/>
      <c r="O557" s="170"/>
      <c r="P557" s="170"/>
      <c r="Q557" s="170"/>
      <c r="AA557" s="170"/>
      <c r="AB557" s="170"/>
      <c r="AC557" s="170"/>
      <c r="AD557" s="170"/>
    </row>
    <row r="558">
      <c r="N558" s="170"/>
      <c r="O558" s="170"/>
      <c r="P558" s="170"/>
      <c r="Q558" s="170"/>
      <c r="AA558" s="170"/>
      <c r="AB558" s="170"/>
      <c r="AC558" s="170"/>
      <c r="AD558" s="170"/>
    </row>
    <row r="559">
      <c r="N559" s="170"/>
      <c r="O559" s="170"/>
      <c r="P559" s="170"/>
      <c r="Q559" s="170"/>
      <c r="AA559" s="170"/>
      <c r="AB559" s="170"/>
      <c r="AC559" s="170"/>
      <c r="AD559" s="170"/>
    </row>
    <row r="560">
      <c r="N560" s="170"/>
      <c r="O560" s="170"/>
      <c r="P560" s="170"/>
      <c r="Q560" s="170"/>
      <c r="AA560" s="170"/>
      <c r="AB560" s="170"/>
      <c r="AC560" s="170"/>
      <c r="AD560" s="170"/>
    </row>
    <row r="561">
      <c r="N561" s="170"/>
      <c r="O561" s="170"/>
      <c r="P561" s="170"/>
      <c r="Q561" s="170"/>
      <c r="AA561" s="170"/>
      <c r="AB561" s="170"/>
      <c r="AC561" s="170"/>
      <c r="AD561" s="170"/>
    </row>
    <row r="562">
      <c r="N562" s="170"/>
      <c r="O562" s="170"/>
      <c r="P562" s="170"/>
      <c r="Q562" s="170"/>
      <c r="AA562" s="170"/>
      <c r="AB562" s="170"/>
      <c r="AC562" s="170"/>
      <c r="AD562" s="170"/>
    </row>
    <row r="563">
      <c r="N563" s="170"/>
      <c r="O563" s="170"/>
      <c r="P563" s="170"/>
      <c r="Q563" s="170"/>
      <c r="AA563" s="170"/>
      <c r="AB563" s="170"/>
      <c r="AC563" s="170"/>
      <c r="AD563" s="170"/>
    </row>
    <row r="564">
      <c r="N564" s="170"/>
      <c r="O564" s="170"/>
      <c r="P564" s="170"/>
      <c r="Q564" s="170"/>
      <c r="AA564" s="170"/>
      <c r="AB564" s="170"/>
      <c r="AC564" s="170"/>
      <c r="AD564" s="170"/>
    </row>
    <row r="565">
      <c r="N565" s="170"/>
      <c r="O565" s="170"/>
      <c r="P565" s="170"/>
      <c r="Q565" s="170"/>
      <c r="AA565" s="170"/>
      <c r="AB565" s="170"/>
      <c r="AC565" s="170"/>
      <c r="AD565" s="170"/>
    </row>
    <row r="566">
      <c r="N566" s="170"/>
      <c r="O566" s="170"/>
      <c r="P566" s="170"/>
      <c r="Q566" s="170"/>
      <c r="AA566" s="170"/>
      <c r="AB566" s="170"/>
      <c r="AC566" s="170"/>
      <c r="AD566" s="170"/>
    </row>
    <row r="567">
      <c r="N567" s="170"/>
      <c r="O567" s="170"/>
      <c r="P567" s="170"/>
      <c r="Q567" s="170"/>
      <c r="AA567" s="170"/>
      <c r="AB567" s="170"/>
      <c r="AC567" s="170"/>
      <c r="AD567" s="170"/>
    </row>
    <row r="568">
      <c r="N568" s="170"/>
      <c r="O568" s="170"/>
      <c r="P568" s="170"/>
      <c r="Q568" s="170"/>
      <c r="AA568" s="170"/>
      <c r="AB568" s="170"/>
      <c r="AC568" s="170"/>
      <c r="AD568" s="170"/>
    </row>
    <row r="569">
      <c r="N569" s="170"/>
      <c r="O569" s="170"/>
      <c r="P569" s="170"/>
      <c r="Q569" s="170"/>
      <c r="AA569" s="170"/>
      <c r="AB569" s="170"/>
      <c r="AC569" s="170"/>
      <c r="AD569" s="170"/>
    </row>
    <row r="570">
      <c r="N570" s="170"/>
      <c r="O570" s="170"/>
      <c r="P570" s="170"/>
      <c r="Q570" s="170"/>
      <c r="AA570" s="170"/>
      <c r="AB570" s="170"/>
      <c r="AC570" s="170"/>
      <c r="AD570" s="170"/>
    </row>
    <row r="571">
      <c r="N571" s="170"/>
      <c r="O571" s="170"/>
      <c r="P571" s="170"/>
      <c r="Q571" s="170"/>
      <c r="AA571" s="170"/>
      <c r="AB571" s="170"/>
      <c r="AC571" s="170"/>
      <c r="AD571" s="170"/>
    </row>
    <row r="572">
      <c r="N572" s="170"/>
      <c r="O572" s="170"/>
      <c r="P572" s="170"/>
      <c r="Q572" s="170"/>
      <c r="AA572" s="170"/>
      <c r="AB572" s="170"/>
      <c r="AC572" s="170"/>
      <c r="AD572" s="170"/>
    </row>
    <row r="573">
      <c r="N573" s="170"/>
      <c r="O573" s="170"/>
      <c r="P573" s="170"/>
      <c r="Q573" s="170"/>
      <c r="AA573" s="170"/>
      <c r="AB573" s="170"/>
      <c r="AC573" s="170"/>
      <c r="AD573" s="170"/>
    </row>
    <row r="574">
      <c r="N574" s="170"/>
      <c r="O574" s="170"/>
      <c r="P574" s="170"/>
      <c r="Q574" s="170"/>
      <c r="AA574" s="170"/>
      <c r="AB574" s="170"/>
      <c r="AC574" s="170"/>
      <c r="AD574" s="170"/>
    </row>
    <row r="575">
      <c r="N575" s="170"/>
      <c r="O575" s="170"/>
      <c r="P575" s="170"/>
      <c r="Q575" s="170"/>
      <c r="AA575" s="170"/>
      <c r="AB575" s="170"/>
      <c r="AC575" s="170"/>
      <c r="AD575" s="170"/>
    </row>
    <row r="576">
      <c r="N576" s="170"/>
      <c r="O576" s="170"/>
      <c r="P576" s="170"/>
      <c r="Q576" s="170"/>
      <c r="AA576" s="170"/>
      <c r="AB576" s="170"/>
      <c r="AC576" s="170"/>
      <c r="AD576" s="170"/>
    </row>
    <row r="577">
      <c r="N577" s="170"/>
      <c r="O577" s="170"/>
      <c r="P577" s="170"/>
      <c r="Q577" s="170"/>
      <c r="AA577" s="170"/>
      <c r="AB577" s="170"/>
      <c r="AC577" s="170"/>
      <c r="AD577" s="170"/>
    </row>
    <row r="578">
      <c r="N578" s="170"/>
      <c r="O578" s="170"/>
      <c r="P578" s="170"/>
      <c r="Q578" s="170"/>
      <c r="AA578" s="170"/>
      <c r="AB578" s="170"/>
      <c r="AC578" s="170"/>
      <c r="AD578" s="170"/>
    </row>
    <row r="579">
      <c r="N579" s="170"/>
      <c r="O579" s="170"/>
      <c r="P579" s="170"/>
      <c r="Q579" s="170"/>
      <c r="AA579" s="170"/>
      <c r="AB579" s="170"/>
      <c r="AC579" s="170"/>
      <c r="AD579" s="170"/>
    </row>
    <row r="580">
      <c r="N580" s="170"/>
      <c r="O580" s="170"/>
      <c r="P580" s="170"/>
      <c r="Q580" s="170"/>
      <c r="AA580" s="170"/>
      <c r="AB580" s="170"/>
      <c r="AC580" s="170"/>
      <c r="AD580" s="170"/>
    </row>
    <row r="581">
      <c r="N581" s="170"/>
      <c r="O581" s="170"/>
      <c r="P581" s="170"/>
      <c r="Q581" s="170"/>
      <c r="AA581" s="170"/>
      <c r="AB581" s="170"/>
      <c r="AC581" s="170"/>
      <c r="AD581" s="170"/>
    </row>
    <row r="582">
      <c r="N582" s="170"/>
      <c r="O582" s="170"/>
      <c r="P582" s="170"/>
      <c r="Q582" s="170"/>
      <c r="AA582" s="170"/>
      <c r="AB582" s="170"/>
      <c r="AC582" s="170"/>
      <c r="AD582" s="170"/>
    </row>
    <row r="583">
      <c r="N583" s="170"/>
      <c r="O583" s="170"/>
      <c r="P583" s="170"/>
      <c r="Q583" s="170"/>
      <c r="AA583" s="170"/>
      <c r="AB583" s="170"/>
      <c r="AC583" s="170"/>
      <c r="AD583" s="170"/>
    </row>
    <row r="584">
      <c r="N584" s="170"/>
      <c r="O584" s="170"/>
      <c r="P584" s="170"/>
      <c r="Q584" s="170"/>
      <c r="AA584" s="170"/>
      <c r="AB584" s="170"/>
      <c r="AC584" s="170"/>
      <c r="AD584" s="170"/>
    </row>
    <row r="585">
      <c r="N585" s="170"/>
      <c r="O585" s="170"/>
      <c r="P585" s="170"/>
      <c r="Q585" s="170"/>
      <c r="AA585" s="170"/>
      <c r="AB585" s="170"/>
      <c r="AC585" s="170"/>
      <c r="AD585" s="170"/>
    </row>
    <row r="586">
      <c r="N586" s="170"/>
      <c r="O586" s="170"/>
      <c r="P586" s="170"/>
      <c r="Q586" s="170"/>
      <c r="AA586" s="170"/>
      <c r="AB586" s="170"/>
      <c r="AC586" s="170"/>
      <c r="AD586" s="170"/>
    </row>
    <row r="587">
      <c r="N587" s="170"/>
      <c r="O587" s="170"/>
      <c r="P587" s="170"/>
      <c r="Q587" s="170"/>
      <c r="AA587" s="170"/>
      <c r="AB587" s="170"/>
      <c r="AC587" s="170"/>
      <c r="AD587" s="170"/>
    </row>
    <row r="588">
      <c r="N588" s="170"/>
      <c r="O588" s="170"/>
      <c r="P588" s="170"/>
      <c r="Q588" s="170"/>
      <c r="AA588" s="170"/>
      <c r="AB588" s="170"/>
      <c r="AC588" s="170"/>
      <c r="AD588" s="170"/>
    </row>
    <row r="589">
      <c r="N589" s="170"/>
      <c r="O589" s="170"/>
      <c r="P589" s="170"/>
      <c r="Q589" s="170"/>
      <c r="AA589" s="170"/>
      <c r="AB589" s="170"/>
      <c r="AC589" s="170"/>
      <c r="AD589" s="170"/>
    </row>
    <row r="590">
      <c r="N590" s="170"/>
      <c r="O590" s="170"/>
      <c r="P590" s="170"/>
      <c r="Q590" s="170"/>
      <c r="AA590" s="170"/>
      <c r="AB590" s="170"/>
      <c r="AC590" s="170"/>
      <c r="AD590" s="170"/>
    </row>
    <row r="591">
      <c r="N591" s="170"/>
      <c r="O591" s="170"/>
      <c r="P591" s="170"/>
      <c r="Q591" s="170"/>
      <c r="AA591" s="170"/>
      <c r="AB591" s="170"/>
      <c r="AC591" s="170"/>
      <c r="AD591" s="170"/>
    </row>
    <row r="592">
      <c r="N592" s="170"/>
      <c r="O592" s="170"/>
      <c r="P592" s="170"/>
      <c r="Q592" s="170"/>
      <c r="AA592" s="170"/>
      <c r="AB592" s="170"/>
      <c r="AC592" s="170"/>
      <c r="AD592" s="170"/>
    </row>
    <row r="593">
      <c r="N593" s="170"/>
      <c r="O593" s="170"/>
      <c r="P593" s="170"/>
      <c r="Q593" s="170"/>
      <c r="AA593" s="170"/>
      <c r="AB593" s="170"/>
      <c r="AC593" s="170"/>
      <c r="AD593" s="170"/>
    </row>
    <row r="594">
      <c r="N594" s="170"/>
      <c r="O594" s="170"/>
      <c r="P594" s="170"/>
      <c r="Q594" s="170"/>
      <c r="AA594" s="170"/>
      <c r="AB594" s="170"/>
      <c r="AC594" s="170"/>
      <c r="AD594" s="170"/>
    </row>
    <row r="595">
      <c r="N595" s="170"/>
      <c r="O595" s="170"/>
      <c r="P595" s="170"/>
      <c r="Q595" s="170"/>
      <c r="AA595" s="170"/>
      <c r="AB595" s="170"/>
      <c r="AC595" s="170"/>
      <c r="AD595" s="170"/>
    </row>
    <row r="596">
      <c r="N596" s="170"/>
      <c r="O596" s="170"/>
      <c r="P596" s="170"/>
      <c r="Q596" s="170"/>
      <c r="AA596" s="170"/>
      <c r="AB596" s="170"/>
      <c r="AC596" s="170"/>
      <c r="AD596" s="170"/>
    </row>
    <row r="597">
      <c r="N597" s="170"/>
      <c r="O597" s="170"/>
      <c r="P597" s="170"/>
      <c r="Q597" s="170"/>
      <c r="AA597" s="170"/>
      <c r="AB597" s="170"/>
      <c r="AC597" s="170"/>
      <c r="AD597" s="170"/>
    </row>
    <row r="598">
      <c r="N598" s="170"/>
      <c r="O598" s="170"/>
      <c r="P598" s="170"/>
      <c r="Q598" s="170"/>
      <c r="AA598" s="170"/>
      <c r="AB598" s="170"/>
      <c r="AC598" s="170"/>
      <c r="AD598" s="170"/>
    </row>
    <row r="599">
      <c r="N599" s="170"/>
      <c r="O599" s="170"/>
      <c r="P599" s="170"/>
      <c r="Q599" s="170"/>
      <c r="AA599" s="170"/>
      <c r="AB599" s="170"/>
      <c r="AC599" s="170"/>
      <c r="AD599" s="170"/>
    </row>
    <row r="600">
      <c r="N600" s="170"/>
      <c r="O600" s="170"/>
      <c r="P600" s="170"/>
      <c r="Q600" s="170"/>
      <c r="AA600" s="170"/>
      <c r="AB600" s="170"/>
      <c r="AC600" s="170"/>
      <c r="AD600" s="170"/>
    </row>
    <row r="601">
      <c r="N601" s="170"/>
      <c r="O601" s="170"/>
      <c r="P601" s="170"/>
      <c r="Q601" s="170"/>
      <c r="AA601" s="170"/>
      <c r="AB601" s="170"/>
      <c r="AC601" s="170"/>
      <c r="AD601" s="170"/>
    </row>
    <row r="602">
      <c r="N602" s="170"/>
      <c r="O602" s="170"/>
      <c r="P602" s="170"/>
      <c r="Q602" s="170"/>
      <c r="AA602" s="170"/>
      <c r="AB602" s="170"/>
      <c r="AC602" s="170"/>
      <c r="AD602" s="170"/>
    </row>
    <row r="603">
      <c r="N603" s="170"/>
      <c r="O603" s="170"/>
      <c r="P603" s="170"/>
      <c r="Q603" s="170"/>
      <c r="AA603" s="170"/>
      <c r="AB603" s="170"/>
      <c r="AC603" s="170"/>
      <c r="AD603" s="170"/>
    </row>
    <row r="604">
      <c r="N604" s="170"/>
      <c r="O604" s="170"/>
      <c r="P604" s="170"/>
      <c r="Q604" s="170"/>
      <c r="AA604" s="170"/>
      <c r="AB604" s="170"/>
      <c r="AC604" s="170"/>
      <c r="AD604" s="170"/>
    </row>
    <row r="605">
      <c r="N605" s="170"/>
      <c r="O605" s="170"/>
      <c r="P605" s="170"/>
      <c r="Q605" s="170"/>
      <c r="AA605" s="170"/>
      <c r="AB605" s="170"/>
      <c r="AC605" s="170"/>
      <c r="AD605" s="170"/>
    </row>
    <row r="606">
      <c r="N606" s="170"/>
      <c r="O606" s="170"/>
      <c r="P606" s="170"/>
      <c r="Q606" s="170"/>
      <c r="AA606" s="170"/>
      <c r="AB606" s="170"/>
      <c r="AC606" s="170"/>
      <c r="AD606" s="170"/>
    </row>
    <row r="607">
      <c r="N607" s="170"/>
      <c r="O607" s="170"/>
      <c r="P607" s="170"/>
      <c r="Q607" s="170"/>
      <c r="AA607" s="170"/>
      <c r="AB607" s="170"/>
      <c r="AC607" s="170"/>
      <c r="AD607" s="170"/>
    </row>
    <row r="608">
      <c r="N608" s="170"/>
      <c r="O608" s="170"/>
      <c r="P608" s="170"/>
      <c r="Q608" s="170"/>
      <c r="AA608" s="170"/>
      <c r="AB608" s="170"/>
      <c r="AC608" s="170"/>
      <c r="AD608" s="170"/>
    </row>
    <row r="609">
      <c r="N609" s="170"/>
      <c r="O609" s="170"/>
      <c r="P609" s="170"/>
      <c r="Q609" s="170"/>
      <c r="AA609" s="170"/>
      <c r="AB609" s="170"/>
      <c r="AC609" s="170"/>
      <c r="AD609" s="170"/>
    </row>
    <row r="610">
      <c r="N610" s="170"/>
      <c r="O610" s="170"/>
      <c r="P610" s="170"/>
      <c r="Q610" s="170"/>
      <c r="AA610" s="170"/>
      <c r="AB610" s="170"/>
      <c r="AC610" s="170"/>
      <c r="AD610" s="170"/>
    </row>
    <row r="611">
      <c r="N611" s="170"/>
      <c r="O611" s="170"/>
      <c r="P611" s="170"/>
      <c r="Q611" s="170"/>
      <c r="AA611" s="170"/>
      <c r="AB611" s="170"/>
      <c r="AC611" s="170"/>
      <c r="AD611" s="170"/>
    </row>
    <row r="612">
      <c r="N612" s="170"/>
      <c r="O612" s="170"/>
      <c r="P612" s="170"/>
      <c r="Q612" s="170"/>
      <c r="AA612" s="170"/>
      <c r="AB612" s="170"/>
      <c r="AC612" s="170"/>
      <c r="AD612" s="170"/>
    </row>
    <row r="613">
      <c r="N613" s="170"/>
      <c r="O613" s="170"/>
      <c r="P613" s="170"/>
      <c r="Q613" s="170"/>
      <c r="AA613" s="170"/>
      <c r="AB613" s="170"/>
      <c r="AC613" s="170"/>
      <c r="AD613" s="170"/>
    </row>
    <row r="614">
      <c r="N614" s="170"/>
      <c r="O614" s="170"/>
      <c r="P614" s="170"/>
      <c r="Q614" s="170"/>
      <c r="AA614" s="170"/>
      <c r="AB614" s="170"/>
      <c r="AC614" s="170"/>
      <c r="AD614" s="170"/>
    </row>
    <row r="615">
      <c r="N615" s="170"/>
      <c r="O615" s="170"/>
      <c r="P615" s="170"/>
      <c r="Q615" s="170"/>
      <c r="AA615" s="170"/>
      <c r="AB615" s="170"/>
      <c r="AC615" s="170"/>
      <c r="AD615" s="170"/>
    </row>
    <row r="616">
      <c r="N616" s="170"/>
      <c r="O616" s="170"/>
      <c r="P616" s="170"/>
      <c r="Q616" s="170"/>
      <c r="AA616" s="170"/>
      <c r="AB616" s="170"/>
      <c r="AC616" s="170"/>
      <c r="AD616" s="170"/>
    </row>
    <row r="617">
      <c r="N617" s="170"/>
      <c r="O617" s="170"/>
      <c r="P617" s="170"/>
      <c r="Q617" s="170"/>
      <c r="AA617" s="170"/>
      <c r="AB617" s="170"/>
      <c r="AC617" s="170"/>
      <c r="AD617" s="170"/>
    </row>
    <row r="618">
      <c r="N618" s="170"/>
      <c r="O618" s="170"/>
      <c r="P618" s="170"/>
      <c r="Q618" s="170"/>
      <c r="AA618" s="170"/>
      <c r="AB618" s="170"/>
      <c r="AC618" s="170"/>
      <c r="AD618" s="170"/>
    </row>
    <row r="619">
      <c r="N619" s="170"/>
      <c r="O619" s="170"/>
      <c r="P619" s="170"/>
      <c r="Q619" s="170"/>
      <c r="AA619" s="170"/>
      <c r="AB619" s="170"/>
      <c r="AC619" s="170"/>
      <c r="AD619" s="170"/>
    </row>
    <row r="620">
      <c r="N620" s="170"/>
      <c r="O620" s="170"/>
      <c r="P620" s="170"/>
      <c r="Q620" s="170"/>
      <c r="AA620" s="170"/>
      <c r="AB620" s="170"/>
      <c r="AC620" s="170"/>
      <c r="AD620" s="170"/>
    </row>
    <row r="621">
      <c r="N621" s="170"/>
      <c r="O621" s="170"/>
      <c r="P621" s="170"/>
      <c r="Q621" s="170"/>
      <c r="AA621" s="170"/>
      <c r="AB621" s="170"/>
      <c r="AC621" s="170"/>
      <c r="AD621" s="170"/>
    </row>
    <row r="622">
      <c r="N622" s="170"/>
      <c r="O622" s="170"/>
      <c r="P622" s="170"/>
      <c r="Q622" s="170"/>
      <c r="AA622" s="170"/>
      <c r="AB622" s="170"/>
      <c r="AC622" s="170"/>
      <c r="AD622" s="170"/>
    </row>
    <row r="623">
      <c r="N623" s="170"/>
      <c r="O623" s="170"/>
      <c r="P623" s="170"/>
      <c r="Q623" s="170"/>
      <c r="AA623" s="170"/>
      <c r="AB623" s="170"/>
      <c r="AC623" s="170"/>
      <c r="AD623" s="170"/>
    </row>
    <row r="624">
      <c r="N624" s="170"/>
      <c r="O624" s="170"/>
      <c r="P624" s="170"/>
      <c r="Q624" s="170"/>
      <c r="AA624" s="170"/>
      <c r="AB624" s="170"/>
      <c r="AC624" s="170"/>
      <c r="AD624" s="170"/>
    </row>
    <row r="625">
      <c r="N625" s="170"/>
      <c r="O625" s="170"/>
      <c r="P625" s="170"/>
      <c r="Q625" s="170"/>
      <c r="AA625" s="170"/>
      <c r="AB625" s="170"/>
      <c r="AC625" s="170"/>
      <c r="AD625" s="170"/>
    </row>
    <row r="626">
      <c r="N626" s="170"/>
      <c r="O626" s="170"/>
      <c r="P626" s="170"/>
      <c r="Q626" s="170"/>
      <c r="AA626" s="170"/>
      <c r="AB626" s="170"/>
      <c r="AC626" s="170"/>
      <c r="AD626" s="170"/>
    </row>
    <row r="627">
      <c r="N627" s="170"/>
      <c r="O627" s="170"/>
      <c r="P627" s="170"/>
      <c r="Q627" s="170"/>
      <c r="AA627" s="170"/>
      <c r="AB627" s="170"/>
      <c r="AC627" s="170"/>
      <c r="AD627" s="170"/>
    </row>
    <row r="628">
      <c r="N628" s="170"/>
      <c r="O628" s="170"/>
      <c r="P628" s="170"/>
      <c r="Q628" s="170"/>
      <c r="AA628" s="170"/>
      <c r="AB628" s="170"/>
      <c r="AC628" s="170"/>
      <c r="AD628" s="170"/>
    </row>
    <row r="629">
      <c r="N629" s="170"/>
      <c r="O629" s="170"/>
      <c r="P629" s="170"/>
      <c r="Q629" s="170"/>
      <c r="AA629" s="170"/>
      <c r="AB629" s="170"/>
      <c r="AC629" s="170"/>
      <c r="AD629" s="170"/>
    </row>
    <row r="630">
      <c r="N630" s="170"/>
      <c r="O630" s="170"/>
      <c r="P630" s="170"/>
      <c r="Q630" s="170"/>
      <c r="AA630" s="170"/>
      <c r="AB630" s="170"/>
      <c r="AC630" s="170"/>
      <c r="AD630" s="170"/>
    </row>
    <row r="631">
      <c r="N631" s="170"/>
      <c r="O631" s="170"/>
      <c r="P631" s="170"/>
      <c r="Q631" s="170"/>
      <c r="AA631" s="170"/>
      <c r="AB631" s="170"/>
      <c r="AC631" s="170"/>
      <c r="AD631" s="170"/>
    </row>
    <row r="632">
      <c r="N632" s="170"/>
      <c r="O632" s="170"/>
      <c r="P632" s="170"/>
      <c r="Q632" s="170"/>
      <c r="AA632" s="170"/>
      <c r="AB632" s="170"/>
      <c r="AC632" s="170"/>
      <c r="AD632" s="170"/>
    </row>
    <row r="633">
      <c r="N633" s="170"/>
      <c r="O633" s="170"/>
      <c r="P633" s="170"/>
      <c r="Q633" s="170"/>
      <c r="AA633" s="170"/>
      <c r="AB633" s="170"/>
      <c r="AC633" s="170"/>
      <c r="AD633" s="170"/>
    </row>
    <row r="634">
      <c r="N634" s="170"/>
      <c r="O634" s="170"/>
      <c r="P634" s="170"/>
      <c r="Q634" s="170"/>
      <c r="AA634" s="170"/>
      <c r="AB634" s="170"/>
      <c r="AC634" s="170"/>
      <c r="AD634" s="170"/>
    </row>
    <row r="635">
      <c r="N635" s="170"/>
      <c r="O635" s="170"/>
      <c r="P635" s="170"/>
      <c r="Q635" s="170"/>
      <c r="AA635" s="170"/>
      <c r="AB635" s="170"/>
      <c r="AC635" s="170"/>
      <c r="AD635" s="170"/>
    </row>
    <row r="636">
      <c r="N636" s="170"/>
      <c r="O636" s="170"/>
      <c r="P636" s="170"/>
      <c r="Q636" s="170"/>
      <c r="AA636" s="170"/>
      <c r="AB636" s="170"/>
      <c r="AC636" s="170"/>
      <c r="AD636" s="170"/>
    </row>
    <row r="637">
      <c r="N637" s="170"/>
      <c r="O637" s="170"/>
      <c r="P637" s="170"/>
      <c r="Q637" s="170"/>
      <c r="AA637" s="170"/>
      <c r="AB637" s="170"/>
      <c r="AC637" s="170"/>
      <c r="AD637" s="170"/>
    </row>
    <row r="638">
      <c r="N638" s="170"/>
      <c r="O638" s="170"/>
      <c r="P638" s="170"/>
      <c r="Q638" s="170"/>
      <c r="AA638" s="170"/>
      <c r="AB638" s="170"/>
      <c r="AC638" s="170"/>
      <c r="AD638" s="170"/>
    </row>
    <row r="639">
      <c r="N639" s="170"/>
      <c r="O639" s="170"/>
      <c r="P639" s="170"/>
      <c r="Q639" s="170"/>
      <c r="AA639" s="170"/>
      <c r="AB639" s="170"/>
      <c r="AC639" s="170"/>
      <c r="AD639" s="170"/>
    </row>
    <row r="640">
      <c r="N640" s="170"/>
      <c r="O640" s="170"/>
      <c r="P640" s="170"/>
      <c r="Q640" s="170"/>
      <c r="AA640" s="170"/>
      <c r="AB640" s="170"/>
      <c r="AC640" s="170"/>
      <c r="AD640" s="170"/>
    </row>
    <row r="641">
      <c r="N641" s="170"/>
      <c r="O641" s="170"/>
      <c r="P641" s="170"/>
      <c r="Q641" s="170"/>
      <c r="AA641" s="170"/>
      <c r="AB641" s="170"/>
      <c r="AC641" s="170"/>
      <c r="AD641" s="170"/>
    </row>
    <row r="642">
      <c r="N642" s="170"/>
      <c r="O642" s="170"/>
      <c r="P642" s="170"/>
      <c r="Q642" s="170"/>
      <c r="AA642" s="170"/>
      <c r="AB642" s="170"/>
      <c r="AC642" s="170"/>
      <c r="AD642" s="170"/>
    </row>
    <row r="643">
      <c r="N643" s="170"/>
      <c r="O643" s="170"/>
      <c r="P643" s="170"/>
      <c r="Q643" s="170"/>
      <c r="AA643" s="170"/>
      <c r="AB643" s="170"/>
      <c r="AC643" s="170"/>
      <c r="AD643" s="170"/>
    </row>
    <row r="644">
      <c r="N644" s="170"/>
      <c r="O644" s="170"/>
      <c r="P644" s="170"/>
      <c r="Q644" s="170"/>
      <c r="AA644" s="170"/>
      <c r="AB644" s="170"/>
      <c r="AC644" s="170"/>
      <c r="AD644" s="170"/>
    </row>
    <row r="645">
      <c r="N645" s="170"/>
      <c r="O645" s="170"/>
      <c r="P645" s="170"/>
      <c r="Q645" s="170"/>
      <c r="AA645" s="170"/>
      <c r="AB645" s="170"/>
      <c r="AC645" s="170"/>
      <c r="AD645" s="170"/>
    </row>
    <row r="646">
      <c r="N646" s="170"/>
      <c r="O646" s="170"/>
      <c r="P646" s="170"/>
      <c r="Q646" s="170"/>
      <c r="AA646" s="170"/>
      <c r="AB646" s="170"/>
      <c r="AC646" s="170"/>
      <c r="AD646" s="170"/>
    </row>
    <row r="647">
      <c r="N647" s="170"/>
      <c r="O647" s="170"/>
      <c r="P647" s="170"/>
      <c r="Q647" s="170"/>
      <c r="AA647" s="170"/>
      <c r="AB647" s="170"/>
      <c r="AC647" s="170"/>
      <c r="AD647" s="170"/>
    </row>
    <row r="648">
      <c r="N648" s="170"/>
      <c r="O648" s="170"/>
      <c r="P648" s="170"/>
      <c r="Q648" s="170"/>
      <c r="AA648" s="170"/>
      <c r="AB648" s="170"/>
      <c r="AC648" s="170"/>
      <c r="AD648" s="170"/>
    </row>
    <row r="649">
      <c r="N649" s="170"/>
      <c r="O649" s="170"/>
      <c r="P649" s="170"/>
      <c r="Q649" s="170"/>
      <c r="AA649" s="170"/>
      <c r="AB649" s="170"/>
      <c r="AC649" s="170"/>
      <c r="AD649" s="170"/>
    </row>
    <row r="650">
      <c r="N650" s="170"/>
      <c r="O650" s="170"/>
      <c r="P650" s="170"/>
      <c r="Q650" s="170"/>
      <c r="AA650" s="170"/>
      <c r="AB650" s="170"/>
      <c r="AC650" s="170"/>
      <c r="AD650" s="170"/>
    </row>
    <row r="651">
      <c r="N651" s="170"/>
      <c r="O651" s="170"/>
      <c r="P651" s="170"/>
      <c r="Q651" s="170"/>
      <c r="AA651" s="170"/>
      <c r="AB651" s="170"/>
      <c r="AC651" s="170"/>
      <c r="AD651" s="170"/>
    </row>
    <row r="652">
      <c r="N652" s="170"/>
      <c r="O652" s="170"/>
      <c r="P652" s="170"/>
      <c r="Q652" s="170"/>
      <c r="AA652" s="170"/>
      <c r="AB652" s="170"/>
      <c r="AC652" s="170"/>
      <c r="AD652" s="170"/>
    </row>
    <row r="653">
      <c r="N653" s="170"/>
      <c r="O653" s="170"/>
      <c r="P653" s="170"/>
      <c r="Q653" s="170"/>
      <c r="AA653" s="170"/>
      <c r="AB653" s="170"/>
      <c r="AC653" s="170"/>
      <c r="AD653" s="170"/>
    </row>
    <row r="654">
      <c r="N654" s="170"/>
      <c r="O654" s="170"/>
      <c r="P654" s="170"/>
      <c r="Q654" s="170"/>
      <c r="AA654" s="170"/>
      <c r="AB654" s="170"/>
      <c r="AC654" s="170"/>
      <c r="AD654" s="170"/>
    </row>
    <row r="655">
      <c r="N655" s="170"/>
      <c r="O655" s="170"/>
      <c r="P655" s="170"/>
      <c r="Q655" s="170"/>
      <c r="AA655" s="170"/>
      <c r="AB655" s="170"/>
      <c r="AC655" s="170"/>
      <c r="AD655" s="170"/>
    </row>
    <row r="656">
      <c r="N656" s="170"/>
      <c r="O656" s="170"/>
      <c r="P656" s="170"/>
      <c r="Q656" s="170"/>
      <c r="AA656" s="170"/>
      <c r="AB656" s="170"/>
      <c r="AC656" s="170"/>
      <c r="AD656" s="170"/>
    </row>
    <row r="657">
      <c r="N657" s="170"/>
      <c r="O657" s="170"/>
      <c r="P657" s="170"/>
      <c r="Q657" s="170"/>
      <c r="AA657" s="170"/>
      <c r="AB657" s="170"/>
      <c r="AC657" s="170"/>
      <c r="AD657" s="170"/>
    </row>
    <row r="658">
      <c r="N658" s="170"/>
      <c r="O658" s="170"/>
      <c r="P658" s="170"/>
      <c r="Q658" s="170"/>
      <c r="AA658" s="170"/>
      <c r="AB658" s="170"/>
      <c r="AC658" s="170"/>
      <c r="AD658" s="170"/>
    </row>
    <row r="659">
      <c r="N659" s="170"/>
      <c r="O659" s="170"/>
      <c r="P659" s="170"/>
      <c r="Q659" s="170"/>
      <c r="AA659" s="170"/>
      <c r="AB659" s="170"/>
      <c r="AC659" s="170"/>
      <c r="AD659" s="170"/>
    </row>
    <row r="660">
      <c r="N660" s="170"/>
      <c r="O660" s="170"/>
      <c r="P660" s="170"/>
      <c r="Q660" s="170"/>
      <c r="AA660" s="170"/>
      <c r="AB660" s="170"/>
      <c r="AC660" s="170"/>
      <c r="AD660" s="170"/>
    </row>
    <row r="661">
      <c r="N661" s="170"/>
      <c r="O661" s="170"/>
      <c r="P661" s="170"/>
      <c r="Q661" s="170"/>
      <c r="AA661" s="170"/>
      <c r="AB661" s="170"/>
      <c r="AC661" s="170"/>
      <c r="AD661" s="170"/>
    </row>
    <row r="662">
      <c r="N662" s="170"/>
      <c r="O662" s="170"/>
      <c r="P662" s="170"/>
      <c r="Q662" s="170"/>
      <c r="AA662" s="170"/>
      <c r="AB662" s="170"/>
      <c r="AC662" s="170"/>
      <c r="AD662" s="170"/>
    </row>
    <row r="663">
      <c r="N663" s="170"/>
      <c r="O663" s="170"/>
      <c r="P663" s="170"/>
      <c r="Q663" s="170"/>
      <c r="AA663" s="170"/>
      <c r="AB663" s="170"/>
      <c r="AC663" s="170"/>
      <c r="AD663" s="170"/>
    </row>
    <row r="664">
      <c r="N664" s="170"/>
      <c r="O664" s="170"/>
      <c r="P664" s="170"/>
      <c r="Q664" s="170"/>
      <c r="AA664" s="170"/>
      <c r="AB664" s="170"/>
      <c r="AC664" s="170"/>
      <c r="AD664" s="170"/>
    </row>
    <row r="665">
      <c r="N665" s="170"/>
      <c r="O665" s="170"/>
      <c r="P665" s="170"/>
      <c r="Q665" s="170"/>
      <c r="AA665" s="170"/>
      <c r="AB665" s="170"/>
      <c r="AC665" s="170"/>
      <c r="AD665" s="170"/>
    </row>
    <row r="666">
      <c r="N666" s="170"/>
      <c r="O666" s="170"/>
      <c r="P666" s="170"/>
      <c r="Q666" s="170"/>
      <c r="AA666" s="170"/>
      <c r="AB666" s="170"/>
      <c r="AC666" s="170"/>
      <c r="AD666" s="170"/>
    </row>
    <row r="667">
      <c r="N667" s="170"/>
      <c r="O667" s="170"/>
      <c r="P667" s="170"/>
      <c r="Q667" s="170"/>
      <c r="AA667" s="170"/>
      <c r="AB667" s="170"/>
      <c r="AC667" s="170"/>
      <c r="AD667" s="170"/>
    </row>
    <row r="668">
      <c r="N668" s="170"/>
      <c r="O668" s="170"/>
      <c r="P668" s="170"/>
      <c r="Q668" s="170"/>
      <c r="AA668" s="170"/>
      <c r="AB668" s="170"/>
      <c r="AC668" s="170"/>
      <c r="AD668" s="170"/>
    </row>
    <row r="669">
      <c r="N669" s="170"/>
      <c r="O669" s="170"/>
      <c r="P669" s="170"/>
      <c r="Q669" s="170"/>
      <c r="AA669" s="170"/>
      <c r="AB669" s="170"/>
      <c r="AC669" s="170"/>
      <c r="AD669" s="170"/>
    </row>
    <row r="670">
      <c r="N670" s="170"/>
      <c r="O670" s="170"/>
      <c r="P670" s="170"/>
      <c r="Q670" s="170"/>
      <c r="AA670" s="170"/>
      <c r="AB670" s="170"/>
      <c r="AC670" s="170"/>
      <c r="AD670" s="170"/>
    </row>
    <row r="671">
      <c r="N671" s="170"/>
      <c r="O671" s="170"/>
      <c r="P671" s="170"/>
      <c r="Q671" s="170"/>
      <c r="AA671" s="170"/>
      <c r="AB671" s="170"/>
      <c r="AC671" s="170"/>
      <c r="AD671" s="170"/>
    </row>
    <row r="672">
      <c r="N672" s="170"/>
      <c r="O672" s="170"/>
      <c r="P672" s="170"/>
      <c r="Q672" s="170"/>
      <c r="AA672" s="170"/>
      <c r="AB672" s="170"/>
      <c r="AC672" s="170"/>
      <c r="AD672" s="170"/>
    </row>
    <row r="673">
      <c r="N673" s="170"/>
      <c r="O673" s="170"/>
      <c r="P673" s="170"/>
      <c r="Q673" s="170"/>
      <c r="AA673" s="170"/>
      <c r="AB673" s="170"/>
      <c r="AC673" s="170"/>
      <c r="AD673" s="170"/>
    </row>
    <row r="674">
      <c r="N674" s="170"/>
      <c r="O674" s="170"/>
      <c r="P674" s="170"/>
      <c r="Q674" s="170"/>
      <c r="AA674" s="170"/>
      <c r="AB674" s="170"/>
      <c r="AC674" s="170"/>
      <c r="AD674" s="170"/>
    </row>
    <row r="675">
      <c r="N675" s="170"/>
      <c r="O675" s="170"/>
      <c r="P675" s="170"/>
      <c r="Q675" s="170"/>
      <c r="AA675" s="170"/>
      <c r="AB675" s="170"/>
      <c r="AC675" s="170"/>
      <c r="AD675" s="170"/>
    </row>
    <row r="676">
      <c r="N676" s="170"/>
      <c r="O676" s="170"/>
      <c r="P676" s="170"/>
      <c r="Q676" s="170"/>
      <c r="AA676" s="170"/>
      <c r="AB676" s="170"/>
      <c r="AC676" s="170"/>
      <c r="AD676" s="170"/>
    </row>
    <row r="677">
      <c r="N677" s="170"/>
      <c r="O677" s="170"/>
      <c r="P677" s="170"/>
      <c r="Q677" s="170"/>
      <c r="AA677" s="170"/>
      <c r="AB677" s="170"/>
      <c r="AC677" s="170"/>
      <c r="AD677" s="170"/>
    </row>
    <row r="678">
      <c r="N678" s="170"/>
      <c r="O678" s="170"/>
      <c r="P678" s="170"/>
      <c r="Q678" s="170"/>
      <c r="AA678" s="170"/>
      <c r="AB678" s="170"/>
      <c r="AC678" s="170"/>
      <c r="AD678" s="170"/>
    </row>
    <row r="679">
      <c r="N679" s="170"/>
      <c r="O679" s="170"/>
      <c r="P679" s="170"/>
      <c r="Q679" s="170"/>
      <c r="AA679" s="170"/>
      <c r="AB679" s="170"/>
      <c r="AC679" s="170"/>
      <c r="AD679" s="170"/>
    </row>
    <row r="680">
      <c r="N680" s="170"/>
      <c r="O680" s="170"/>
      <c r="P680" s="170"/>
      <c r="Q680" s="170"/>
      <c r="AA680" s="170"/>
      <c r="AB680" s="170"/>
      <c r="AC680" s="170"/>
      <c r="AD680" s="170"/>
    </row>
    <row r="681">
      <c r="N681" s="170"/>
      <c r="O681" s="170"/>
      <c r="P681" s="170"/>
      <c r="Q681" s="170"/>
      <c r="AA681" s="170"/>
      <c r="AB681" s="170"/>
      <c r="AC681" s="170"/>
      <c r="AD681" s="170"/>
    </row>
    <row r="682">
      <c r="N682" s="170"/>
      <c r="O682" s="170"/>
      <c r="P682" s="170"/>
      <c r="Q682" s="170"/>
      <c r="AA682" s="170"/>
      <c r="AB682" s="170"/>
      <c r="AC682" s="170"/>
      <c r="AD682" s="170"/>
    </row>
    <row r="683">
      <c r="N683" s="170"/>
      <c r="O683" s="170"/>
      <c r="P683" s="170"/>
      <c r="Q683" s="170"/>
      <c r="AA683" s="170"/>
      <c r="AB683" s="170"/>
      <c r="AC683" s="170"/>
      <c r="AD683" s="170"/>
    </row>
    <row r="684">
      <c r="N684" s="170"/>
      <c r="O684" s="170"/>
      <c r="P684" s="170"/>
      <c r="Q684" s="170"/>
      <c r="AA684" s="170"/>
      <c r="AB684" s="170"/>
      <c r="AC684" s="170"/>
      <c r="AD684" s="170"/>
    </row>
    <row r="685">
      <c r="N685" s="170"/>
      <c r="O685" s="170"/>
      <c r="P685" s="170"/>
      <c r="Q685" s="170"/>
      <c r="AA685" s="170"/>
      <c r="AB685" s="170"/>
      <c r="AC685" s="170"/>
      <c r="AD685" s="170"/>
    </row>
    <row r="686">
      <c r="N686" s="170"/>
      <c r="O686" s="170"/>
      <c r="P686" s="170"/>
      <c r="Q686" s="170"/>
      <c r="AA686" s="170"/>
      <c r="AB686" s="170"/>
      <c r="AC686" s="170"/>
      <c r="AD686" s="170"/>
    </row>
    <row r="687">
      <c r="N687" s="170"/>
      <c r="O687" s="170"/>
      <c r="P687" s="170"/>
      <c r="Q687" s="170"/>
      <c r="AA687" s="170"/>
      <c r="AB687" s="170"/>
      <c r="AC687" s="170"/>
      <c r="AD687" s="170"/>
    </row>
    <row r="688">
      <c r="N688" s="170"/>
      <c r="O688" s="170"/>
      <c r="P688" s="170"/>
      <c r="Q688" s="170"/>
      <c r="AA688" s="170"/>
      <c r="AB688" s="170"/>
      <c r="AC688" s="170"/>
      <c r="AD688" s="170"/>
    </row>
    <row r="689">
      <c r="N689" s="170"/>
      <c r="O689" s="170"/>
      <c r="P689" s="170"/>
      <c r="Q689" s="170"/>
      <c r="AA689" s="170"/>
      <c r="AB689" s="170"/>
      <c r="AC689" s="170"/>
      <c r="AD689" s="170"/>
    </row>
    <row r="690">
      <c r="N690" s="170"/>
      <c r="O690" s="170"/>
      <c r="P690" s="170"/>
      <c r="Q690" s="170"/>
      <c r="AA690" s="170"/>
      <c r="AB690" s="170"/>
      <c r="AC690" s="170"/>
      <c r="AD690" s="170"/>
    </row>
    <row r="691">
      <c r="N691" s="170"/>
      <c r="O691" s="170"/>
      <c r="P691" s="170"/>
      <c r="Q691" s="170"/>
      <c r="AA691" s="170"/>
      <c r="AB691" s="170"/>
      <c r="AC691" s="170"/>
      <c r="AD691" s="170"/>
    </row>
    <row r="692">
      <c r="N692" s="170"/>
      <c r="O692" s="170"/>
      <c r="P692" s="170"/>
      <c r="Q692" s="170"/>
      <c r="AA692" s="170"/>
      <c r="AB692" s="170"/>
      <c r="AC692" s="170"/>
      <c r="AD692" s="170"/>
    </row>
    <row r="693">
      <c r="N693" s="170"/>
      <c r="O693" s="170"/>
      <c r="P693" s="170"/>
      <c r="Q693" s="170"/>
      <c r="AA693" s="170"/>
      <c r="AB693" s="170"/>
      <c r="AC693" s="170"/>
      <c r="AD693" s="170"/>
    </row>
    <row r="694">
      <c r="N694" s="170"/>
      <c r="O694" s="170"/>
      <c r="P694" s="170"/>
      <c r="Q694" s="170"/>
      <c r="AA694" s="170"/>
      <c r="AB694" s="170"/>
      <c r="AC694" s="170"/>
      <c r="AD694" s="170"/>
    </row>
    <row r="695">
      <c r="N695" s="170"/>
      <c r="O695" s="170"/>
      <c r="P695" s="170"/>
      <c r="Q695" s="170"/>
      <c r="AA695" s="170"/>
      <c r="AB695" s="170"/>
      <c r="AC695" s="170"/>
      <c r="AD695" s="170"/>
    </row>
    <row r="696">
      <c r="N696" s="170"/>
      <c r="O696" s="170"/>
      <c r="P696" s="170"/>
      <c r="Q696" s="170"/>
      <c r="AA696" s="170"/>
      <c r="AB696" s="170"/>
      <c r="AC696" s="170"/>
      <c r="AD696" s="170"/>
    </row>
    <row r="697">
      <c r="N697" s="170"/>
      <c r="O697" s="170"/>
      <c r="P697" s="170"/>
      <c r="Q697" s="170"/>
      <c r="AA697" s="170"/>
      <c r="AB697" s="170"/>
      <c r="AC697" s="170"/>
      <c r="AD697" s="170"/>
    </row>
    <row r="698">
      <c r="N698" s="170"/>
      <c r="O698" s="170"/>
      <c r="P698" s="170"/>
      <c r="Q698" s="170"/>
      <c r="AA698" s="170"/>
      <c r="AB698" s="170"/>
      <c r="AC698" s="170"/>
      <c r="AD698" s="170"/>
    </row>
    <row r="699">
      <c r="N699" s="170"/>
      <c r="O699" s="170"/>
      <c r="P699" s="170"/>
      <c r="Q699" s="170"/>
      <c r="AA699" s="170"/>
      <c r="AB699" s="170"/>
      <c r="AC699" s="170"/>
      <c r="AD699" s="170"/>
    </row>
    <row r="700">
      <c r="N700" s="170"/>
      <c r="O700" s="170"/>
      <c r="P700" s="170"/>
      <c r="Q700" s="170"/>
      <c r="AA700" s="170"/>
      <c r="AB700" s="170"/>
      <c r="AC700" s="170"/>
      <c r="AD700" s="170"/>
    </row>
    <row r="701">
      <c r="N701" s="170"/>
      <c r="O701" s="170"/>
      <c r="P701" s="170"/>
      <c r="Q701" s="170"/>
      <c r="AA701" s="170"/>
      <c r="AB701" s="170"/>
      <c r="AC701" s="170"/>
      <c r="AD701" s="170"/>
    </row>
    <row r="702">
      <c r="N702" s="170"/>
      <c r="O702" s="170"/>
      <c r="P702" s="170"/>
      <c r="Q702" s="170"/>
      <c r="AA702" s="170"/>
      <c r="AB702" s="170"/>
      <c r="AC702" s="170"/>
      <c r="AD702" s="170"/>
    </row>
    <row r="703">
      <c r="N703" s="170"/>
      <c r="O703" s="170"/>
      <c r="P703" s="170"/>
      <c r="Q703" s="170"/>
      <c r="AA703" s="170"/>
      <c r="AB703" s="170"/>
      <c r="AC703" s="170"/>
      <c r="AD703" s="170"/>
    </row>
    <row r="704">
      <c r="N704" s="170"/>
      <c r="O704" s="170"/>
      <c r="P704" s="170"/>
      <c r="Q704" s="170"/>
      <c r="AA704" s="170"/>
      <c r="AB704" s="170"/>
      <c r="AC704" s="170"/>
      <c r="AD704" s="170"/>
    </row>
    <row r="705">
      <c r="N705" s="170"/>
      <c r="O705" s="170"/>
      <c r="P705" s="170"/>
      <c r="Q705" s="170"/>
      <c r="AA705" s="170"/>
      <c r="AB705" s="170"/>
      <c r="AC705" s="170"/>
      <c r="AD705" s="170"/>
    </row>
    <row r="706">
      <c r="N706" s="170"/>
      <c r="O706" s="170"/>
      <c r="P706" s="170"/>
      <c r="Q706" s="170"/>
      <c r="AA706" s="170"/>
      <c r="AB706" s="170"/>
      <c r="AC706" s="170"/>
      <c r="AD706" s="170"/>
    </row>
    <row r="707">
      <c r="N707" s="170"/>
      <c r="O707" s="170"/>
      <c r="P707" s="170"/>
      <c r="Q707" s="170"/>
      <c r="AA707" s="170"/>
      <c r="AB707" s="170"/>
      <c r="AC707" s="170"/>
      <c r="AD707" s="170"/>
    </row>
    <row r="708">
      <c r="N708" s="170"/>
      <c r="O708" s="170"/>
      <c r="P708" s="170"/>
      <c r="Q708" s="170"/>
      <c r="AA708" s="170"/>
      <c r="AB708" s="170"/>
      <c r="AC708" s="170"/>
      <c r="AD708" s="170"/>
    </row>
    <row r="709">
      <c r="N709" s="170"/>
      <c r="O709" s="170"/>
      <c r="P709" s="170"/>
      <c r="Q709" s="170"/>
      <c r="AA709" s="170"/>
      <c r="AB709" s="170"/>
      <c r="AC709" s="170"/>
      <c r="AD709" s="170"/>
    </row>
    <row r="710">
      <c r="N710" s="170"/>
      <c r="O710" s="170"/>
      <c r="P710" s="170"/>
      <c r="Q710" s="170"/>
      <c r="AA710" s="170"/>
      <c r="AB710" s="170"/>
      <c r="AC710" s="170"/>
      <c r="AD710" s="170"/>
    </row>
    <row r="711">
      <c r="N711" s="170"/>
      <c r="O711" s="170"/>
      <c r="P711" s="170"/>
      <c r="Q711" s="170"/>
      <c r="AA711" s="170"/>
      <c r="AB711" s="170"/>
      <c r="AC711" s="170"/>
      <c r="AD711" s="170"/>
    </row>
    <row r="712">
      <c r="N712" s="170"/>
      <c r="O712" s="170"/>
      <c r="P712" s="170"/>
      <c r="Q712" s="170"/>
      <c r="AA712" s="170"/>
      <c r="AB712" s="170"/>
      <c r="AC712" s="170"/>
      <c r="AD712" s="170"/>
    </row>
    <row r="713">
      <c r="N713" s="170"/>
      <c r="O713" s="170"/>
      <c r="P713" s="170"/>
      <c r="Q713" s="170"/>
      <c r="AA713" s="170"/>
      <c r="AB713" s="170"/>
      <c r="AC713" s="170"/>
      <c r="AD713" s="170"/>
    </row>
    <row r="714">
      <c r="N714" s="170"/>
      <c r="O714" s="170"/>
      <c r="P714" s="170"/>
      <c r="Q714" s="170"/>
      <c r="AA714" s="170"/>
      <c r="AB714" s="170"/>
      <c r="AC714" s="170"/>
      <c r="AD714" s="170"/>
    </row>
    <row r="715">
      <c r="N715" s="170"/>
      <c r="O715" s="170"/>
      <c r="P715" s="170"/>
      <c r="Q715" s="170"/>
      <c r="AA715" s="170"/>
      <c r="AB715" s="170"/>
      <c r="AC715" s="170"/>
      <c r="AD715" s="170"/>
    </row>
    <row r="716">
      <c r="N716" s="170"/>
      <c r="O716" s="170"/>
      <c r="P716" s="170"/>
      <c r="Q716" s="170"/>
      <c r="AA716" s="170"/>
      <c r="AB716" s="170"/>
      <c r="AC716" s="170"/>
      <c r="AD716" s="170"/>
    </row>
    <row r="717">
      <c r="N717" s="170"/>
      <c r="O717" s="170"/>
      <c r="P717" s="170"/>
      <c r="Q717" s="170"/>
      <c r="AA717" s="170"/>
      <c r="AB717" s="170"/>
      <c r="AC717" s="170"/>
      <c r="AD717" s="170"/>
    </row>
    <row r="718">
      <c r="N718" s="170"/>
      <c r="O718" s="170"/>
      <c r="P718" s="170"/>
      <c r="Q718" s="170"/>
      <c r="AA718" s="170"/>
      <c r="AB718" s="170"/>
      <c r="AC718" s="170"/>
      <c r="AD718" s="170"/>
    </row>
    <row r="719">
      <c r="N719" s="170"/>
      <c r="O719" s="170"/>
      <c r="P719" s="170"/>
      <c r="Q719" s="170"/>
      <c r="AA719" s="170"/>
      <c r="AB719" s="170"/>
      <c r="AC719" s="170"/>
      <c r="AD719" s="170"/>
    </row>
    <row r="720">
      <c r="N720" s="170"/>
      <c r="O720" s="170"/>
      <c r="P720" s="170"/>
      <c r="Q720" s="170"/>
      <c r="AA720" s="170"/>
      <c r="AB720" s="170"/>
      <c r="AC720" s="170"/>
      <c r="AD720" s="170"/>
    </row>
    <row r="721">
      <c r="N721" s="170"/>
      <c r="O721" s="170"/>
      <c r="P721" s="170"/>
      <c r="Q721" s="170"/>
      <c r="AA721" s="170"/>
      <c r="AB721" s="170"/>
      <c r="AC721" s="170"/>
      <c r="AD721" s="170"/>
    </row>
    <row r="722">
      <c r="N722" s="170"/>
      <c r="O722" s="170"/>
      <c r="P722" s="170"/>
      <c r="Q722" s="170"/>
      <c r="AA722" s="170"/>
      <c r="AB722" s="170"/>
      <c r="AC722" s="170"/>
      <c r="AD722" s="170"/>
    </row>
    <row r="723">
      <c r="N723" s="170"/>
      <c r="O723" s="170"/>
      <c r="P723" s="170"/>
      <c r="Q723" s="170"/>
      <c r="AA723" s="170"/>
      <c r="AB723" s="170"/>
      <c r="AC723" s="170"/>
      <c r="AD723" s="170"/>
    </row>
    <row r="724">
      <c r="N724" s="170"/>
      <c r="O724" s="170"/>
      <c r="P724" s="170"/>
      <c r="Q724" s="170"/>
      <c r="AA724" s="170"/>
      <c r="AB724" s="170"/>
      <c r="AC724" s="170"/>
      <c r="AD724" s="170"/>
    </row>
    <row r="725">
      <c r="N725" s="170"/>
      <c r="O725" s="170"/>
      <c r="P725" s="170"/>
      <c r="Q725" s="170"/>
      <c r="AA725" s="170"/>
      <c r="AB725" s="170"/>
      <c r="AC725" s="170"/>
      <c r="AD725" s="170"/>
    </row>
    <row r="726">
      <c r="N726" s="170"/>
      <c r="O726" s="170"/>
      <c r="P726" s="170"/>
      <c r="Q726" s="170"/>
      <c r="AA726" s="170"/>
      <c r="AB726" s="170"/>
      <c r="AC726" s="170"/>
      <c r="AD726" s="170"/>
    </row>
    <row r="727">
      <c r="N727" s="170"/>
      <c r="O727" s="170"/>
      <c r="P727" s="170"/>
      <c r="Q727" s="170"/>
      <c r="AA727" s="170"/>
      <c r="AB727" s="170"/>
      <c r="AC727" s="170"/>
      <c r="AD727" s="170"/>
    </row>
    <row r="728">
      <c r="N728" s="170"/>
      <c r="O728" s="170"/>
      <c r="P728" s="170"/>
      <c r="Q728" s="170"/>
      <c r="AA728" s="170"/>
      <c r="AB728" s="170"/>
      <c r="AC728" s="170"/>
      <c r="AD728" s="170"/>
    </row>
    <row r="729">
      <c r="N729" s="170"/>
      <c r="O729" s="170"/>
      <c r="P729" s="170"/>
      <c r="Q729" s="170"/>
      <c r="AA729" s="170"/>
      <c r="AB729" s="170"/>
      <c r="AC729" s="170"/>
      <c r="AD729" s="170"/>
    </row>
    <row r="730">
      <c r="N730" s="170"/>
      <c r="O730" s="170"/>
      <c r="P730" s="170"/>
      <c r="Q730" s="170"/>
      <c r="AA730" s="170"/>
      <c r="AB730" s="170"/>
      <c r="AC730" s="170"/>
      <c r="AD730" s="170"/>
    </row>
    <row r="731">
      <c r="N731" s="170"/>
      <c r="O731" s="170"/>
      <c r="P731" s="170"/>
      <c r="Q731" s="170"/>
      <c r="AA731" s="170"/>
      <c r="AB731" s="170"/>
      <c r="AC731" s="170"/>
      <c r="AD731" s="170"/>
    </row>
    <row r="732">
      <c r="N732" s="170"/>
      <c r="O732" s="170"/>
      <c r="P732" s="170"/>
      <c r="Q732" s="170"/>
      <c r="AA732" s="170"/>
      <c r="AB732" s="170"/>
      <c r="AC732" s="170"/>
      <c r="AD732" s="170"/>
    </row>
    <row r="733">
      <c r="N733" s="170"/>
      <c r="O733" s="170"/>
      <c r="P733" s="170"/>
      <c r="Q733" s="170"/>
      <c r="AA733" s="170"/>
      <c r="AB733" s="170"/>
      <c r="AC733" s="170"/>
      <c r="AD733" s="170"/>
    </row>
    <row r="734">
      <c r="N734" s="170"/>
      <c r="O734" s="170"/>
      <c r="P734" s="170"/>
      <c r="Q734" s="170"/>
      <c r="AA734" s="170"/>
      <c r="AB734" s="170"/>
      <c r="AC734" s="170"/>
      <c r="AD734" s="170"/>
    </row>
    <row r="735">
      <c r="N735" s="170"/>
      <c r="O735" s="170"/>
      <c r="P735" s="170"/>
      <c r="Q735" s="170"/>
      <c r="AA735" s="170"/>
      <c r="AB735" s="170"/>
      <c r="AC735" s="170"/>
      <c r="AD735" s="170"/>
    </row>
    <row r="736">
      <c r="N736" s="170"/>
      <c r="O736" s="170"/>
      <c r="P736" s="170"/>
      <c r="Q736" s="170"/>
      <c r="AA736" s="170"/>
      <c r="AB736" s="170"/>
      <c r="AC736" s="170"/>
      <c r="AD736" s="170"/>
    </row>
    <row r="737">
      <c r="N737" s="170"/>
      <c r="O737" s="170"/>
      <c r="P737" s="170"/>
      <c r="Q737" s="170"/>
      <c r="AA737" s="170"/>
      <c r="AB737" s="170"/>
      <c r="AC737" s="170"/>
      <c r="AD737" s="170"/>
    </row>
    <row r="738">
      <c r="N738" s="170"/>
      <c r="O738" s="170"/>
      <c r="P738" s="170"/>
      <c r="Q738" s="170"/>
      <c r="AA738" s="170"/>
      <c r="AB738" s="170"/>
      <c r="AC738" s="170"/>
      <c r="AD738" s="170"/>
    </row>
    <row r="739">
      <c r="N739" s="170"/>
      <c r="O739" s="170"/>
      <c r="P739" s="170"/>
      <c r="Q739" s="170"/>
      <c r="AA739" s="170"/>
      <c r="AB739" s="170"/>
      <c r="AC739" s="170"/>
      <c r="AD739" s="170"/>
    </row>
    <row r="740">
      <c r="N740" s="170"/>
      <c r="O740" s="170"/>
      <c r="P740" s="170"/>
      <c r="Q740" s="170"/>
      <c r="AA740" s="170"/>
      <c r="AB740" s="170"/>
      <c r="AC740" s="170"/>
      <c r="AD740" s="170"/>
    </row>
    <row r="741">
      <c r="N741" s="170"/>
      <c r="O741" s="170"/>
      <c r="P741" s="170"/>
      <c r="Q741" s="170"/>
      <c r="AA741" s="170"/>
      <c r="AB741" s="170"/>
      <c r="AC741" s="170"/>
      <c r="AD741" s="170"/>
    </row>
    <row r="742">
      <c r="N742" s="170"/>
      <c r="O742" s="170"/>
      <c r="P742" s="170"/>
      <c r="Q742" s="170"/>
      <c r="AA742" s="170"/>
      <c r="AB742" s="170"/>
      <c r="AC742" s="170"/>
      <c r="AD742" s="170"/>
    </row>
    <row r="743">
      <c r="N743" s="170"/>
      <c r="O743" s="170"/>
      <c r="P743" s="170"/>
      <c r="Q743" s="170"/>
      <c r="AA743" s="170"/>
      <c r="AB743" s="170"/>
      <c r="AC743" s="170"/>
      <c r="AD743" s="170"/>
    </row>
    <row r="744">
      <c r="N744" s="170"/>
      <c r="O744" s="170"/>
      <c r="P744" s="170"/>
      <c r="Q744" s="170"/>
      <c r="AA744" s="170"/>
      <c r="AB744" s="170"/>
      <c r="AC744" s="170"/>
      <c r="AD744" s="170"/>
    </row>
    <row r="745">
      <c r="N745" s="170"/>
      <c r="O745" s="170"/>
      <c r="P745" s="170"/>
      <c r="Q745" s="170"/>
      <c r="AA745" s="170"/>
      <c r="AB745" s="170"/>
      <c r="AC745" s="170"/>
      <c r="AD745" s="170"/>
    </row>
    <row r="746">
      <c r="N746" s="170"/>
      <c r="O746" s="170"/>
      <c r="P746" s="170"/>
      <c r="Q746" s="170"/>
      <c r="AA746" s="170"/>
      <c r="AB746" s="170"/>
      <c r="AC746" s="170"/>
      <c r="AD746" s="170"/>
    </row>
    <row r="747">
      <c r="N747" s="170"/>
      <c r="O747" s="170"/>
      <c r="P747" s="170"/>
      <c r="Q747" s="170"/>
      <c r="AA747" s="170"/>
      <c r="AB747" s="170"/>
      <c r="AC747" s="170"/>
      <c r="AD747" s="170"/>
    </row>
    <row r="748">
      <c r="N748" s="170"/>
      <c r="O748" s="170"/>
      <c r="P748" s="170"/>
      <c r="Q748" s="170"/>
      <c r="AA748" s="170"/>
      <c r="AB748" s="170"/>
      <c r="AC748" s="170"/>
      <c r="AD748" s="170"/>
    </row>
    <row r="749">
      <c r="N749" s="170"/>
      <c r="O749" s="170"/>
      <c r="P749" s="170"/>
      <c r="Q749" s="170"/>
      <c r="AA749" s="170"/>
      <c r="AB749" s="170"/>
      <c r="AC749" s="170"/>
      <c r="AD749" s="170"/>
    </row>
    <row r="750">
      <c r="N750" s="170"/>
      <c r="O750" s="170"/>
      <c r="P750" s="170"/>
      <c r="Q750" s="170"/>
      <c r="AA750" s="170"/>
      <c r="AB750" s="170"/>
      <c r="AC750" s="170"/>
      <c r="AD750" s="170"/>
    </row>
    <row r="751">
      <c r="N751" s="170"/>
      <c r="O751" s="170"/>
      <c r="P751" s="170"/>
      <c r="Q751" s="170"/>
      <c r="AA751" s="170"/>
      <c r="AB751" s="170"/>
      <c r="AC751" s="170"/>
      <c r="AD751" s="170"/>
    </row>
    <row r="752">
      <c r="N752" s="170"/>
      <c r="O752" s="170"/>
      <c r="P752" s="170"/>
      <c r="Q752" s="170"/>
      <c r="AA752" s="170"/>
      <c r="AB752" s="170"/>
      <c r="AC752" s="170"/>
      <c r="AD752" s="170"/>
    </row>
    <row r="753">
      <c r="N753" s="170"/>
      <c r="O753" s="170"/>
      <c r="P753" s="170"/>
      <c r="Q753" s="170"/>
      <c r="AA753" s="170"/>
      <c r="AB753" s="170"/>
      <c r="AC753" s="170"/>
      <c r="AD753" s="170"/>
    </row>
    <row r="754">
      <c r="N754" s="170"/>
      <c r="O754" s="170"/>
      <c r="P754" s="170"/>
      <c r="Q754" s="170"/>
      <c r="AA754" s="170"/>
      <c r="AB754" s="170"/>
      <c r="AC754" s="170"/>
      <c r="AD754" s="170"/>
    </row>
    <row r="755">
      <c r="N755" s="170"/>
      <c r="O755" s="170"/>
      <c r="P755" s="170"/>
      <c r="Q755" s="170"/>
      <c r="AA755" s="170"/>
      <c r="AB755" s="170"/>
      <c r="AC755" s="170"/>
      <c r="AD755" s="170"/>
    </row>
    <row r="756">
      <c r="N756" s="170"/>
      <c r="O756" s="170"/>
      <c r="P756" s="170"/>
      <c r="Q756" s="170"/>
      <c r="AA756" s="170"/>
      <c r="AB756" s="170"/>
      <c r="AC756" s="170"/>
      <c r="AD756" s="170"/>
    </row>
    <row r="757">
      <c r="N757" s="170"/>
      <c r="O757" s="170"/>
      <c r="P757" s="170"/>
      <c r="Q757" s="170"/>
      <c r="AA757" s="170"/>
      <c r="AB757" s="170"/>
      <c r="AC757" s="170"/>
      <c r="AD757" s="170"/>
    </row>
    <row r="758">
      <c r="N758" s="170"/>
      <c r="O758" s="170"/>
      <c r="P758" s="170"/>
      <c r="Q758" s="170"/>
      <c r="AA758" s="170"/>
      <c r="AB758" s="170"/>
      <c r="AC758" s="170"/>
      <c r="AD758" s="170"/>
    </row>
    <row r="759">
      <c r="N759" s="170"/>
      <c r="O759" s="170"/>
      <c r="P759" s="170"/>
      <c r="Q759" s="170"/>
      <c r="AA759" s="170"/>
      <c r="AB759" s="170"/>
      <c r="AC759" s="170"/>
      <c r="AD759" s="170"/>
    </row>
    <row r="760">
      <c r="N760" s="170"/>
      <c r="O760" s="170"/>
      <c r="P760" s="170"/>
      <c r="Q760" s="170"/>
      <c r="AA760" s="170"/>
      <c r="AB760" s="170"/>
      <c r="AC760" s="170"/>
      <c r="AD760" s="170"/>
    </row>
    <row r="761">
      <c r="N761" s="170"/>
      <c r="O761" s="170"/>
      <c r="P761" s="170"/>
      <c r="Q761" s="170"/>
      <c r="AA761" s="170"/>
      <c r="AB761" s="170"/>
      <c r="AC761" s="170"/>
      <c r="AD761" s="170"/>
    </row>
    <row r="762">
      <c r="N762" s="170"/>
      <c r="O762" s="170"/>
      <c r="P762" s="170"/>
      <c r="Q762" s="170"/>
      <c r="AA762" s="170"/>
      <c r="AB762" s="170"/>
      <c r="AC762" s="170"/>
      <c r="AD762" s="170"/>
    </row>
    <row r="763">
      <c r="N763" s="170"/>
      <c r="O763" s="170"/>
      <c r="P763" s="170"/>
      <c r="Q763" s="170"/>
      <c r="AA763" s="170"/>
      <c r="AB763" s="170"/>
      <c r="AC763" s="170"/>
      <c r="AD763" s="170"/>
    </row>
    <row r="764">
      <c r="N764" s="170"/>
      <c r="O764" s="170"/>
      <c r="P764" s="170"/>
      <c r="Q764" s="170"/>
      <c r="AA764" s="170"/>
      <c r="AB764" s="170"/>
      <c r="AC764" s="170"/>
      <c r="AD764" s="170"/>
    </row>
    <row r="765">
      <c r="N765" s="170"/>
      <c r="O765" s="170"/>
      <c r="P765" s="170"/>
      <c r="Q765" s="170"/>
      <c r="AA765" s="170"/>
      <c r="AB765" s="170"/>
      <c r="AC765" s="170"/>
      <c r="AD765" s="170"/>
    </row>
    <row r="766">
      <c r="N766" s="170"/>
      <c r="O766" s="170"/>
      <c r="P766" s="170"/>
      <c r="Q766" s="170"/>
      <c r="AA766" s="170"/>
      <c r="AB766" s="170"/>
      <c r="AC766" s="170"/>
      <c r="AD766" s="170"/>
    </row>
    <row r="767">
      <c r="N767" s="170"/>
      <c r="O767" s="170"/>
      <c r="P767" s="170"/>
      <c r="Q767" s="170"/>
      <c r="AA767" s="170"/>
      <c r="AB767" s="170"/>
      <c r="AC767" s="170"/>
      <c r="AD767" s="170"/>
    </row>
    <row r="768">
      <c r="N768" s="170"/>
      <c r="O768" s="170"/>
      <c r="P768" s="170"/>
      <c r="Q768" s="170"/>
      <c r="AA768" s="170"/>
      <c r="AB768" s="170"/>
      <c r="AC768" s="170"/>
      <c r="AD768" s="170"/>
    </row>
    <row r="769">
      <c r="N769" s="170"/>
      <c r="O769" s="170"/>
      <c r="P769" s="170"/>
      <c r="Q769" s="170"/>
      <c r="AA769" s="170"/>
      <c r="AB769" s="170"/>
      <c r="AC769" s="170"/>
      <c r="AD769" s="170"/>
    </row>
    <row r="770">
      <c r="N770" s="170"/>
      <c r="O770" s="170"/>
      <c r="P770" s="170"/>
      <c r="Q770" s="170"/>
      <c r="AA770" s="170"/>
      <c r="AB770" s="170"/>
      <c r="AC770" s="170"/>
      <c r="AD770" s="170"/>
    </row>
    <row r="771">
      <c r="N771" s="170"/>
      <c r="O771" s="170"/>
      <c r="P771" s="170"/>
      <c r="Q771" s="170"/>
      <c r="AA771" s="170"/>
      <c r="AB771" s="170"/>
      <c r="AC771" s="170"/>
      <c r="AD771" s="170"/>
    </row>
    <row r="772">
      <c r="N772" s="170"/>
      <c r="O772" s="170"/>
      <c r="P772" s="170"/>
      <c r="Q772" s="170"/>
      <c r="AA772" s="170"/>
      <c r="AB772" s="170"/>
      <c r="AC772" s="170"/>
      <c r="AD772" s="170"/>
    </row>
    <row r="773">
      <c r="N773" s="170"/>
      <c r="O773" s="170"/>
      <c r="P773" s="170"/>
      <c r="Q773" s="170"/>
      <c r="AA773" s="170"/>
      <c r="AB773" s="170"/>
      <c r="AC773" s="170"/>
      <c r="AD773" s="170"/>
    </row>
    <row r="774">
      <c r="N774" s="170"/>
      <c r="O774" s="170"/>
      <c r="P774" s="170"/>
      <c r="Q774" s="170"/>
      <c r="AA774" s="170"/>
      <c r="AB774" s="170"/>
      <c r="AC774" s="170"/>
      <c r="AD774" s="170"/>
    </row>
    <row r="775">
      <c r="N775" s="170"/>
      <c r="O775" s="170"/>
      <c r="P775" s="170"/>
      <c r="Q775" s="170"/>
      <c r="AA775" s="170"/>
      <c r="AB775" s="170"/>
      <c r="AC775" s="170"/>
      <c r="AD775" s="170"/>
    </row>
    <row r="776">
      <c r="N776" s="170"/>
      <c r="O776" s="170"/>
      <c r="P776" s="170"/>
      <c r="Q776" s="170"/>
      <c r="AA776" s="170"/>
      <c r="AB776" s="170"/>
      <c r="AC776" s="170"/>
      <c r="AD776" s="170"/>
    </row>
    <row r="777">
      <c r="N777" s="170"/>
      <c r="O777" s="170"/>
      <c r="P777" s="170"/>
      <c r="Q777" s="170"/>
      <c r="AA777" s="170"/>
      <c r="AB777" s="170"/>
      <c r="AC777" s="170"/>
      <c r="AD777" s="170"/>
    </row>
    <row r="778">
      <c r="N778" s="170"/>
      <c r="O778" s="170"/>
      <c r="P778" s="170"/>
      <c r="Q778" s="170"/>
      <c r="AA778" s="170"/>
      <c r="AB778" s="170"/>
      <c r="AC778" s="170"/>
      <c r="AD778" s="170"/>
    </row>
    <row r="779">
      <c r="N779" s="170"/>
      <c r="O779" s="170"/>
      <c r="P779" s="170"/>
      <c r="Q779" s="170"/>
      <c r="AA779" s="170"/>
      <c r="AB779" s="170"/>
      <c r="AC779" s="170"/>
      <c r="AD779" s="170"/>
    </row>
    <row r="780">
      <c r="N780" s="170"/>
      <c r="O780" s="170"/>
      <c r="P780" s="170"/>
      <c r="Q780" s="170"/>
      <c r="AA780" s="170"/>
      <c r="AB780" s="170"/>
      <c r="AC780" s="170"/>
      <c r="AD780" s="170"/>
    </row>
    <row r="781">
      <c r="N781" s="170"/>
      <c r="O781" s="170"/>
      <c r="P781" s="170"/>
      <c r="Q781" s="170"/>
      <c r="AA781" s="170"/>
      <c r="AB781" s="170"/>
      <c r="AC781" s="170"/>
      <c r="AD781" s="170"/>
    </row>
    <row r="782">
      <c r="N782" s="170"/>
      <c r="O782" s="170"/>
      <c r="P782" s="170"/>
      <c r="Q782" s="170"/>
      <c r="AA782" s="170"/>
      <c r="AB782" s="170"/>
      <c r="AC782" s="170"/>
      <c r="AD782" s="170"/>
    </row>
    <row r="783">
      <c r="N783" s="170"/>
      <c r="O783" s="170"/>
      <c r="P783" s="170"/>
      <c r="Q783" s="170"/>
      <c r="AA783" s="170"/>
      <c r="AB783" s="170"/>
      <c r="AC783" s="170"/>
      <c r="AD783" s="170"/>
    </row>
    <row r="784">
      <c r="N784" s="170"/>
      <c r="O784" s="170"/>
      <c r="P784" s="170"/>
      <c r="Q784" s="170"/>
      <c r="AA784" s="170"/>
      <c r="AB784" s="170"/>
      <c r="AC784" s="170"/>
      <c r="AD784" s="170"/>
    </row>
    <row r="785">
      <c r="N785" s="170"/>
      <c r="O785" s="170"/>
      <c r="P785" s="170"/>
      <c r="Q785" s="170"/>
      <c r="AA785" s="170"/>
      <c r="AB785" s="170"/>
      <c r="AC785" s="170"/>
      <c r="AD785" s="170"/>
    </row>
    <row r="786">
      <c r="N786" s="170"/>
      <c r="O786" s="170"/>
      <c r="P786" s="170"/>
      <c r="Q786" s="170"/>
      <c r="AA786" s="170"/>
      <c r="AB786" s="170"/>
      <c r="AC786" s="170"/>
      <c r="AD786" s="170"/>
    </row>
    <row r="787">
      <c r="N787" s="170"/>
      <c r="O787" s="170"/>
      <c r="P787" s="170"/>
      <c r="Q787" s="170"/>
      <c r="AA787" s="170"/>
      <c r="AB787" s="170"/>
      <c r="AC787" s="170"/>
      <c r="AD787" s="170"/>
    </row>
    <row r="788">
      <c r="N788" s="170"/>
      <c r="O788" s="170"/>
      <c r="P788" s="170"/>
      <c r="Q788" s="170"/>
      <c r="AA788" s="170"/>
      <c r="AB788" s="170"/>
      <c r="AC788" s="170"/>
      <c r="AD788" s="170"/>
    </row>
    <row r="789">
      <c r="N789" s="170"/>
      <c r="O789" s="170"/>
      <c r="P789" s="170"/>
      <c r="Q789" s="170"/>
      <c r="AA789" s="170"/>
      <c r="AB789" s="170"/>
      <c r="AC789" s="170"/>
      <c r="AD789" s="170"/>
    </row>
    <row r="790">
      <c r="N790" s="170"/>
      <c r="O790" s="170"/>
      <c r="P790" s="170"/>
      <c r="Q790" s="170"/>
      <c r="AA790" s="170"/>
      <c r="AB790" s="170"/>
      <c r="AC790" s="170"/>
      <c r="AD790" s="170"/>
    </row>
    <row r="791">
      <c r="N791" s="170"/>
      <c r="O791" s="170"/>
      <c r="P791" s="170"/>
      <c r="Q791" s="170"/>
      <c r="AA791" s="170"/>
      <c r="AB791" s="170"/>
      <c r="AC791" s="170"/>
      <c r="AD791" s="170"/>
    </row>
    <row r="792">
      <c r="N792" s="170"/>
      <c r="O792" s="170"/>
      <c r="P792" s="170"/>
      <c r="Q792" s="170"/>
      <c r="AA792" s="170"/>
      <c r="AB792" s="170"/>
      <c r="AC792" s="170"/>
      <c r="AD792" s="170"/>
    </row>
    <row r="793">
      <c r="N793" s="170"/>
      <c r="O793" s="170"/>
      <c r="P793" s="170"/>
      <c r="Q793" s="170"/>
      <c r="AA793" s="170"/>
      <c r="AB793" s="170"/>
      <c r="AC793" s="170"/>
      <c r="AD793" s="170"/>
    </row>
    <row r="794">
      <c r="N794" s="170"/>
      <c r="O794" s="170"/>
      <c r="P794" s="170"/>
      <c r="Q794" s="170"/>
      <c r="AA794" s="170"/>
      <c r="AB794" s="170"/>
      <c r="AC794" s="170"/>
      <c r="AD794" s="170"/>
    </row>
    <row r="795">
      <c r="N795" s="170"/>
      <c r="O795" s="170"/>
      <c r="P795" s="170"/>
      <c r="Q795" s="170"/>
      <c r="AA795" s="170"/>
      <c r="AB795" s="170"/>
      <c r="AC795" s="170"/>
      <c r="AD795" s="170"/>
    </row>
    <row r="796">
      <c r="N796" s="170"/>
      <c r="O796" s="170"/>
      <c r="P796" s="170"/>
      <c r="Q796" s="170"/>
      <c r="AA796" s="170"/>
      <c r="AB796" s="170"/>
      <c r="AC796" s="170"/>
      <c r="AD796" s="170"/>
    </row>
    <row r="797">
      <c r="N797" s="170"/>
      <c r="O797" s="170"/>
      <c r="P797" s="170"/>
      <c r="Q797" s="170"/>
      <c r="AA797" s="170"/>
      <c r="AB797" s="170"/>
      <c r="AC797" s="170"/>
      <c r="AD797" s="170"/>
    </row>
    <row r="798">
      <c r="N798" s="170"/>
      <c r="O798" s="170"/>
      <c r="P798" s="170"/>
      <c r="Q798" s="170"/>
      <c r="AA798" s="170"/>
      <c r="AB798" s="170"/>
      <c r="AC798" s="170"/>
      <c r="AD798" s="170"/>
    </row>
    <row r="799">
      <c r="N799" s="170"/>
      <c r="O799" s="170"/>
      <c r="P799" s="170"/>
      <c r="Q799" s="170"/>
      <c r="AA799" s="170"/>
      <c r="AB799" s="170"/>
      <c r="AC799" s="170"/>
      <c r="AD799" s="170"/>
    </row>
    <row r="800">
      <c r="N800" s="170"/>
      <c r="O800" s="170"/>
      <c r="P800" s="170"/>
      <c r="Q800" s="170"/>
      <c r="AA800" s="170"/>
      <c r="AB800" s="170"/>
      <c r="AC800" s="170"/>
      <c r="AD800" s="170"/>
    </row>
    <row r="801">
      <c r="N801" s="170"/>
      <c r="O801" s="170"/>
      <c r="P801" s="170"/>
      <c r="Q801" s="170"/>
      <c r="AA801" s="170"/>
      <c r="AB801" s="170"/>
      <c r="AC801" s="170"/>
      <c r="AD801" s="170"/>
    </row>
    <row r="802">
      <c r="N802" s="170"/>
      <c r="O802" s="170"/>
      <c r="P802" s="170"/>
      <c r="Q802" s="170"/>
      <c r="AA802" s="170"/>
      <c r="AB802" s="170"/>
      <c r="AC802" s="170"/>
      <c r="AD802" s="170"/>
    </row>
    <row r="803">
      <c r="N803" s="170"/>
      <c r="O803" s="170"/>
      <c r="P803" s="170"/>
      <c r="Q803" s="170"/>
      <c r="AA803" s="170"/>
      <c r="AB803" s="170"/>
      <c r="AC803" s="170"/>
      <c r="AD803" s="170"/>
    </row>
    <row r="804">
      <c r="N804" s="170"/>
      <c r="O804" s="170"/>
      <c r="P804" s="170"/>
      <c r="Q804" s="170"/>
      <c r="AA804" s="170"/>
      <c r="AB804" s="170"/>
      <c r="AC804" s="170"/>
      <c r="AD804" s="170"/>
    </row>
    <row r="805">
      <c r="N805" s="170"/>
      <c r="O805" s="170"/>
      <c r="P805" s="170"/>
      <c r="Q805" s="170"/>
      <c r="AA805" s="170"/>
      <c r="AB805" s="170"/>
      <c r="AC805" s="170"/>
      <c r="AD805" s="170"/>
    </row>
    <row r="806">
      <c r="N806" s="170"/>
      <c r="O806" s="170"/>
      <c r="P806" s="170"/>
      <c r="Q806" s="170"/>
      <c r="AA806" s="170"/>
      <c r="AB806" s="170"/>
      <c r="AC806" s="170"/>
      <c r="AD806" s="170"/>
    </row>
    <row r="807">
      <c r="N807" s="170"/>
      <c r="O807" s="170"/>
      <c r="P807" s="170"/>
      <c r="Q807" s="170"/>
      <c r="AA807" s="170"/>
      <c r="AB807" s="170"/>
      <c r="AC807" s="170"/>
      <c r="AD807" s="170"/>
    </row>
    <row r="808">
      <c r="N808" s="170"/>
      <c r="O808" s="170"/>
      <c r="P808" s="170"/>
      <c r="Q808" s="170"/>
      <c r="AA808" s="170"/>
      <c r="AB808" s="170"/>
      <c r="AC808" s="170"/>
      <c r="AD808" s="170"/>
    </row>
    <row r="809">
      <c r="N809" s="170"/>
      <c r="O809" s="170"/>
      <c r="P809" s="170"/>
      <c r="Q809" s="170"/>
      <c r="AA809" s="170"/>
      <c r="AB809" s="170"/>
      <c r="AC809" s="170"/>
      <c r="AD809" s="170"/>
    </row>
    <row r="810">
      <c r="N810" s="170"/>
      <c r="O810" s="170"/>
      <c r="P810" s="170"/>
      <c r="Q810" s="170"/>
      <c r="AA810" s="170"/>
      <c r="AB810" s="170"/>
      <c r="AC810" s="170"/>
      <c r="AD810" s="170"/>
    </row>
    <row r="811">
      <c r="N811" s="170"/>
      <c r="O811" s="170"/>
      <c r="P811" s="170"/>
      <c r="Q811" s="170"/>
      <c r="AA811" s="170"/>
      <c r="AB811" s="170"/>
      <c r="AC811" s="170"/>
      <c r="AD811" s="170"/>
    </row>
    <row r="812">
      <c r="N812" s="170"/>
      <c r="O812" s="170"/>
      <c r="P812" s="170"/>
      <c r="Q812" s="170"/>
      <c r="AA812" s="170"/>
      <c r="AB812" s="170"/>
      <c r="AC812" s="170"/>
      <c r="AD812" s="170"/>
    </row>
    <row r="813">
      <c r="N813" s="170"/>
      <c r="O813" s="170"/>
      <c r="P813" s="170"/>
      <c r="Q813" s="170"/>
      <c r="AA813" s="170"/>
      <c r="AB813" s="170"/>
      <c r="AC813" s="170"/>
      <c r="AD813" s="170"/>
    </row>
    <row r="814">
      <c r="N814" s="170"/>
      <c r="O814" s="170"/>
      <c r="P814" s="170"/>
      <c r="Q814" s="170"/>
      <c r="AA814" s="170"/>
      <c r="AB814" s="170"/>
      <c r="AC814" s="170"/>
      <c r="AD814" s="170"/>
    </row>
    <row r="815">
      <c r="N815" s="170"/>
      <c r="O815" s="170"/>
      <c r="P815" s="170"/>
      <c r="Q815" s="170"/>
      <c r="AA815" s="170"/>
      <c r="AB815" s="170"/>
      <c r="AC815" s="170"/>
      <c r="AD815" s="170"/>
    </row>
    <row r="816">
      <c r="N816" s="170"/>
      <c r="O816" s="170"/>
      <c r="P816" s="170"/>
      <c r="Q816" s="170"/>
      <c r="AA816" s="170"/>
      <c r="AB816" s="170"/>
      <c r="AC816" s="170"/>
      <c r="AD816" s="170"/>
    </row>
    <row r="817">
      <c r="N817" s="170"/>
      <c r="O817" s="170"/>
      <c r="P817" s="170"/>
      <c r="Q817" s="170"/>
      <c r="AA817" s="170"/>
      <c r="AB817" s="170"/>
      <c r="AC817" s="170"/>
      <c r="AD817" s="170"/>
    </row>
    <row r="818">
      <c r="N818" s="170"/>
      <c r="O818" s="170"/>
      <c r="P818" s="170"/>
      <c r="Q818" s="170"/>
      <c r="AA818" s="170"/>
      <c r="AB818" s="170"/>
      <c r="AC818" s="170"/>
      <c r="AD818" s="170"/>
    </row>
    <row r="819">
      <c r="N819" s="170"/>
      <c r="O819" s="170"/>
      <c r="P819" s="170"/>
      <c r="Q819" s="170"/>
      <c r="AA819" s="170"/>
      <c r="AB819" s="170"/>
      <c r="AC819" s="170"/>
      <c r="AD819" s="170"/>
    </row>
    <row r="820">
      <c r="N820" s="170"/>
      <c r="O820" s="170"/>
      <c r="P820" s="170"/>
      <c r="Q820" s="170"/>
      <c r="AA820" s="170"/>
      <c r="AB820" s="170"/>
      <c r="AC820" s="170"/>
      <c r="AD820" s="170"/>
    </row>
    <row r="821">
      <c r="N821" s="170"/>
      <c r="O821" s="170"/>
      <c r="P821" s="170"/>
      <c r="Q821" s="170"/>
      <c r="AA821" s="170"/>
      <c r="AB821" s="170"/>
      <c r="AC821" s="170"/>
      <c r="AD821" s="170"/>
    </row>
    <row r="822">
      <c r="N822" s="170"/>
      <c r="O822" s="170"/>
      <c r="P822" s="170"/>
      <c r="Q822" s="170"/>
      <c r="AA822" s="170"/>
      <c r="AB822" s="170"/>
      <c r="AC822" s="170"/>
      <c r="AD822" s="170"/>
    </row>
    <row r="823">
      <c r="N823" s="170"/>
      <c r="O823" s="170"/>
      <c r="P823" s="170"/>
      <c r="Q823" s="170"/>
      <c r="AA823" s="170"/>
      <c r="AB823" s="170"/>
      <c r="AC823" s="170"/>
      <c r="AD823" s="170"/>
    </row>
    <row r="824">
      <c r="N824" s="170"/>
      <c r="O824" s="170"/>
      <c r="P824" s="170"/>
      <c r="Q824" s="170"/>
      <c r="AA824" s="170"/>
      <c r="AB824" s="170"/>
      <c r="AC824" s="170"/>
      <c r="AD824" s="170"/>
    </row>
    <row r="825">
      <c r="N825" s="170"/>
      <c r="O825" s="170"/>
      <c r="P825" s="170"/>
      <c r="Q825" s="170"/>
      <c r="AA825" s="170"/>
      <c r="AB825" s="170"/>
      <c r="AC825" s="170"/>
      <c r="AD825" s="170"/>
    </row>
    <row r="826">
      <c r="N826" s="170"/>
      <c r="O826" s="170"/>
      <c r="P826" s="170"/>
      <c r="Q826" s="170"/>
      <c r="AA826" s="170"/>
      <c r="AB826" s="170"/>
      <c r="AC826" s="170"/>
      <c r="AD826" s="170"/>
    </row>
    <row r="827">
      <c r="N827" s="170"/>
      <c r="O827" s="170"/>
      <c r="P827" s="170"/>
      <c r="Q827" s="170"/>
      <c r="AA827" s="170"/>
      <c r="AB827" s="170"/>
      <c r="AC827" s="170"/>
      <c r="AD827" s="170"/>
    </row>
    <row r="828">
      <c r="N828" s="170"/>
      <c r="O828" s="170"/>
      <c r="P828" s="170"/>
      <c r="Q828" s="170"/>
      <c r="AA828" s="170"/>
      <c r="AB828" s="170"/>
      <c r="AC828" s="170"/>
      <c r="AD828" s="170"/>
    </row>
    <row r="829">
      <c r="N829" s="170"/>
      <c r="O829" s="170"/>
      <c r="P829" s="170"/>
      <c r="Q829" s="170"/>
      <c r="AA829" s="170"/>
      <c r="AB829" s="170"/>
      <c r="AC829" s="170"/>
      <c r="AD829" s="170"/>
    </row>
    <row r="830">
      <c r="N830" s="170"/>
      <c r="O830" s="170"/>
      <c r="P830" s="170"/>
      <c r="Q830" s="170"/>
      <c r="AA830" s="170"/>
      <c r="AB830" s="170"/>
      <c r="AC830" s="170"/>
      <c r="AD830" s="170"/>
    </row>
    <row r="831">
      <c r="N831" s="170"/>
      <c r="O831" s="170"/>
      <c r="P831" s="170"/>
      <c r="Q831" s="170"/>
      <c r="AA831" s="170"/>
      <c r="AB831" s="170"/>
      <c r="AC831" s="170"/>
      <c r="AD831" s="170"/>
    </row>
    <row r="832">
      <c r="N832" s="170"/>
      <c r="O832" s="170"/>
      <c r="P832" s="170"/>
      <c r="Q832" s="170"/>
      <c r="AA832" s="170"/>
      <c r="AB832" s="170"/>
      <c r="AC832" s="170"/>
      <c r="AD832" s="170"/>
    </row>
    <row r="833">
      <c r="N833" s="170"/>
      <c r="O833" s="170"/>
      <c r="P833" s="170"/>
      <c r="Q833" s="170"/>
      <c r="AA833" s="170"/>
      <c r="AB833" s="170"/>
      <c r="AC833" s="170"/>
      <c r="AD833" s="170"/>
    </row>
    <row r="834">
      <c r="N834" s="170"/>
      <c r="O834" s="170"/>
      <c r="P834" s="170"/>
      <c r="Q834" s="170"/>
      <c r="AA834" s="170"/>
      <c r="AB834" s="170"/>
      <c r="AC834" s="170"/>
      <c r="AD834" s="170"/>
    </row>
    <row r="835">
      <c r="N835" s="170"/>
      <c r="O835" s="170"/>
      <c r="P835" s="170"/>
      <c r="Q835" s="170"/>
      <c r="AA835" s="170"/>
      <c r="AB835" s="170"/>
      <c r="AC835" s="170"/>
      <c r="AD835" s="170"/>
    </row>
    <row r="836">
      <c r="N836" s="170"/>
      <c r="O836" s="170"/>
      <c r="P836" s="170"/>
      <c r="Q836" s="170"/>
      <c r="AA836" s="170"/>
      <c r="AB836" s="170"/>
      <c r="AC836" s="170"/>
      <c r="AD836" s="170"/>
    </row>
    <row r="837">
      <c r="N837" s="170"/>
      <c r="O837" s="170"/>
      <c r="P837" s="170"/>
      <c r="Q837" s="170"/>
      <c r="AA837" s="170"/>
      <c r="AB837" s="170"/>
      <c r="AC837" s="170"/>
      <c r="AD837" s="170"/>
    </row>
    <row r="838">
      <c r="N838" s="170"/>
      <c r="O838" s="170"/>
      <c r="P838" s="170"/>
      <c r="Q838" s="170"/>
      <c r="AA838" s="170"/>
      <c r="AB838" s="170"/>
      <c r="AC838" s="170"/>
      <c r="AD838" s="170"/>
    </row>
    <row r="839">
      <c r="N839" s="170"/>
      <c r="O839" s="170"/>
      <c r="P839" s="170"/>
      <c r="Q839" s="170"/>
      <c r="AA839" s="170"/>
      <c r="AB839" s="170"/>
      <c r="AC839" s="170"/>
      <c r="AD839" s="170"/>
    </row>
    <row r="840">
      <c r="N840" s="170"/>
      <c r="O840" s="170"/>
      <c r="P840" s="170"/>
      <c r="Q840" s="170"/>
      <c r="AA840" s="170"/>
      <c r="AB840" s="170"/>
      <c r="AC840" s="170"/>
      <c r="AD840" s="170"/>
    </row>
    <row r="841">
      <c r="N841" s="170"/>
      <c r="O841" s="170"/>
      <c r="P841" s="170"/>
      <c r="Q841" s="170"/>
      <c r="AA841" s="170"/>
      <c r="AB841" s="170"/>
      <c r="AC841" s="170"/>
      <c r="AD841" s="170"/>
    </row>
    <row r="842">
      <c r="N842" s="170"/>
      <c r="O842" s="170"/>
      <c r="P842" s="170"/>
      <c r="Q842" s="170"/>
      <c r="AA842" s="170"/>
      <c r="AB842" s="170"/>
      <c r="AC842" s="170"/>
      <c r="AD842" s="170"/>
    </row>
    <row r="843">
      <c r="N843" s="170"/>
      <c r="O843" s="170"/>
      <c r="P843" s="170"/>
      <c r="Q843" s="170"/>
      <c r="AA843" s="170"/>
      <c r="AB843" s="170"/>
      <c r="AC843" s="170"/>
      <c r="AD843" s="170"/>
    </row>
    <row r="844">
      <c r="N844" s="170"/>
      <c r="O844" s="170"/>
      <c r="P844" s="170"/>
      <c r="Q844" s="170"/>
      <c r="AA844" s="170"/>
      <c r="AB844" s="170"/>
      <c r="AC844" s="170"/>
      <c r="AD844" s="170"/>
    </row>
    <row r="845">
      <c r="N845" s="170"/>
      <c r="O845" s="170"/>
      <c r="P845" s="170"/>
      <c r="Q845" s="170"/>
      <c r="AA845" s="170"/>
      <c r="AB845" s="170"/>
      <c r="AC845" s="170"/>
      <c r="AD845" s="170"/>
    </row>
    <row r="846">
      <c r="N846" s="170"/>
      <c r="O846" s="170"/>
      <c r="P846" s="170"/>
      <c r="Q846" s="170"/>
      <c r="AA846" s="170"/>
      <c r="AB846" s="170"/>
      <c r="AC846" s="170"/>
      <c r="AD846" s="170"/>
    </row>
    <row r="847">
      <c r="N847" s="170"/>
      <c r="O847" s="170"/>
      <c r="P847" s="170"/>
      <c r="Q847" s="170"/>
      <c r="AA847" s="170"/>
      <c r="AB847" s="170"/>
      <c r="AC847" s="170"/>
      <c r="AD847" s="170"/>
    </row>
    <row r="848">
      <c r="N848" s="170"/>
      <c r="O848" s="170"/>
      <c r="P848" s="170"/>
      <c r="Q848" s="170"/>
      <c r="AA848" s="170"/>
      <c r="AB848" s="170"/>
      <c r="AC848" s="170"/>
      <c r="AD848" s="170"/>
    </row>
    <row r="849">
      <c r="N849" s="170"/>
      <c r="O849" s="170"/>
      <c r="P849" s="170"/>
      <c r="Q849" s="170"/>
      <c r="AA849" s="170"/>
      <c r="AB849" s="170"/>
      <c r="AC849" s="170"/>
      <c r="AD849" s="170"/>
    </row>
    <row r="850">
      <c r="N850" s="170"/>
      <c r="O850" s="170"/>
      <c r="P850" s="170"/>
      <c r="Q850" s="170"/>
      <c r="AA850" s="170"/>
      <c r="AB850" s="170"/>
      <c r="AC850" s="170"/>
      <c r="AD850" s="170"/>
    </row>
    <row r="851">
      <c r="N851" s="170"/>
      <c r="O851" s="170"/>
      <c r="P851" s="170"/>
      <c r="Q851" s="170"/>
      <c r="AA851" s="170"/>
      <c r="AB851" s="170"/>
      <c r="AC851" s="170"/>
      <c r="AD851" s="170"/>
    </row>
    <row r="852">
      <c r="N852" s="170"/>
      <c r="O852" s="170"/>
      <c r="P852" s="170"/>
      <c r="Q852" s="170"/>
      <c r="AA852" s="170"/>
      <c r="AB852" s="170"/>
      <c r="AC852" s="170"/>
      <c r="AD852" s="170"/>
    </row>
    <row r="853">
      <c r="N853" s="170"/>
      <c r="O853" s="170"/>
      <c r="P853" s="170"/>
      <c r="Q853" s="170"/>
      <c r="AA853" s="170"/>
      <c r="AB853" s="170"/>
      <c r="AC853" s="170"/>
      <c r="AD853" s="170"/>
    </row>
    <row r="854">
      <c r="N854" s="170"/>
      <c r="O854" s="170"/>
      <c r="P854" s="170"/>
      <c r="Q854" s="170"/>
      <c r="AA854" s="170"/>
      <c r="AB854" s="170"/>
      <c r="AC854" s="170"/>
      <c r="AD854" s="170"/>
    </row>
    <row r="855">
      <c r="N855" s="170"/>
      <c r="O855" s="170"/>
      <c r="P855" s="170"/>
      <c r="Q855" s="170"/>
      <c r="AA855" s="170"/>
      <c r="AB855" s="170"/>
      <c r="AC855" s="170"/>
      <c r="AD855" s="170"/>
    </row>
    <row r="856">
      <c r="N856" s="170"/>
      <c r="O856" s="170"/>
      <c r="P856" s="170"/>
      <c r="Q856" s="170"/>
      <c r="AA856" s="170"/>
      <c r="AB856" s="170"/>
      <c r="AC856" s="170"/>
      <c r="AD856" s="170"/>
    </row>
    <row r="857">
      <c r="N857" s="170"/>
      <c r="O857" s="170"/>
      <c r="P857" s="170"/>
      <c r="Q857" s="170"/>
      <c r="AA857" s="170"/>
      <c r="AB857" s="170"/>
      <c r="AC857" s="170"/>
      <c r="AD857" s="170"/>
    </row>
    <row r="858">
      <c r="N858" s="170"/>
      <c r="O858" s="170"/>
      <c r="P858" s="170"/>
      <c r="Q858" s="170"/>
      <c r="AA858" s="170"/>
      <c r="AB858" s="170"/>
      <c r="AC858" s="170"/>
      <c r="AD858" s="170"/>
    </row>
    <row r="859">
      <c r="N859" s="170"/>
      <c r="O859" s="170"/>
      <c r="P859" s="170"/>
      <c r="Q859" s="170"/>
      <c r="AA859" s="170"/>
      <c r="AB859" s="170"/>
      <c r="AC859" s="170"/>
      <c r="AD859" s="170"/>
    </row>
    <row r="860">
      <c r="N860" s="170"/>
      <c r="O860" s="170"/>
      <c r="P860" s="170"/>
      <c r="Q860" s="170"/>
      <c r="AA860" s="170"/>
      <c r="AB860" s="170"/>
      <c r="AC860" s="170"/>
      <c r="AD860" s="170"/>
    </row>
    <row r="861">
      <c r="N861" s="170"/>
      <c r="O861" s="170"/>
      <c r="P861" s="170"/>
      <c r="Q861" s="170"/>
      <c r="AA861" s="170"/>
      <c r="AB861" s="170"/>
      <c r="AC861" s="170"/>
      <c r="AD861" s="170"/>
    </row>
    <row r="862">
      <c r="N862" s="170"/>
      <c r="O862" s="170"/>
      <c r="P862" s="170"/>
      <c r="Q862" s="170"/>
      <c r="AA862" s="170"/>
      <c r="AB862" s="170"/>
      <c r="AC862" s="170"/>
      <c r="AD862" s="170"/>
    </row>
    <row r="863">
      <c r="N863" s="170"/>
      <c r="O863" s="170"/>
      <c r="P863" s="170"/>
      <c r="Q863" s="170"/>
      <c r="AA863" s="170"/>
      <c r="AB863" s="170"/>
      <c r="AC863" s="170"/>
      <c r="AD863" s="170"/>
    </row>
    <row r="864">
      <c r="N864" s="170"/>
      <c r="O864" s="170"/>
      <c r="P864" s="170"/>
      <c r="Q864" s="170"/>
      <c r="AA864" s="170"/>
      <c r="AB864" s="170"/>
      <c r="AC864" s="170"/>
      <c r="AD864" s="170"/>
    </row>
    <row r="865">
      <c r="N865" s="170"/>
      <c r="O865" s="170"/>
      <c r="P865" s="170"/>
      <c r="Q865" s="170"/>
      <c r="AA865" s="170"/>
      <c r="AB865" s="170"/>
      <c r="AC865" s="170"/>
      <c r="AD865" s="170"/>
    </row>
    <row r="866">
      <c r="N866" s="170"/>
      <c r="O866" s="170"/>
      <c r="P866" s="170"/>
      <c r="Q866" s="170"/>
      <c r="AA866" s="170"/>
      <c r="AB866" s="170"/>
      <c r="AC866" s="170"/>
      <c r="AD866" s="170"/>
    </row>
    <row r="867">
      <c r="N867" s="170"/>
      <c r="O867" s="170"/>
      <c r="P867" s="170"/>
      <c r="Q867" s="170"/>
      <c r="AA867" s="170"/>
      <c r="AB867" s="170"/>
      <c r="AC867" s="170"/>
      <c r="AD867" s="170"/>
    </row>
    <row r="868">
      <c r="N868" s="170"/>
      <c r="O868" s="170"/>
      <c r="P868" s="170"/>
      <c r="Q868" s="170"/>
      <c r="AA868" s="170"/>
      <c r="AB868" s="170"/>
      <c r="AC868" s="170"/>
      <c r="AD868" s="170"/>
    </row>
    <row r="869">
      <c r="N869" s="170"/>
      <c r="O869" s="170"/>
      <c r="P869" s="170"/>
      <c r="Q869" s="170"/>
      <c r="AA869" s="170"/>
      <c r="AB869" s="170"/>
      <c r="AC869" s="170"/>
      <c r="AD869" s="170"/>
    </row>
    <row r="870">
      <c r="N870" s="170"/>
      <c r="O870" s="170"/>
      <c r="P870" s="170"/>
      <c r="Q870" s="170"/>
      <c r="AA870" s="170"/>
      <c r="AB870" s="170"/>
      <c r="AC870" s="170"/>
      <c r="AD870" s="170"/>
    </row>
    <row r="871">
      <c r="N871" s="170"/>
      <c r="O871" s="170"/>
      <c r="P871" s="170"/>
      <c r="Q871" s="170"/>
      <c r="AA871" s="170"/>
      <c r="AB871" s="170"/>
      <c r="AC871" s="170"/>
      <c r="AD871" s="170"/>
    </row>
    <row r="872">
      <c r="N872" s="170"/>
      <c r="O872" s="170"/>
      <c r="P872" s="170"/>
      <c r="Q872" s="170"/>
      <c r="AA872" s="170"/>
      <c r="AB872" s="170"/>
      <c r="AC872" s="170"/>
      <c r="AD872" s="170"/>
    </row>
    <row r="873">
      <c r="N873" s="170"/>
      <c r="O873" s="170"/>
      <c r="P873" s="170"/>
      <c r="Q873" s="170"/>
      <c r="AA873" s="170"/>
      <c r="AB873" s="170"/>
      <c r="AC873" s="170"/>
      <c r="AD873" s="170"/>
    </row>
    <row r="874">
      <c r="N874" s="170"/>
      <c r="O874" s="170"/>
      <c r="P874" s="170"/>
      <c r="Q874" s="170"/>
      <c r="AA874" s="170"/>
      <c r="AB874" s="170"/>
      <c r="AC874" s="170"/>
      <c r="AD874" s="170"/>
    </row>
    <row r="875">
      <c r="N875" s="170"/>
      <c r="O875" s="170"/>
      <c r="P875" s="170"/>
      <c r="Q875" s="170"/>
      <c r="AA875" s="170"/>
      <c r="AB875" s="170"/>
      <c r="AC875" s="170"/>
      <c r="AD875" s="170"/>
    </row>
    <row r="876">
      <c r="N876" s="170"/>
      <c r="O876" s="170"/>
      <c r="P876" s="170"/>
      <c r="Q876" s="170"/>
      <c r="AA876" s="170"/>
      <c r="AB876" s="170"/>
      <c r="AC876" s="170"/>
      <c r="AD876" s="170"/>
    </row>
    <row r="877">
      <c r="N877" s="170"/>
      <c r="O877" s="170"/>
      <c r="P877" s="170"/>
      <c r="Q877" s="170"/>
      <c r="AA877" s="170"/>
      <c r="AB877" s="170"/>
      <c r="AC877" s="170"/>
      <c r="AD877" s="170"/>
    </row>
    <row r="878">
      <c r="N878" s="170"/>
      <c r="O878" s="170"/>
      <c r="P878" s="170"/>
      <c r="Q878" s="170"/>
      <c r="AA878" s="170"/>
      <c r="AB878" s="170"/>
      <c r="AC878" s="170"/>
      <c r="AD878" s="170"/>
    </row>
    <row r="879">
      <c r="N879" s="170"/>
      <c r="O879" s="170"/>
      <c r="P879" s="170"/>
      <c r="Q879" s="170"/>
      <c r="AA879" s="170"/>
      <c r="AB879" s="170"/>
      <c r="AC879" s="170"/>
      <c r="AD879" s="170"/>
    </row>
    <row r="880">
      <c r="N880" s="170"/>
      <c r="O880" s="170"/>
      <c r="P880" s="170"/>
      <c r="Q880" s="170"/>
      <c r="AA880" s="170"/>
      <c r="AB880" s="170"/>
      <c r="AC880" s="170"/>
      <c r="AD880" s="170"/>
    </row>
    <row r="881">
      <c r="N881" s="170"/>
      <c r="O881" s="170"/>
      <c r="P881" s="170"/>
      <c r="Q881" s="170"/>
      <c r="AA881" s="170"/>
      <c r="AB881" s="170"/>
      <c r="AC881" s="170"/>
      <c r="AD881" s="170"/>
    </row>
    <row r="882">
      <c r="N882" s="170"/>
      <c r="O882" s="170"/>
      <c r="P882" s="170"/>
      <c r="Q882" s="170"/>
      <c r="AA882" s="170"/>
      <c r="AB882" s="170"/>
      <c r="AC882" s="170"/>
      <c r="AD882" s="170"/>
    </row>
    <row r="883">
      <c r="N883" s="170"/>
      <c r="O883" s="170"/>
      <c r="P883" s="170"/>
      <c r="Q883" s="170"/>
      <c r="AA883" s="170"/>
      <c r="AB883" s="170"/>
      <c r="AC883" s="170"/>
      <c r="AD883" s="170"/>
    </row>
    <row r="884">
      <c r="N884" s="170"/>
      <c r="O884" s="170"/>
      <c r="P884" s="170"/>
      <c r="Q884" s="170"/>
      <c r="AA884" s="170"/>
      <c r="AB884" s="170"/>
      <c r="AC884" s="170"/>
      <c r="AD884" s="170"/>
    </row>
    <row r="885">
      <c r="N885" s="170"/>
      <c r="O885" s="170"/>
      <c r="P885" s="170"/>
      <c r="Q885" s="170"/>
      <c r="AA885" s="170"/>
      <c r="AB885" s="170"/>
      <c r="AC885" s="170"/>
      <c r="AD885" s="170"/>
    </row>
    <row r="886">
      <c r="N886" s="170"/>
      <c r="O886" s="170"/>
      <c r="P886" s="170"/>
      <c r="Q886" s="170"/>
      <c r="AA886" s="170"/>
      <c r="AB886" s="170"/>
      <c r="AC886" s="170"/>
      <c r="AD886" s="170"/>
    </row>
    <row r="887">
      <c r="N887" s="170"/>
      <c r="O887" s="170"/>
      <c r="P887" s="170"/>
      <c r="Q887" s="170"/>
      <c r="AA887" s="170"/>
      <c r="AB887" s="170"/>
      <c r="AC887" s="170"/>
      <c r="AD887" s="170"/>
    </row>
    <row r="888">
      <c r="N888" s="170"/>
      <c r="O888" s="170"/>
      <c r="P888" s="170"/>
      <c r="Q888" s="170"/>
      <c r="AA888" s="170"/>
      <c r="AB888" s="170"/>
      <c r="AC888" s="170"/>
      <c r="AD888" s="170"/>
    </row>
    <row r="889">
      <c r="N889" s="170"/>
      <c r="O889" s="170"/>
      <c r="P889" s="170"/>
      <c r="Q889" s="170"/>
      <c r="AA889" s="170"/>
      <c r="AB889" s="170"/>
      <c r="AC889" s="170"/>
      <c r="AD889" s="170"/>
    </row>
    <row r="890">
      <c r="N890" s="170"/>
      <c r="O890" s="170"/>
      <c r="P890" s="170"/>
      <c r="Q890" s="170"/>
      <c r="AA890" s="170"/>
      <c r="AB890" s="170"/>
      <c r="AC890" s="170"/>
      <c r="AD890" s="170"/>
    </row>
    <row r="891">
      <c r="N891" s="170"/>
      <c r="O891" s="170"/>
      <c r="P891" s="170"/>
      <c r="Q891" s="170"/>
      <c r="AA891" s="170"/>
      <c r="AB891" s="170"/>
      <c r="AC891" s="170"/>
      <c r="AD891" s="170"/>
    </row>
    <row r="892">
      <c r="N892" s="170"/>
      <c r="O892" s="170"/>
      <c r="P892" s="170"/>
      <c r="Q892" s="170"/>
      <c r="AA892" s="170"/>
      <c r="AB892" s="170"/>
      <c r="AC892" s="170"/>
      <c r="AD892" s="170"/>
    </row>
    <row r="893">
      <c r="N893" s="170"/>
      <c r="O893" s="170"/>
      <c r="P893" s="170"/>
      <c r="Q893" s="170"/>
      <c r="AA893" s="170"/>
      <c r="AB893" s="170"/>
      <c r="AC893" s="170"/>
      <c r="AD893" s="170"/>
    </row>
    <row r="894">
      <c r="N894" s="170"/>
      <c r="O894" s="170"/>
      <c r="P894" s="170"/>
      <c r="Q894" s="170"/>
      <c r="AA894" s="170"/>
      <c r="AB894" s="170"/>
      <c r="AC894" s="170"/>
      <c r="AD894" s="170"/>
    </row>
    <row r="895">
      <c r="N895" s="170"/>
      <c r="O895" s="170"/>
      <c r="P895" s="170"/>
      <c r="Q895" s="170"/>
      <c r="AA895" s="170"/>
      <c r="AB895" s="170"/>
      <c r="AC895" s="170"/>
      <c r="AD895" s="170"/>
    </row>
    <row r="896">
      <c r="N896" s="170"/>
      <c r="O896" s="170"/>
      <c r="P896" s="170"/>
      <c r="Q896" s="170"/>
      <c r="AA896" s="170"/>
      <c r="AB896" s="170"/>
      <c r="AC896" s="170"/>
      <c r="AD896" s="170"/>
    </row>
    <row r="897">
      <c r="N897" s="170"/>
      <c r="O897" s="170"/>
      <c r="P897" s="170"/>
      <c r="Q897" s="170"/>
      <c r="AA897" s="170"/>
      <c r="AB897" s="170"/>
      <c r="AC897" s="170"/>
      <c r="AD897" s="170"/>
    </row>
    <row r="898">
      <c r="N898" s="170"/>
      <c r="O898" s="170"/>
      <c r="P898" s="170"/>
      <c r="Q898" s="170"/>
      <c r="AA898" s="170"/>
      <c r="AB898" s="170"/>
      <c r="AC898" s="170"/>
      <c r="AD898" s="170"/>
    </row>
    <row r="899">
      <c r="N899" s="170"/>
      <c r="O899" s="170"/>
      <c r="P899" s="170"/>
      <c r="Q899" s="170"/>
      <c r="AA899" s="170"/>
      <c r="AB899" s="170"/>
      <c r="AC899" s="170"/>
      <c r="AD899" s="170"/>
    </row>
    <row r="900">
      <c r="N900" s="170"/>
      <c r="O900" s="170"/>
      <c r="P900" s="170"/>
      <c r="Q900" s="170"/>
      <c r="AA900" s="170"/>
      <c r="AB900" s="170"/>
      <c r="AC900" s="170"/>
      <c r="AD900" s="170"/>
    </row>
    <row r="901">
      <c r="N901" s="170"/>
      <c r="O901" s="170"/>
      <c r="P901" s="170"/>
      <c r="Q901" s="170"/>
      <c r="AA901" s="170"/>
      <c r="AB901" s="170"/>
      <c r="AC901" s="170"/>
      <c r="AD901" s="170"/>
    </row>
    <row r="902">
      <c r="N902" s="170"/>
      <c r="O902" s="170"/>
      <c r="P902" s="170"/>
      <c r="Q902" s="170"/>
      <c r="AA902" s="170"/>
      <c r="AB902" s="170"/>
      <c r="AC902" s="170"/>
      <c r="AD902" s="170"/>
    </row>
    <row r="903">
      <c r="N903" s="170"/>
      <c r="O903" s="170"/>
      <c r="P903" s="170"/>
      <c r="Q903" s="170"/>
      <c r="AA903" s="170"/>
      <c r="AB903" s="170"/>
      <c r="AC903" s="170"/>
      <c r="AD903" s="170"/>
    </row>
    <row r="904">
      <c r="N904" s="170"/>
      <c r="O904" s="170"/>
      <c r="P904" s="170"/>
      <c r="Q904" s="170"/>
      <c r="AA904" s="170"/>
      <c r="AB904" s="170"/>
      <c r="AC904" s="170"/>
      <c r="AD904" s="170"/>
    </row>
    <row r="905">
      <c r="N905" s="170"/>
      <c r="O905" s="170"/>
      <c r="P905" s="170"/>
      <c r="Q905" s="170"/>
      <c r="AA905" s="170"/>
      <c r="AB905" s="170"/>
      <c r="AC905" s="170"/>
      <c r="AD905" s="170"/>
    </row>
    <row r="906">
      <c r="N906" s="170"/>
      <c r="O906" s="170"/>
      <c r="P906" s="170"/>
      <c r="Q906" s="170"/>
      <c r="AA906" s="170"/>
      <c r="AB906" s="170"/>
      <c r="AC906" s="170"/>
      <c r="AD906" s="170"/>
    </row>
    <row r="907">
      <c r="N907" s="170"/>
      <c r="O907" s="170"/>
      <c r="P907" s="170"/>
      <c r="Q907" s="170"/>
      <c r="AA907" s="170"/>
      <c r="AB907" s="170"/>
      <c r="AC907" s="170"/>
      <c r="AD907" s="170"/>
    </row>
    <row r="908">
      <c r="N908" s="170"/>
      <c r="O908" s="170"/>
      <c r="P908" s="170"/>
      <c r="Q908" s="170"/>
      <c r="AA908" s="170"/>
      <c r="AB908" s="170"/>
      <c r="AC908" s="170"/>
      <c r="AD908" s="170"/>
    </row>
    <row r="909">
      <c r="N909" s="170"/>
      <c r="O909" s="170"/>
      <c r="P909" s="170"/>
      <c r="Q909" s="170"/>
      <c r="AA909" s="170"/>
      <c r="AB909" s="170"/>
      <c r="AC909" s="170"/>
      <c r="AD909" s="170"/>
    </row>
    <row r="910">
      <c r="N910" s="170"/>
      <c r="O910" s="170"/>
      <c r="P910" s="170"/>
      <c r="Q910" s="170"/>
      <c r="AA910" s="170"/>
      <c r="AB910" s="170"/>
      <c r="AC910" s="170"/>
      <c r="AD910" s="170"/>
    </row>
    <row r="911">
      <c r="N911" s="170"/>
      <c r="O911" s="170"/>
      <c r="P911" s="170"/>
      <c r="Q911" s="170"/>
      <c r="AA911" s="170"/>
      <c r="AB911" s="170"/>
      <c r="AC911" s="170"/>
      <c r="AD911" s="170"/>
    </row>
    <row r="912">
      <c r="N912" s="170"/>
      <c r="O912" s="170"/>
      <c r="P912" s="170"/>
      <c r="Q912" s="170"/>
      <c r="AA912" s="170"/>
      <c r="AB912" s="170"/>
      <c r="AC912" s="170"/>
      <c r="AD912" s="170"/>
    </row>
    <row r="913">
      <c r="N913" s="170"/>
      <c r="O913" s="170"/>
      <c r="P913" s="170"/>
      <c r="Q913" s="170"/>
      <c r="AA913" s="170"/>
      <c r="AB913" s="170"/>
      <c r="AC913" s="170"/>
      <c r="AD913" s="170"/>
    </row>
    <row r="914">
      <c r="N914" s="170"/>
      <c r="O914" s="170"/>
      <c r="P914" s="170"/>
      <c r="Q914" s="170"/>
      <c r="AA914" s="170"/>
      <c r="AB914" s="170"/>
      <c r="AC914" s="170"/>
      <c r="AD914" s="170"/>
    </row>
    <row r="915">
      <c r="N915" s="170"/>
      <c r="O915" s="170"/>
      <c r="P915" s="170"/>
      <c r="Q915" s="170"/>
      <c r="AA915" s="170"/>
      <c r="AB915" s="170"/>
      <c r="AC915" s="170"/>
      <c r="AD915" s="170"/>
    </row>
    <row r="916">
      <c r="N916" s="170"/>
      <c r="O916" s="170"/>
      <c r="P916" s="170"/>
      <c r="Q916" s="170"/>
      <c r="AA916" s="170"/>
      <c r="AB916" s="170"/>
      <c r="AC916" s="170"/>
      <c r="AD916" s="170"/>
    </row>
    <row r="917">
      <c r="N917" s="170"/>
      <c r="O917" s="170"/>
      <c r="P917" s="170"/>
      <c r="Q917" s="170"/>
      <c r="AA917" s="170"/>
      <c r="AB917" s="170"/>
      <c r="AC917" s="170"/>
      <c r="AD917" s="170"/>
    </row>
    <row r="918">
      <c r="N918" s="170"/>
      <c r="O918" s="170"/>
      <c r="P918" s="170"/>
      <c r="Q918" s="170"/>
      <c r="AA918" s="170"/>
      <c r="AB918" s="170"/>
      <c r="AC918" s="170"/>
      <c r="AD918" s="170"/>
    </row>
    <row r="919">
      <c r="N919" s="170"/>
      <c r="O919" s="170"/>
      <c r="P919" s="170"/>
      <c r="Q919" s="170"/>
      <c r="AA919" s="170"/>
      <c r="AB919" s="170"/>
      <c r="AC919" s="170"/>
      <c r="AD919" s="170"/>
    </row>
    <row r="920">
      <c r="N920" s="170"/>
      <c r="O920" s="170"/>
      <c r="P920" s="170"/>
      <c r="Q920" s="170"/>
      <c r="AA920" s="170"/>
      <c r="AB920" s="170"/>
      <c r="AC920" s="170"/>
      <c r="AD920" s="170"/>
    </row>
    <row r="921">
      <c r="N921" s="170"/>
      <c r="O921" s="170"/>
      <c r="P921" s="170"/>
      <c r="Q921" s="170"/>
      <c r="AA921" s="170"/>
      <c r="AB921" s="170"/>
      <c r="AC921" s="170"/>
      <c r="AD921" s="170"/>
    </row>
    <row r="922">
      <c r="N922" s="170"/>
      <c r="O922" s="170"/>
      <c r="P922" s="170"/>
      <c r="Q922" s="170"/>
      <c r="AA922" s="170"/>
      <c r="AB922" s="170"/>
      <c r="AC922" s="170"/>
      <c r="AD922" s="170"/>
    </row>
    <row r="923">
      <c r="N923" s="170"/>
      <c r="O923" s="170"/>
      <c r="P923" s="170"/>
      <c r="Q923" s="170"/>
      <c r="AA923" s="170"/>
      <c r="AB923" s="170"/>
      <c r="AC923" s="170"/>
      <c r="AD923" s="170"/>
    </row>
    <row r="924">
      <c r="N924" s="170"/>
      <c r="O924" s="170"/>
      <c r="P924" s="170"/>
      <c r="Q924" s="170"/>
      <c r="AA924" s="170"/>
      <c r="AB924" s="170"/>
      <c r="AC924" s="170"/>
      <c r="AD924" s="170"/>
    </row>
    <row r="925">
      <c r="N925" s="170"/>
      <c r="O925" s="170"/>
      <c r="P925" s="170"/>
      <c r="Q925" s="170"/>
      <c r="AA925" s="170"/>
      <c r="AB925" s="170"/>
      <c r="AC925" s="170"/>
      <c r="AD925" s="170"/>
    </row>
    <row r="926">
      <c r="N926" s="170"/>
      <c r="O926" s="170"/>
      <c r="P926" s="170"/>
      <c r="Q926" s="170"/>
      <c r="AA926" s="170"/>
      <c r="AB926" s="170"/>
      <c r="AC926" s="170"/>
      <c r="AD926" s="170"/>
    </row>
    <row r="927">
      <c r="N927" s="170"/>
      <c r="O927" s="170"/>
      <c r="P927" s="170"/>
      <c r="Q927" s="170"/>
      <c r="AA927" s="170"/>
      <c r="AB927" s="170"/>
      <c r="AC927" s="170"/>
      <c r="AD927" s="170"/>
    </row>
    <row r="928">
      <c r="N928" s="170"/>
      <c r="O928" s="170"/>
      <c r="P928" s="170"/>
      <c r="Q928" s="170"/>
      <c r="AA928" s="170"/>
      <c r="AB928" s="170"/>
      <c r="AC928" s="170"/>
      <c r="AD928" s="170"/>
    </row>
    <row r="929">
      <c r="N929" s="170"/>
      <c r="O929" s="170"/>
      <c r="P929" s="170"/>
      <c r="Q929" s="170"/>
      <c r="AA929" s="170"/>
      <c r="AB929" s="170"/>
      <c r="AC929" s="170"/>
      <c r="AD929" s="170"/>
    </row>
    <row r="930">
      <c r="N930" s="170"/>
      <c r="O930" s="170"/>
      <c r="P930" s="170"/>
      <c r="Q930" s="170"/>
      <c r="AA930" s="170"/>
      <c r="AB930" s="170"/>
      <c r="AC930" s="170"/>
      <c r="AD930" s="170"/>
    </row>
    <row r="931">
      <c r="N931" s="170"/>
      <c r="O931" s="170"/>
      <c r="P931" s="170"/>
      <c r="Q931" s="170"/>
      <c r="AA931" s="170"/>
      <c r="AB931" s="170"/>
      <c r="AC931" s="170"/>
      <c r="AD931" s="170"/>
    </row>
    <row r="932">
      <c r="N932" s="170"/>
      <c r="O932" s="170"/>
      <c r="P932" s="170"/>
      <c r="Q932" s="170"/>
      <c r="AA932" s="170"/>
      <c r="AB932" s="170"/>
      <c r="AC932" s="170"/>
      <c r="AD932" s="170"/>
    </row>
    <row r="933">
      <c r="N933" s="170"/>
      <c r="O933" s="170"/>
      <c r="P933" s="170"/>
      <c r="Q933" s="170"/>
      <c r="AA933" s="170"/>
      <c r="AB933" s="170"/>
      <c r="AC933" s="170"/>
      <c r="AD933" s="170"/>
    </row>
    <row r="934">
      <c r="N934" s="170"/>
      <c r="O934" s="170"/>
      <c r="P934" s="170"/>
      <c r="Q934" s="170"/>
      <c r="AA934" s="170"/>
      <c r="AB934" s="170"/>
      <c r="AC934" s="170"/>
      <c r="AD934" s="170"/>
    </row>
    <row r="935">
      <c r="N935" s="170"/>
      <c r="O935" s="170"/>
      <c r="P935" s="170"/>
      <c r="Q935" s="170"/>
      <c r="AA935" s="170"/>
      <c r="AB935" s="170"/>
      <c r="AC935" s="170"/>
      <c r="AD935" s="170"/>
    </row>
    <row r="936">
      <c r="N936" s="170"/>
      <c r="O936" s="170"/>
      <c r="P936" s="170"/>
      <c r="Q936" s="170"/>
      <c r="AA936" s="170"/>
      <c r="AB936" s="170"/>
      <c r="AC936" s="170"/>
      <c r="AD936" s="170"/>
    </row>
    <row r="937">
      <c r="N937" s="170"/>
      <c r="O937" s="170"/>
      <c r="P937" s="170"/>
      <c r="Q937" s="170"/>
      <c r="AA937" s="170"/>
      <c r="AB937" s="170"/>
      <c r="AC937" s="170"/>
      <c r="AD937" s="170"/>
    </row>
    <row r="938">
      <c r="N938" s="170"/>
      <c r="O938" s="170"/>
      <c r="P938" s="170"/>
      <c r="Q938" s="170"/>
      <c r="AA938" s="170"/>
      <c r="AB938" s="170"/>
      <c r="AC938" s="170"/>
      <c r="AD938" s="170"/>
    </row>
    <row r="939">
      <c r="N939" s="170"/>
      <c r="O939" s="170"/>
      <c r="P939" s="170"/>
      <c r="Q939" s="170"/>
      <c r="AA939" s="170"/>
      <c r="AB939" s="170"/>
      <c r="AC939" s="170"/>
      <c r="AD939" s="170"/>
    </row>
    <row r="940">
      <c r="N940" s="170"/>
      <c r="O940" s="170"/>
      <c r="P940" s="170"/>
      <c r="Q940" s="170"/>
      <c r="AA940" s="170"/>
      <c r="AB940" s="170"/>
      <c r="AC940" s="170"/>
      <c r="AD940" s="170"/>
    </row>
    <row r="941">
      <c r="N941" s="170"/>
      <c r="O941" s="170"/>
      <c r="P941" s="170"/>
      <c r="Q941" s="170"/>
      <c r="AA941" s="170"/>
      <c r="AB941" s="170"/>
      <c r="AC941" s="170"/>
      <c r="AD941" s="170"/>
    </row>
    <row r="942">
      <c r="N942" s="170"/>
      <c r="O942" s="170"/>
      <c r="P942" s="170"/>
      <c r="Q942" s="170"/>
      <c r="AA942" s="170"/>
      <c r="AB942" s="170"/>
      <c r="AC942" s="170"/>
      <c r="AD942" s="170"/>
    </row>
    <row r="943">
      <c r="N943" s="170"/>
      <c r="O943" s="170"/>
      <c r="P943" s="170"/>
      <c r="Q943" s="170"/>
      <c r="AA943" s="170"/>
      <c r="AB943" s="170"/>
      <c r="AC943" s="170"/>
      <c r="AD943" s="170"/>
    </row>
    <row r="944">
      <c r="N944" s="170"/>
      <c r="O944" s="170"/>
      <c r="P944" s="170"/>
      <c r="Q944" s="170"/>
      <c r="AA944" s="170"/>
      <c r="AB944" s="170"/>
      <c r="AC944" s="170"/>
      <c r="AD944" s="170"/>
    </row>
    <row r="945">
      <c r="N945" s="170"/>
      <c r="O945" s="170"/>
      <c r="P945" s="170"/>
      <c r="Q945" s="170"/>
      <c r="AA945" s="170"/>
      <c r="AB945" s="170"/>
      <c r="AC945" s="170"/>
      <c r="AD945" s="170"/>
    </row>
    <row r="946">
      <c r="N946" s="170"/>
      <c r="O946" s="170"/>
      <c r="P946" s="170"/>
      <c r="Q946" s="170"/>
      <c r="AA946" s="170"/>
      <c r="AB946" s="170"/>
      <c r="AC946" s="170"/>
      <c r="AD946" s="170"/>
    </row>
    <row r="947">
      <c r="N947" s="170"/>
      <c r="O947" s="170"/>
      <c r="P947" s="170"/>
      <c r="Q947" s="170"/>
      <c r="AA947" s="170"/>
      <c r="AB947" s="170"/>
      <c r="AC947" s="170"/>
      <c r="AD947" s="170"/>
    </row>
    <row r="948">
      <c r="N948" s="170"/>
      <c r="O948" s="170"/>
      <c r="P948" s="170"/>
      <c r="Q948" s="170"/>
      <c r="AA948" s="170"/>
      <c r="AB948" s="170"/>
      <c r="AC948" s="170"/>
      <c r="AD948" s="170"/>
    </row>
    <row r="949">
      <c r="N949" s="170"/>
      <c r="O949" s="170"/>
      <c r="P949" s="170"/>
      <c r="Q949" s="170"/>
      <c r="AA949" s="170"/>
      <c r="AB949" s="170"/>
      <c r="AC949" s="170"/>
      <c r="AD949" s="170"/>
    </row>
    <row r="950">
      <c r="N950" s="170"/>
      <c r="O950" s="170"/>
      <c r="P950" s="170"/>
      <c r="Q950" s="170"/>
      <c r="AA950" s="170"/>
      <c r="AB950" s="170"/>
      <c r="AC950" s="170"/>
      <c r="AD950" s="170"/>
    </row>
    <row r="951">
      <c r="N951" s="170"/>
      <c r="O951" s="170"/>
      <c r="P951" s="170"/>
      <c r="Q951" s="170"/>
      <c r="AA951" s="170"/>
      <c r="AB951" s="170"/>
      <c r="AC951" s="170"/>
      <c r="AD951" s="170"/>
    </row>
    <row r="952">
      <c r="N952" s="170"/>
      <c r="O952" s="170"/>
      <c r="P952" s="170"/>
      <c r="Q952" s="170"/>
      <c r="AA952" s="170"/>
      <c r="AB952" s="170"/>
      <c r="AC952" s="170"/>
      <c r="AD952" s="170"/>
    </row>
    <row r="953">
      <c r="N953" s="170"/>
      <c r="O953" s="170"/>
      <c r="P953" s="170"/>
      <c r="Q953" s="170"/>
      <c r="AA953" s="170"/>
      <c r="AB953" s="170"/>
      <c r="AC953" s="170"/>
      <c r="AD953" s="170"/>
    </row>
    <row r="954">
      <c r="N954" s="170"/>
      <c r="O954" s="170"/>
      <c r="P954" s="170"/>
      <c r="Q954" s="170"/>
      <c r="AA954" s="170"/>
      <c r="AB954" s="170"/>
      <c r="AC954" s="170"/>
      <c r="AD954" s="170"/>
    </row>
    <row r="955">
      <c r="N955" s="170"/>
      <c r="O955" s="170"/>
      <c r="P955" s="170"/>
      <c r="Q955" s="170"/>
      <c r="AA955" s="170"/>
      <c r="AB955" s="170"/>
      <c r="AC955" s="170"/>
      <c r="AD955" s="170"/>
    </row>
    <row r="956">
      <c r="N956" s="170"/>
      <c r="O956" s="170"/>
      <c r="P956" s="170"/>
      <c r="Q956" s="170"/>
      <c r="AA956" s="170"/>
      <c r="AB956" s="170"/>
      <c r="AC956" s="170"/>
      <c r="AD956" s="170"/>
    </row>
    <row r="957">
      <c r="N957" s="170"/>
      <c r="O957" s="170"/>
      <c r="P957" s="170"/>
      <c r="Q957" s="170"/>
      <c r="AA957" s="170"/>
      <c r="AB957" s="170"/>
      <c r="AC957" s="170"/>
      <c r="AD957" s="170"/>
    </row>
    <row r="958">
      <c r="N958" s="170"/>
      <c r="O958" s="170"/>
      <c r="P958" s="170"/>
      <c r="Q958" s="170"/>
      <c r="AA958" s="170"/>
      <c r="AB958" s="170"/>
      <c r="AC958" s="170"/>
      <c r="AD958" s="170"/>
    </row>
    <row r="959">
      <c r="N959" s="170"/>
      <c r="O959" s="170"/>
      <c r="P959" s="170"/>
      <c r="Q959" s="170"/>
      <c r="AA959" s="170"/>
      <c r="AB959" s="170"/>
      <c r="AC959" s="170"/>
      <c r="AD959" s="170"/>
    </row>
    <row r="960">
      <c r="N960" s="170"/>
      <c r="O960" s="170"/>
      <c r="P960" s="170"/>
      <c r="Q960" s="170"/>
      <c r="AA960" s="170"/>
      <c r="AB960" s="170"/>
      <c r="AC960" s="170"/>
      <c r="AD960" s="170"/>
    </row>
    <row r="961">
      <c r="N961" s="170"/>
      <c r="O961" s="170"/>
      <c r="P961" s="170"/>
      <c r="Q961" s="170"/>
      <c r="AA961" s="170"/>
      <c r="AB961" s="170"/>
      <c r="AC961" s="170"/>
      <c r="AD961" s="170"/>
    </row>
    <row r="962">
      <c r="N962" s="170"/>
      <c r="O962" s="170"/>
      <c r="P962" s="170"/>
      <c r="Q962" s="170"/>
      <c r="AA962" s="170"/>
      <c r="AB962" s="170"/>
      <c r="AC962" s="170"/>
      <c r="AD962" s="170"/>
    </row>
    <row r="963">
      <c r="N963" s="170"/>
      <c r="O963" s="170"/>
      <c r="P963" s="170"/>
      <c r="Q963" s="170"/>
      <c r="AA963" s="170"/>
      <c r="AB963" s="170"/>
      <c r="AC963" s="170"/>
      <c r="AD963" s="170"/>
    </row>
    <row r="964">
      <c r="N964" s="170"/>
      <c r="O964" s="170"/>
      <c r="P964" s="170"/>
      <c r="Q964" s="170"/>
      <c r="AA964" s="170"/>
      <c r="AB964" s="170"/>
      <c r="AC964" s="170"/>
      <c r="AD964" s="170"/>
    </row>
    <row r="965">
      <c r="N965" s="170"/>
      <c r="O965" s="170"/>
      <c r="P965" s="170"/>
      <c r="Q965" s="170"/>
      <c r="AA965" s="170"/>
      <c r="AB965" s="170"/>
      <c r="AC965" s="170"/>
      <c r="AD965" s="170"/>
    </row>
    <row r="966">
      <c r="N966" s="170"/>
      <c r="O966" s="170"/>
      <c r="P966" s="170"/>
      <c r="Q966" s="170"/>
      <c r="AA966" s="170"/>
      <c r="AB966" s="170"/>
      <c r="AC966" s="170"/>
      <c r="AD966" s="170"/>
    </row>
    <row r="967">
      <c r="N967" s="170"/>
      <c r="O967" s="170"/>
      <c r="P967" s="170"/>
      <c r="Q967" s="170"/>
      <c r="AA967" s="170"/>
      <c r="AB967" s="170"/>
      <c r="AC967" s="170"/>
      <c r="AD967" s="170"/>
    </row>
    <row r="968">
      <c r="N968" s="170"/>
      <c r="O968" s="170"/>
      <c r="P968" s="170"/>
      <c r="Q968" s="170"/>
      <c r="AA968" s="170"/>
      <c r="AB968" s="170"/>
      <c r="AC968" s="170"/>
      <c r="AD968" s="170"/>
    </row>
    <row r="969">
      <c r="N969" s="170"/>
      <c r="O969" s="170"/>
      <c r="P969" s="170"/>
      <c r="Q969" s="170"/>
      <c r="AA969" s="170"/>
      <c r="AB969" s="170"/>
      <c r="AC969" s="170"/>
      <c r="AD969" s="170"/>
    </row>
    <row r="970">
      <c r="N970" s="170"/>
      <c r="O970" s="170"/>
      <c r="P970" s="170"/>
      <c r="Q970" s="170"/>
      <c r="AA970" s="170"/>
      <c r="AB970" s="170"/>
      <c r="AC970" s="170"/>
      <c r="AD970" s="170"/>
    </row>
    <row r="971">
      <c r="N971" s="170"/>
      <c r="O971" s="170"/>
      <c r="P971" s="170"/>
      <c r="Q971" s="170"/>
      <c r="AA971" s="170"/>
      <c r="AB971" s="170"/>
      <c r="AC971" s="170"/>
      <c r="AD971" s="170"/>
    </row>
    <row r="972">
      <c r="N972" s="170"/>
      <c r="O972" s="170"/>
      <c r="P972" s="170"/>
      <c r="Q972" s="170"/>
      <c r="AA972" s="170"/>
      <c r="AB972" s="170"/>
      <c r="AC972" s="170"/>
      <c r="AD972" s="170"/>
    </row>
    <row r="973">
      <c r="N973" s="170"/>
      <c r="O973" s="170"/>
      <c r="P973" s="170"/>
      <c r="Q973" s="170"/>
      <c r="AA973" s="170"/>
      <c r="AB973" s="170"/>
      <c r="AC973" s="170"/>
      <c r="AD973" s="170"/>
    </row>
    <row r="974">
      <c r="N974" s="170"/>
      <c r="O974" s="170"/>
      <c r="P974" s="170"/>
      <c r="Q974" s="170"/>
      <c r="AA974" s="170"/>
      <c r="AB974" s="170"/>
      <c r="AC974" s="170"/>
      <c r="AD974" s="170"/>
    </row>
    <row r="975">
      <c r="N975" s="170"/>
      <c r="O975" s="170"/>
      <c r="P975" s="170"/>
      <c r="Q975" s="170"/>
      <c r="AA975" s="170"/>
      <c r="AB975" s="170"/>
      <c r="AC975" s="170"/>
      <c r="AD975" s="170"/>
    </row>
    <row r="976">
      <c r="N976" s="170"/>
      <c r="O976" s="170"/>
      <c r="P976" s="170"/>
      <c r="Q976" s="170"/>
      <c r="AA976" s="170"/>
      <c r="AB976" s="170"/>
      <c r="AC976" s="170"/>
      <c r="AD976" s="170"/>
    </row>
    <row r="977">
      <c r="N977" s="170"/>
      <c r="O977" s="170"/>
      <c r="P977" s="170"/>
      <c r="Q977" s="170"/>
      <c r="AA977" s="170"/>
      <c r="AB977" s="170"/>
      <c r="AC977" s="170"/>
      <c r="AD977" s="170"/>
    </row>
    <row r="978">
      <c r="N978" s="170"/>
      <c r="O978" s="170"/>
      <c r="P978" s="170"/>
      <c r="Q978" s="170"/>
      <c r="AA978" s="170"/>
      <c r="AB978" s="170"/>
      <c r="AC978" s="170"/>
      <c r="AD978" s="170"/>
    </row>
    <row r="979">
      <c r="N979" s="170"/>
      <c r="O979" s="170"/>
      <c r="P979" s="170"/>
      <c r="Q979" s="170"/>
      <c r="AA979" s="170"/>
      <c r="AB979" s="170"/>
      <c r="AC979" s="170"/>
      <c r="AD979" s="170"/>
    </row>
    <row r="980">
      <c r="N980" s="170"/>
      <c r="O980" s="170"/>
      <c r="P980" s="170"/>
      <c r="Q980" s="170"/>
      <c r="AA980" s="170"/>
      <c r="AB980" s="170"/>
      <c r="AC980" s="170"/>
      <c r="AD980" s="170"/>
    </row>
    <row r="981">
      <c r="N981" s="170"/>
      <c r="O981" s="170"/>
      <c r="P981" s="170"/>
      <c r="Q981" s="170"/>
      <c r="AA981" s="170"/>
      <c r="AB981" s="170"/>
      <c r="AC981" s="170"/>
      <c r="AD981" s="170"/>
    </row>
    <row r="982">
      <c r="N982" s="170"/>
      <c r="O982" s="170"/>
      <c r="P982" s="170"/>
      <c r="Q982" s="170"/>
      <c r="AA982" s="170"/>
      <c r="AB982" s="170"/>
      <c r="AC982" s="170"/>
      <c r="AD982" s="170"/>
    </row>
    <row r="983">
      <c r="N983" s="170"/>
      <c r="O983" s="170"/>
      <c r="P983" s="170"/>
      <c r="Q983" s="170"/>
      <c r="AA983" s="170"/>
      <c r="AB983" s="170"/>
      <c r="AC983" s="170"/>
      <c r="AD983" s="170"/>
    </row>
    <row r="984">
      <c r="N984" s="170"/>
      <c r="O984" s="170"/>
      <c r="P984" s="170"/>
      <c r="Q984" s="170"/>
      <c r="AA984" s="170"/>
      <c r="AB984" s="170"/>
      <c r="AC984" s="170"/>
      <c r="AD984" s="170"/>
    </row>
    <row r="985">
      <c r="N985" s="170"/>
      <c r="O985" s="170"/>
      <c r="P985" s="170"/>
      <c r="Q985" s="170"/>
      <c r="AA985" s="170"/>
      <c r="AB985" s="170"/>
      <c r="AC985" s="170"/>
      <c r="AD985" s="170"/>
    </row>
    <row r="986">
      <c r="N986" s="170"/>
      <c r="O986" s="170"/>
      <c r="P986" s="170"/>
      <c r="Q986" s="170"/>
      <c r="AA986" s="170"/>
      <c r="AB986" s="170"/>
      <c r="AC986" s="170"/>
      <c r="AD986" s="170"/>
    </row>
    <row r="987">
      <c r="N987" s="170"/>
      <c r="O987" s="170"/>
      <c r="P987" s="170"/>
      <c r="Q987" s="170"/>
      <c r="AA987" s="170"/>
      <c r="AB987" s="170"/>
      <c r="AC987" s="170"/>
      <c r="AD987" s="170"/>
    </row>
    <row r="988">
      <c r="N988" s="170"/>
      <c r="O988" s="170"/>
      <c r="P988" s="170"/>
      <c r="Q988" s="170"/>
      <c r="AA988" s="170"/>
      <c r="AB988" s="170"/>
      <c r="AC988" s="170"/>
      <c r="AD988" s="170"/>
    </row>
    <row r="989">
      <c r="N989" s="170"/>
      <c r="O989" s="170"/>
      <c r="P989" s="170"/>
      <c r="Q989" s="170"/>
      <c r="AA989" s="170"/>
      <c r="AB989" s="170"/>
      <c r="AC989" s="170"/>
      <c r="AD989" s="170"/>
    </row>
    <row r="990">
      <c r="N990" s="170"/>
      <c r="O990" s="170"/>
      <c r="P990" s="170"/>
      <c r="Q990" s="170"/>
      <c r="AA990" s="170"/>
      <c r="AB990" s="170"/>
      <c r="AC990" s="170"/>
      <c r="AD990" s="170"/>
    </row>
    <row r="991">
      <c r="N991" s="170"/>
      <c r="O991" s="170"/>
      <c r="P991" s="170"/>
      <c r="Q991" s="170"/>
      <c r="AA991" s="170"/>
      <c r="AB991" s="170"/>
      <c r="AC991" s="170"/>
      <c r="AD991" s="170"/>
    </row>
    <row r="992">
      <c r="N992" s="170"/>
      <c r="O992" s="170"/>
      <c r="P992" s="170"/>
      <c r="Q992" s="170"/>
      <c r="AA992" s="170"/>
      <c r="AB992" s="170"/>
      <c r="AC992" s="170"/>
      <c r="AD992" s="170"/>
    </row>
    <row r="993">
      <c r="N993" s="170"/>
      <c r="O993" s="170"/>
      <c r="P993" s="170"/>
      <c r="Q993" s="170"/>
      <c r="AA993" s="170"/>
      <c r="AB993" s="170"/>
      <c r="AC993" s="170"/>
      <c r="AD993" s="170"/>
    </row>
    <row r="994">
      <c r="N994" s="170"/>
      <c r="O994" s="170"/>
      <c r="P994" s="170"/>
      <c r="Q994" s="170"/>
      <c r="AA994" s="170"/>
      <c r="AB994" s="170"/>
      <c r="AC994" s="170"/>
      <c r="AD994" s="170"/>
    </row>
    <row r="995">
      <c r="N995" s="170"/>
      <c r="O995" s="170"/>
      <c r="P995" s="170"/>
      <c r="Q995" s="170"/>
      <c r="AA995" s="170"/>
      <c r="AB995" s="170"/>
      <c r="AC995" s="170"/>
      <c r="AD995" s="170"/>
    </row>
    <row r="996">
      <c r="N996" s="170"/>
      <c r="O996" s="170"/>
      <c r="P996" s="170"/>
      <c r="Q996" s="170"/>
      <c r="AA996" s="170"/>
      <c r="AB996" s="170"/>
      <c r="AC996" s="170"/>
      <c r="AD996" s="170"/>
    </row>
    <row r="997">
      <c r="N997" s="170"/>
      <c r="O997" s="170"/>
      <c r="P997" s="170"/>
      <c r="Q997" s="170"/>
      <c r="AA997" s="170"/>
      <c r="AB997" s="170"/>
      <c r="AC997" s="170"/>
      <c r="AD997" s="170"/>
    </row>
    <row r="998">
      <c r="N998" s="170"/>
      <c r="O998" s="170"/>
      <c r="P998" s="170"/>
      <c r="Q998" s="170"/>
      <c r="AA998" s="170"/>
      <c r="AB998" s="170"/>
      <c r="AC998" s="170"/>
      <c r="AD998" s="170"/>
    </row>
  </sheetData>
  <mergeCells count="101">
    <mergeCell ref="A1:A2"/>
    <mergeCell ref="B1:B2"/>
    <mergeCell ref="C1:C2"/>
    <mergeCell ref="D1:D2"/>
    <mergeCell ref="E1:E2"/>
    <mergeCell ref="F1:R1"/>
    <mergeCell ref="S1:AD1"/>
    <mergeCell ref="A3:A4"/>
    <mergeCell ref="C3:AD4"/>
    <mergeCell ref="A5:A9"/>
    <mergeCell ref="B5:B7"/>
    <mergeCell ref="B8:E8"/>
    <mergeCell ref="B9:E9"/>
    <mergeCell ref="A10:A14"/>
    <mergeCell ref="B14:E14"/>
    <mergeCell ref="B20:B22"/>
    <mergeCell ref="B23:E23"/>
    <mergeCell ref="B28:E28"/>
    <mergeCell ref="B29:E29"/>
    <mergeCell ref="B33:E33"/>
    <mergeCell ref="B34:E34"/>
    <mergeCell ref="B38:E38"/>
    <mergeCell ref="B39:E39"/>
    <mergeCell ref="B10:B12"/>
    <mergeCell ref="B13:E13"/>
    <mergeCell ref="A15:A19"/>
    <mergeCell ref="B15:B17"/>
    <mergeCell ref="B18:E18"/>
    <mergeCell ref="B19:E19"/>
    <mergeCell ref="B24:E24"/>
    <mergeCell ref="A40:A44"/>
    <mergeCell ref="B40:B42"/>
    <mergeCell ref="B43:E43"/>
    <mergeCell ref="B44:E44"/>
    <mergeCell ref="A20:A24"/>
    <mergeCell ref="A25:A29"/>
    <mergeCell ref="B25:B27"/>
    <mergeCell ref="A30:A34"/>
    <mergeCell ref="B30:B32"/>
    <mergeCell ref="A35:A39"/>
    <mergeCell ref="B35:B37"/>
    <mergeCell ref="Z57:Z58"/>
    <mergeCell ref="AA57:AA58"/>
    <mergeCell ref="S57:S58"/>
    <mergeCell ref="T57:T58"/>
    <mergeCell ref="U57:U58"/>
    <mergeCell ref="V57:V58"/>
    <mergeCell ref="W57:W58"/>
    <mergeCell ref="X57:X58"/>
    <mergeCell ref="Y57:Y58"/>
    <mergeCell ref="A45:A49"/>
    <mergeCell ref="B45:B47"/>
    <mergeCell ref="B48:E48"/>
    <mergeCell ref="B49:E49"/>
    <mergeCell ref="A50:A54"/>
    <mergeCell ref="B50:B52"/>
    <mergeCell ref="B53:E53"/>
    <mergeCell ref="K55:K56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B54:E54"/>
    <mergeCell ref="A55:E56"/>
    <mergeCell ref="F55:F56"/>
    <mergeCell ref="G55:G56"/>
    <mergeCell ref="H55:H56"/>
    <mergeCell ref="I55:I56"/>
    <mergeCell ref="J55:J56"/>
    <mergeCell ref="A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Q57:Q58"/>
    <mergeCell ref="R57:R58"/>
    <mergeCell ref="AC57:AC58"/>
    <mergeCell ref="AD57:AD58"/>
    <mergeCell ref="Y55:Y56"/>
    <mergeCell ref="Z55:Z56"/>
    <mergeCell ref="AA55:AA56"/>
    <mergeCell ref="AB55:AB56"/>
    <mergeCell ref="AC55:AC56"/>
    <mergeCell ref="AD55:AD56"/>
    <mergeCell ref="AB57:AB58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