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Practice" sheetId="1" r:id="rId5"/>
    <sheet state="visible" name="Multimodal - avg 10 seeds" sheetId="2" r:id="rId6"/>
    <sheet state="visible" name="Multimodal - best seeds" sheetId="3" r:id="rId7"/>
    <sheet state="visible" name="Multimodal - prospective" sheetId="4" r:id="rId8"/>
    <sheet state="visible" name="Tabular" sheetId="5" r:id="rId9"/>
    <sheet state="visible" name="Imagem - avg 10 seeds" sheetId="6" r:id="rId10"/>
    <sheet state="visible" name="Imagem - best seeds" sheetId="7" r:id="rId11"/>
  </sheets>
  <definedNames/>
  <calcPr/>
</workbook>
</file>

<file path=xl/sharedStrings.xml><?xml version="1.0" encoding="utf-8"?>
<sst xmlns="http://schemas.openxmlformats.org/spreadsheetml/2006/main" count="622" uniqueCount="463">
  <si>
    <t>Model</t>
  </si>
  <si>
    <t>Dataset</t>
  </si>
  <si>
    <t>Best Model</t>
  </si>
  <si>
    <t>TP (CS)</t>
  </si>
  <si>
    <t>FN</t>
  </si>
  <si>
    <t>FP</t>
  </si>
  <si>
    <t>TN (VD)</t>
  </si>
  <si>
    <t>ROC AUC</t>
  </si>
  <si>
    <t>Recall</t>
  </si>
  <si>
    <t>Balanced Accuracy</t>
  </si>
  <si>
    <t>F1-score</t>
  </si>
  <si>
    <t>PPV</t>
  </si>
  <si>
    <t>Matthews corrcoef</t>
  </si>
  <si>
    <t>Specificity</t>
  </si>
  <si>
    <t>NPV</t>
  </si>
  <si>
    <t>Clinical Practice (&gt;= 0.5)</t>
  </si>
  <si>
    <t>Tabular + Imagem</t>
  </si>
  <si>
    <t>Clinical Practice (&gt;0.5)</t>
  </si>
  <si>
    <t>FTTranformer + Swin Transfomer</t>
  </si>
  <si>
    <t>0,766 ± 0,015</t>
  </si>
  <si>
    <t>0,733 ± 0,012</t>
  </si>
  <si>
    <t>0,641 ± 0,025</t>
  </si>
  <si>
    <t>0,706 ± 0,024</t>
  </si>
  <si>
    <t>0,738 ± 0,019</t>
  </si>
  <si>
    <t>0,308 ± 0,052</t>
  </si>
  <si>
    <t>0,875 ± 0,028</t>
  </si>
  <si>
    <t>0,777 ± 0,015</t>
  </si>
  <si>
    <t>33,200 ± 5,838</t>
  </si>
  <si>
    <t>48,467 ± 5,838</t>
  </si>
  <si>
    <t>23,533 ± 5,322</t>
  </si>
  <si>
    <t>164,133 ± 5,322</t>
  </si>
  <si>
    <t>FTTranformer + FetalCLIP</t>
  </si>
  <si>
    <t>0,764 ± 0,011</t>
  </si>
  <si>
    <t>0,649 ± 0,024</t>
  </si>
  <si>
    <t>0,715 ± 0,023</t>
  </si>
  <si>
    <t>0,727 ± 0,011</t>
  </si>
  <si>
    <t>0,324 ± 0,048</t>
  </si>
  <si>
    <t>0,862 ± 0,028</t>
  </si>
  <si>
    <t>0,783 ± 0,015</t>
  </si>
  <si>
    <t>35,600 ± 5,693</t>
  </si>
  <si>
    <t>46,067 ±  5,693</t>
  </si>
  <si>
    <t>25,833 ± 5,329</t>
  </si>
  <si>
    <t>161,833 ± 5,329</t>
  </si>
  <si>
    <t>FTTranformer + MedViTV2-pretrained</t>
  </si>
  <si>
    <t>0,748 ± 0,021</t>
  </si>
  <si>
    <t>0,723 ± 0,018</t>
  </si>
  <si>
    <t>0,642 ± 0,027</t>
  </si>
  <si>
    <t>0,702 ± 0,021</t>
  </si>
  <si>
    <t>0,726 ± 0,012</t>
  </si>
  <si>
    <t>0,314 ± 0,036</t>
  </si>
  <si>
    <t>0,848 ± 0,056</t>
  </si>
  <si>
    <t>0,782 ± 0,020</t>
  </si>
  <si>
    <t>35,667 ± 8,092</t>
  </si>
  <si>
    <t>46,000 ± 8,092</t>
  </si>
  <si>
    <t>28,467 ± 10,648</t>
  </si>
  <si>
    <t>159,133 ± 10,603</t>
  </si>
  <si>
    <t>FTTranformer + MedViTV2-nopretrained</t>
  </si>
  <si>
    <t>0,750 ± 0,025</t>
  </si>
  <si>
    <t>0,740 ± 0,010</t>
  </si>
  <si>
    <t>0,650 ± 0,021</t>
  </si>
  <si>
    <t>0,716 ± 0,024</t>
  </si>
  <si>
    <t>0,740 ± 0,015</t>
  </si>
  <si>
    <t>0,325 ± 0,052</t>
  </si>
  <si>
    <t>0,878 ± 0,017</t>
  </si>
  <si>
    <t>0,782 ± 0,010</t>
  </si>
  <si>
    <t>34,433 ± 4,321</t>
  </si>
  <si>
    <t>47,233 ± 4,321</t>
  </si>
  <si>
    <t>22,867 ± 3,116</t>
  </si>
  <si>
    <t>164,767 ± 3,155</t>
  </si>
  <si>
    <t>FTTranformer + MedMamba-s-pretrained</t>
  </si>
  <si>
    <t>0,720 ± 0,017</t>
  </si>
  <si>
    <t>0,711 ± 0,015</t>
  </si>
  <si>
    <t>0,605 ± 0,024</t>
  </si>
  <si>
    <t>0,673 ± 0,020</t>
  </si>
  <si>
    <t>0,711 ± 0,029</t>
  </si>
  <si>
    <t>0,232 ± 0,045</t>
  </si>
  <si>
    <t>0,875 ± 0,040</t>
  </si>
  <si>
    <t>0,758 ± 0,017</t>
  </si>
  <si>
    <t>27,333 ± 6,236</t>
  </si>
  <si>
    <t>54,333 ± 6,236</t>
  </si>
  <si>
    <t>23,533 ± 7,554</t>
  </si>
  <si>
    <t>164,133 ± 7,554</t>
  </si>
  <si>
    <t>FTTranformer + MedSigLiP</t>
  </si>
  <si>
    <t>0,731 ± 0,012</t>
  </si>
  <si>
    <t>0,654 ± 0,017</t>
  </si>
  <si>
    <t>0,718 ± 0,014</t>
  </si>
  <si>
    <t>0,724 ± 0,009</t>
  </si>
  <si>
    <t>0,333 ± 0,027</t>
  </si>
  <si>
    <t>0,851 ± 0,028</t>
  </si>
  <si>
    <t>0,786 ± 0,012</t>
  </si>
  <si>
    <t>37,367 ± 4,043</t>
  </si>
  <si>
    <t>44,300 ± 4,043</t>
  </si>
  <si>
    <t>28,067 ± 5,226</t>
  </si>
  <si>
    <t>159,600 ± 5,226</t>
  </si>
  <si>
    <t>FTTranformer + MedSigLiP-finetuned</t>
  </si>
  <si>
    <t>0,762 ± 0,012</t>
  </si>
  <si>
    <t>0,735 ± 0,011</t>
  </si>
  <si>
    <t>0,637 ± 0,024</t>
  </si>
  <si>
    <t>0,705 ± 0,024</t>
  </si>
  <si>
    <t>0,735 ± 0,019</t>
  </si>
  <si>
    <t>0,305 ± 0,049</t>
  </si>
  <si>
    <t>0,886 ± 0,027</t>
  </si>
  <si>
    <t>0,775 ± 0,014</t>
  </si>
  <si>
    <t>31,667 ± 5,624</t>
  </si>
  <si>
    <t>50,000 ± 5,624</t>
  </si>
  <si>
    <t>21,367 ± 5,078</t>
  </si>
  <si>
    <t>166,300 ± 5,078</t>
  </si>
  <si>
    <t>0,783 ± 0,019</t>
  </si>
  <si>
    <t>0,743 ± 0,012</t>
  </si>
  <si>
    <t>0,684 ± 0,024</t>
  </si>
  <si>
    <t>0,739 ± 0,015</t>
  </si>
  <si>
    <t>0,737 ± 0,017</t>
  </si>
  <si>
    <t>0,377 ± 0,040</t>
  </si>
  <si>
    <t>0,833 ± 0,014</t>
  </si>
  <si>
    <t>0,805 ± 0,018</t>
  </si>
  <si>
    <t>43,667 ± 4,726</t>
  </si>
  <si>
    <t>38,000 ± 4,583</t>
  </si>
  <si>
    <t>31,333 ± 2,517</t>
  </si>
  <si>
    <t>156,333 ± 2,517</t>
  </si>
  <si>
    <t>0,763 ± 0,034</t>
  </si>
  <si>
    <t>0,738 ± 0,005</t>
  </si>
  <si>
    <t>0,684 ± 0,040</t>
  </si>
  <si>
    <t>0,734 ± 0,012</t>
  </si>
  <si>
    <t>0,738 ± 0,021</t>
  </si>
  <si>
    <t>0,374 ± 0,051</t>
  </si>
  <si>
    <t>0,821 ± 0,059</t>
  </si>
  <si>
    <t>0,809 ± 0,038</t>
  </si>
  <si>
    <t>44,667 ± 11,590</t>
  </si>
  <si>
    <t>37,000 ± 11,136</t>
  </si>
  <si>
    <t>33,667 ± 11,015</t>
  </si>
  <si>
    <t>154,000 ± 11,000</t>
  </si>
  <si>
    <t>0,773 ± 0,024</t>
  </si>
  <si>
    <t>0,743 ± 0,041</t>
  </si>
  <si>
    <t>0,692 ± 0,032</t>
  </si>
  <si>
    <t>0,742 ± 0,036</t>
  </si>
  <si>
    <t>0,743 ± 0,034</t>
  </si>
  <si>
    <t>0,390 ± 0,079</t>
  </si>
  <si>
    <t>0,821 ± 0,015</t>
  </si>
  <si>
    <t>0,812 ± 0,015</t>
  </si>
  <si>
    <t>46,000 ± 2,646</t>
  </si>
  <si>
    <t>35,667 ± 3,055</t>
  </si>
  <si>
    <t>33,667 ± 11,060</t>
  </si>
  <si>
    <t>154,000 ± 11,136</t>
  </si>
  <si>
    <t>0,771 ± 0,023</t>
  </si>
  <si>
    <t>0,755 ± 0,027</t>
  </si>
  <si>
    <t>0,677 ± 0,021</t>
  </si>
  <si>
    <t>0,744 ± 0,020</t>
  </si>
  <si>
    <t>0,748 ± 0,030</t>
  </si>
  <si>
    <t>0,392 ± 0,058</t>
  </si>
  <si>
    <t>0,875 ± 0,062</t>
  </si>
  <si>
    <t>0,795 ± 0,018</t>
  </si>
  <si>
    <t>39,000 ± 6,083</t>
  </si>
  <si>
    <t>42,667 ± 6,658</t>
  </si>
  <si>
    <t>23,333 ± 11,590</t>
  </si>
  <si>
    <t>164,333 ± 11,676</t>
  </si>
  <si>
    <t>0,727 ± 0,066</t>
  </si>
  <si>
    <t>0,739 ± 0,047</t>
  </si>
  <si>
    <t>0,644 ± 0,094</t>
  </si>
  <si>
    <t>0,712 ± 0,076</t>
  </si>
  <si>
    <t>0,722 ± 0,073</t>
  </si>
  <si>
    <t>0,322 ± 0,181</t>
  </si>
  <si>
    <t>0,887 ± 0,081</t>
  </si>
  <si>
    <t>0,778 ± 0,060</t>
  </si>
  <si>
    <t>32,667 ± 19,858</t>
  </si>
  <si>
    <t>49,000 ± 20,298</t>
  </si>
  <si>
    <t>21,333 ± 15,308</t>
  </si>
  <si>
    <t>166,333  ± 15,011</t>
  </si>
  <si>
    <t>0,785 ± 0,023</t>
  </si>
  <si>
    <t>0,752 ± 0,037</t>
  </si>
  <si>
    <t>0,678 ± 0,074</t>
  </si>
  <si>
    <t>0,741 ± 0,051</t>
  </si>
  <si>
    <t>0,380 ± 0,127</t>
  </si>
  <si>
    <t>0,867 ± 0,032</t>
  </si>
  <si>
    <t>0,799 ± 0,050</t>
  </si>
  <si>
    <t>40,000 ± 14,107</t>
  </si>
  <si>
    <t>41,667 ± 14,189</t>
  </si>
  <si>
    <t>25,000 ± 6,083</t>
  </si>
  <si>
    <t>162,667  ± 5,774</t>
  </si>
  <si>
    <t>0,775 ± 0,034</t>
  </si>
  <si>
    <t>0,752 ± 0,033</t>
  </si>
  <si>
    <t>0,663 ± 0,040</t>
  </si>
  <si>
    <t>0,737 ± 0,035</t>
  </si>
  <si>
    <t>0,738 ± 0,039</t>
  </si>
  <si>
    <t>0,369 ± 0,091</t>
  </si>
  <si>
    <t>0,890 ± 0,023</t>
  </si>
  <si>
    <t>0,784 ± 0,022</t>
  </si>
  <si>
    <t>35,667 ± 5,033</t>
  </si>
  <si>
    <t>46,000 ± 4,583</t>
  </si>
  <si>
    <t>20,667 ± 4,163</t>
  </si>
  <si>
    <t>167,000 ± 4,359</t>
  </si>
  <si>
    <t>WF1-score</t>
  </si>
  <si>
    <t>F1 pos</t>
  </si>
  <si>
    <t>F1 neg</t>
  </si>
  <si>
    <t>Macro F1</t>
  </si>
  <si>
    <t>Logistic Regression</t>
  </si>
  <si>
    <t>Tabular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</si>
  <si>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</si>
  <si>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</si>
  <si>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FTTransfomer (avg 10 seeds)</t>
  </si>
  <si>
    <t>0,766 ± 0,014</t>
  </si>
  <si>
    <t>0,731 ± 0,005</t>
  </si>
  <si>
    <t>0,633 ± 0,024</t>
  </si>
  <si>
    <t>0,701 ± 0,018</t>
  </si>
  <si>
    <t>0,729 ± 0,020</t>
  </si>
  <si>
    <t>0,293 ± 0,040</t>
  </si>
  <si>
    <t>0,882 ± 0,038</t>
  </si>
  <si>
    <t>0,772 ± 0,017</t>
  </si>
  <si>
    <t>31,3 ± 6,888</t>
  </si>
  <si>
    <t>50,367 ± 6,888</t>
  </si>
  <si>
    <t>22,133 ± 7,077</t>
  </si>
  <si>
    <t>165,533 ± 7,077</t>
  </si>
  <si>
    <t>Random Forest (avg 10 seeds)</t>
  </si>
  <si>
    <t>0,771 ± 0,003</t>
  </si>
  <si>
    <t>0,741 ± 0,005</t>
  </si>
  <si>
    <t>0,637 ± 0,006</t>
  </si>
  <si>
    <t>0,719 ± 0,005</t>
  </si>
  <si>
    <t>0,723 ± 0,007</t>
  </si>
  <si>
    <t>0,325 ± 0,014</t>
  </si>
  <si>
    <t>0,900 ± 0,005</t>
  </si>
  <si>
    <t>0,768 ± 0,003</t>
  </si>
  <si>
    <t>30,600 ± 0,813</t>
  </si>
  <si>
    <t>51,067 ± 0,813</t>
  </si>
  <si>
    <t>18,767 ± 1,031</t>
  </si>
  <si>
    <t>168,9 ± 1,031</t>
  </si>
  <si>
    <t>FTTransfomer (best seed)</t>
  </si>
  <si>
    <t>0,772 ± 0,016</t>
  </si>
  <si>
    <t>0,740± 0,020</t>
  </si>
  <si>
    <t>0,675± 0,025</t>
  </si>
  <si>
    <t>0,735 ± 0,020</t>
  </si>
  <si>
    <t>0,732 ± 0,021</t>
  </si>
  <si>
    <t>0,364 ± 0,050</t>
  </si>
  <si>
    <t>0,840 ± 0,019</t>
  </si>
  <si>
    <t>0,798 ± 0,016</t>
  </si>
  <si>
    <t>41,667 ± 3,512</t>
  </si>
  <si>
    <t>40,000 ± 3,606</t>
  </si>
  <si>
    <t>30,000 ± 3,606</t>
  </si>
  <si>
    <t>157,667 ± 3,512</t>
  </si>
  <si>
    <t>Random Forest (best seed)</t>
  </si>
  <si>
    <t>0,767 ± 0,037</t>
  </si>
  <si>
    <t>0,750 ± 0,021</t>
  </si>
  <si>
    <t>0,650 ± 0,036</t>
  </si>
  <si>
    <t>0,729 ± 0,028</t>
  </si>
  <si>
    <t>0,734 ± 0,026</t>
  </si>
  <si>
    <t>0,352 ± 0,067</t>
  </si>
  <si>
    <t>0,904 ± 0,006</t>
  </si>
  <si>
    <t>0,775 ± 0,020</t>
  </si>
  <si>
    <t>32,333 ± 6,110</t>
  </si>
  <si>
    <t>49,333 ± 5,686</t>
  </si>
  <si>
    <t>18,000 ± 1,000</t>
  </si>
  <si>
    <t>169,667 ± 1,528</t>
  </si>
  <si>
    <t>0,768  ± 0,039</t>
  </si>
  <si>
    <t>0,745 ± 0,018</t>
  </si>
  <si>
    <t>0,667 ± 0,019</t>
  </si>
  <si>
    <t>0,735 ± 0,017</t>
  </si>
  <si>
    <t>0,733 ± 0,018</t>
  </si>
  <si>
    <t>0,362 ± 0,043</t>
  </si>
  <si>
    <t>0,865 ± 0,022</t>
  </si>
  <si>
    <t>0,789 ± 0,009</t>
  </si>
  <si>
    <t>38,333 ± 2,309</t>
  </si>
  <si>
    <t>43,333 ± 2,082</t>
  </si>
  <si>
    <t>25,333 ± 4,163</t>
  </si>
  <si>
    <t>162,333 ± 3,786</t>
  </si>
  <si>
    <t>AdaBoost</t>
  </si>
  <si>
    <t>0,755  ± 0,021</t>
  </si>
  <si>
    <t>0,741 ± 0,025</t>
  </si>
  <si>
    <t>0,660 ± 0,046</t>
  </si>
  <si>
    <t>0,728 ± 0,033</t>
  </si>
  <si>
    <t>0,729 ± 0,030</t>
  </si>
  <si>
    <t>0,349 ± 0,030</t>
  </si>
  <si>
    <t>0,867 ± 0,037</t>
  </si>
  <si>
    <t>0,786 ± 0,030</t>
  </si>
  <si>
    <t>37 ± 9,165</t>
  </si>
  <si>
    <t>44,667 ± 9,292</t>
  </si>
  <si>
    <t>25 ± 7,000</t>
  </si>
  <si>
    <t>162,667 ± 6,506</t>
  </si>
  <si>
    <t>XGBoost</t>
  </si>
  <si>
    <t>0,739 ± 0,038</t>
  </si>
  <si>
    <t>0,720 ± 0,013</t>
  </si>
  <si>
    <t>0,645 ± 0,009</t>
  </si>
  <si>
    <t>0,712 ± 0,010</t>
  </si>
  <si>
    <t>0,709 ± 0,009</t>
  </si>
  <si>
    <t>0,307 ± 0,024</t>
  </si>
  <si>
    <t>0,837 ± 0,020</t>
  </si>
  <si>
    <t>0,778 ± 0,002</t>
  </si>
  <si>
    <t>37 ± 0,000</t>
  </si>
  <si>
    <t>44,667 ± 0,577</t>
  </si>
  <si>
    <t>30,667 ± 3,786</t>
  </si>
  <si>
    <t>157 ± 3,464</t>
  </si>
  <si>
    <t>Swin Transfomer</t>
  </si>
  <si>
    <t>Imagem</t>
  </si>
  <si>
    <t>0,534 ± 0,018</t>
  </si>
  <si>
    <t>0,560 ± 0,048</t>
  </si>
  <si>
    <t>0,514 ± 0,024</t>
  </si>
  <si>
    <t>0,554 ± 0,041</t>
  </si>
  <si>
    <t>0,604 ± 0,026</t>
  </si>
  <si>
    <t>0,029 ± 0,049</t>
  </si>
  <si>
    <t>0,632 ± 0,124</t>
  </si>
  <si>
    <t>0,706 ± 0,018</t>
  </si>
  <si>
    <t>32,400 ± 11,403</t>
  </si>
  <si>
    <t>49,267 ± 11,403</t>
  </si>
  <si>
    <t>69,133 ± 23,239</t>
  </si>
  <si>
    <t>118,533 ± 23,239</t>
  </si>
  <si>
    <t>FetalCLIP</t>
  </si>
  <si>
    <t>0,553 ± 0,007</t>
  </si>
  <si>
    <t>0,608 ± 0,027</t>
  </si>
  <si>
    <t>0,534 ± 0,014</t>
  </si>
  <si>
    <t>0,596 ± 0,023</t>
  </si>
  <si>
    <t>0,621 ± 0,014</t>
  </si>
  <si>
    <t>0,076 ± 0,027</t>
  </si>
  <si>
    <t>0,721 ± 0,076</t>
  </si>
  <si>
    <t>0,720 ± 0,014</t>
  </si>
  <si>
    <t>28,333 ± 7,399</t>
  </si>
  <si>
    <t>53,333 ± 7,399</t>
  </si>
  <si>
    <t>52,300 ± 14,189</t>
  </si>
  <si>
    <t>135,367 ± 14,189</t>
  </si>
  <si>
    <t>MedViTV2-pretrained</t>
  </si>
  <si>
    <t>0,552 ± 0,020</t>
  </si>
  <si>
    <t>0,543 ± 0,028</t>
  </si>
  <si>
    <t>0,526 ± 0,017</t>
  </si>
  <si>
    <t>0,548 ± 0,025</t>
  </si>
  <si>
    <t>0,604 ± 0,020</t>
  </si>
  <si>
    <t>0,052 ± 0,034</t>
  </si>
  <si>
    <t>0,570 ± 0,091</t>
  </si>
  <si>
    <t>0,725 ± 0,024</t>
  </si>
  <si>
    <t>39,433 ± 9,833</t>
  </si>
  <si>
    <t>42,300 ± 9,878</t>
  </si>
  <si>
    <t>80,700 ± 17,009</t>
  </si>
  <si>
    <t>106,967 ± 17,009</t>
  </si>
  <si>
    <t>MedViTV2-nopretrained</t>
  </si>
  <si>
    <t>0,568 ± 0,013</t>
  </si>
  <si>
    <t>0,556 ± 0,029</t>
  </si>
  <si>
    <t>0,544 ± 0,014</t>
  </si>
  <si>
    <t>0,564 ± 0,014</t>
  </si>
  <si>
    <t>0,616± 0,011</t>
  </si>
  <si>
    <t>0,084 ± 0,025</t>
  </si>
  <si>
    <t>0,575 ± 0,069</t>
  </si>
  <si>
    <t>41,833 ± 5,920</t>
  </si>
  <si>
    <t>39,833 ± 5,920</t>
  </si>
  <si>
    <t>79,700 ± 12,884</t>
  </si>
  <si>
    <t>107,967 ± 12,884</t>
  </si>
  <si>
    <t>MedMamba-s-pretrained</t>
  </si>
  <si>
    <t>0,534 ± 0,028</t>
  </si>
  <si>
    <t>0,586 ± 0,044</t>
  </si>
  <si>
    <t>0,519 ± 0,020</t>
  </si>
  <si>
    <t>0,569 ± 0,037</t>
  </si>
  <si>
    <t>0,610 ± 0,029</t>
  </si>
  <si>
    <t>0,038 ± 0,039</t>
  </si>
  <si>
    <t>0,691 ± 0,121</t>
  </si>
  <si>
    <t>0,714 ± 0,017</t>
  </si>
  <si>
    <t>28,367 ± 11,556</t>
  </si>
  <si>
    <t>53,300 ± 11,556</t>
  </si>
  <si>
    <t>58,067 ± 22,703</t>
  </si>
  <si>
    <t>129,600 ± 22,703</t>
  </si>
  <si>
    <t>MedSigLiP</t>
  </si>
  <si>
    <t>0,539 ± 0,005</t>
  </si>
  <si>
    <t>0,577 ± 0,013</t>
  </si>
  <si>
    <t>0,544 ± 0,006</t>
  </si>
  <si>
    <t>0,587 ± 0,013</t>
  </si>
  <si>
    <t>0,615 ± 0,004</t>
  </si>
  <si>
    <t>0,083 ± 0,012</t>
  </si>
  <si>
    <t>0,629 ± 0,028</t>
  </si>
  <si>
    <t>0,732 ± 0,004</t>
  </si>
  <si>
    <t>37,467 ± 1,784</t>
  </si>
  <si>
    <t>44,200 ± 1,784</t>
  </si>
  <si>
    <t>69,600 ± 5,151</t>
  </si>
  <si>
    <t>118,067 ± 5,151</t>
  </si>
  <si>
    <t>MedSigLiP-finetuned</t>
  </si>
  <si>
    <t>0,536 ± 0,020</t>
  </si>
  <si>
    <t>0,562 ± 0,074</t>
  </si>
  <si>
    <t>0,521 ± 0,015</t>
  </si>
  <si>
    <t>0,544 ± 0,067</t>
  </si>
  <si>
    <t>0,616 ± 0,038</t>
  </si>
  <si>
    <t>0,042 ± 0,031</t>
  </si>
  <si>
    <t>0,626 ± 0,183</t>
  </si>
  <si>
    <t>0,710 ± 0,017</t>
  </si>
  <si>
    <t>33,933 ± 14,537</t>
  </si>
  <si>
    <t>47,733 ± 14,537</t>
  </si>
  <si>
    <t>70,100 ± 34,289</t>
  </si>
  <si>
    <t>117,567 ± 34,289</t>
  </si>
  <si>
    <t>0,545  ± 0,050</t>
  </si>
  <si>
    <t>0,630 ± 0,056</t>
  </si>
  <si>
    <t>0,495 ± 0,011</t>
  </si>
  <si>
    <t>0,578 ± 0,009</t>
  </si>
  <si>
    <t>0,643 ± 0,126</t>
  </si>
  <si>
    <t>-0,011 ± 0,025</t>
  </si>
  <si>
    <t>0,839 ± 0,142</t>
  </si>
  <si>
    <t>0,694 ± 0,007</t>
  </si>
  <si>
    <t>12,333 ± 11,240</t>
  </si>
  <si>
    <t>69,333 ± 11,676</t>
  </si>
  <si>
    <t>30,333 ± 26,652</t>
  </si>
  <si>
    <t>157,333 ± 26,083</t>
  </si>
  <si>
    <t>0,558  ± 0,057</t>
  </si>
  <si>
    <t>0,548  ± 0,076</t>
  </si>
  <si>
    <t>0,548  ± 0,020</t>
  </si>
  <si>
    <t>0,548  ± 0,089</t>
  </si>
  <si>
    <t>0,630  ± 0,038</t>
  </si>
  <si>
    <t>0,098  ± 0,047</t>
  </si>
  <si>
    <t>0,547  ± 0,223</t>
  </si>
  <si>
    <t>0,754  ± 0,056</t>
  </si>
  <si>
    <t>45,000  ± 21,656</t>
  </si>
  <si>
    <t>36,667  ± 21,362</t>
  </si>
  <si>
    <t>85,000  ± 41,581</t>
  </si>
  <si>
    <t>102,667  ± 42,158</t>
  </si>
  <si>
    <t>0,575  ± 0,065</t>
  </si>
  <si>
    <t>0,510  ± 0,094</t>
  </si>
  <si>
    <t>0,542  ± 0,056</t>
  </si>
  <si>
    <t>0,505  ± 0,111</t>
  </si>
  <si>
    <t>0,643  ± 0,091</t>
  </si>
  <si>
    <t>0,096  ± 0,126</t>
  </si>
  <si>
    <t>0,459  ± 0,242</t>
  </si>
  <si>
    <t>0,775  ± 0,122</t>
  </si>
  <si>
    <t>51,000  ± 23,643</t>
  </si>
  <si>
    <t>30,667  ± 23,228</t>
  </si>
  <si>
    <t>101,333  ± 45,004</t>
  </si>
  <si>
    <t>86,333  ± 45,501</t>
  </si>
  <si>
    <t>0,588  ± 0,014</t>
  </si>
  <si>
    <t>0,565  ± 0,017</t>
  </si>
  <si>
    <t>0,571  ± 0,009</t>
  </si>
  <si>
    <t>0,583  ± 0,017</t>
  </si>
  <si>
    <t>0,637  ± 0,008</t>
  </si>
  <si>
    <t>0,130   ± 0,016</t>
  </si>
  <si>
    <t>0,558  ± 0,034</t>
  </si>
  <si>
    <t>0,755  ± 0,008</t>
  </si>
  <si>
    <t>47,667  ± 2,517</t>
  </si>
  <si>
    <t>34,000   ± 2,646</t>
  </si>
  <si>
    <t>83,000   ± 6,245</t>
  </si>
  <si>
    <t>104,667  ± 6,807</t>
  </si>
  <si>
    <t>0,526  ± 0,033</t>
  </si>
  <si>
    <t>0,640  ± 0,059</t>
  </si>
  <si>
    <t>0,500  ± 0,012</t>
  </si>
  <si>
    <t>0,587  ± 0,016</t>
  </si>
  <si>
    <t>0,582  ± 0,015</t>
  </si>
  <si>
    <t>0,005  ± 0,033</t>
  </si>
  <si>
    <t>0,856  ± 0,134</t>
  </si>
  <si>
    <t>0,696  ± 0,005</t>
  </si>
  <si>
    <t>11,667  ± 9,074</t>
  </si>
  <si>
    <t>70,000  ± 9,644</t>
  </si>
  <si>
    <t>27,000  ± 25,159</t>
  </si>
  <si>
    <t>160,667  ± 24,906</t>
  </si>
  <si>
    <t>0,546  ± 0,065</t>
  </si>
  <si>
    <t>0,599  ± 0,049</t>
  </si>
  <si>
    <t>0,552  ± 0,045</t>
  </si>
  <si>
    <t>0,607  ± 0,044</t>
  </si>
  <si>
    <t>0,620  ± 0,036</t>
  </si>
  <si>
    <t>0,100  ± 0,087</t>
  </si>
  <si>
    <t>0,671  ± 0,057</t>
  </si>
  <si>
    <t>0,730  ± 0,029</t>
  </si>
  <si>
    <t>35,333  ± 4,041</t>
  </si>
  <si>
    <t>46,333  ± 3,786</t>
  </si>
  <si>
    <t>61,667  ± 10,693</t>
  </si>
  <si>
    <t>126,000  ± 10,440</t>
  </si>
  <si>
    <t>0,550  ± 0,023</t>
  </si>
  <si>
    <t>0,583  ± 0,014</t>
  </si>
  <si>
    <t>0,549  ± 0,027</t>
  </si>
  <si>
    <t>0,595  ± 0,014</t>
  </si>
  <si>
    <t>0,617  ± 0,024</t>
  </si>
  <si>
    <t>0,092  ± 0,050</t>
  </si>
  <si>
    <t>0,636  ± 0,037</t>
  </si>
  <si>
    <t>0,732  ± 0,023</t>
  </si>
  <si>
    <t>37,667  ± 6,351</t>
  </si>
  <si>
    <t>44,000   ± 6,928</t>
  </si>
  <si>
    <t>68,333  ± 7,024</t>
  </si>
  <si>
    <t>119,333  ± 6,506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</si>
</sst>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4" fillId="2" fontId="1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1" fillId="3" fontId="1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shrinkToFit="0" vertical="bottom" wrapText="1"/>
    </xf>
    <xf borderId="7" fillId="0" fontId="2" numFmtId="0" xfId="0" applyBorder="1" applyFont="1"/>
    <xf borderId="8" fillId="0" fontId="2" numFmtId="0" xfId="0" applyBorder="1" applyFont="1"/>
    <xf borderId="6" fillId="3" fontId="1" numFmtId="0" xfId="0" applyAlignment="1" applyBorder="1" applyFont="1">
      <alignment horizontal="center" readingOrder="0" shrinkToFit="0" wrapText="1"/>
    </xf>
    <xf borderId="6" fillId="0" fontId="1" numFmtId="164" xfId="0" applyAlignment="1" applyBorder="1" applyFont="1" applyNumberFormat="1">
      <alignment horizontal="center" readingOrder="0" shrinkToFit="0" wrapText="1"/>
    </xf>
    <xf borderId="6" fillId="0" fontId="3" numFmtId="164" xfId="0" applyAlignment="1" applyBorder="1" applyFont="1" applyNumberFormat="1">
      <alignment horizontal="center" readingOrder="0"/>
    </xf>
    <xf borderId="9" fillId="0" fontId="3" numFmtId="164" xfId="0" applyAlignment="1" applyBorder="1" applyFont="1" applyNumberFormat="1">
      <alignment horizontal="center" readingOrder="0"/>
    </xf>
    <xf borderId="10" fillId="0" fontId="3" numFmtId="164" xfId="0" applyAlignment="1" applyBorder="1" applyFont="1" applyNumberFormat="1">
      <alignment horizontal="center" readingOrder="0"/>
    </xf>
    <xf borderId="0" fillId="0" fontId="3" numFmtId="164" xfId="0" applyFont="1" applyNumberFormat="1"/>
    <xf borderId="1" fillId="4" fontId="1" numFmtId="0" xfId="0" applyAlignment="1" applyBorder="1" applyFill="1" applyFont="1">
      <alignment horizontal="center" shrinkToFit="0" vertical="bottom" wrapText="1"/>
    </xf>
    <xf borderId="2" fillId="4" fontId="1" numFmtId="0" xfId="0" applyAlignment="1" applyBorder="1" applyFont="1">
      <alignment horizontal="center" shrinkToFit="0" vertical="bottom" wrapText="1"/>
    </xf>
    <xf borderId="4" fillId="4" fontId="1" numFmtId="0" xfId="0" applyAlignment="1" applyBorder="1" applyFont="1">
      <alignment horizontal="center" shrinkToFit="0" vertical="bottom" wrapText="1"/>
    </xf>
    <xf borderId="0" fillId="4" fontId="3" numFmtId="0" xfId="0" applyAlignment="1" applyFont="1">
      <alignment vertical="bottom"/>
    </xf>
    <xf borderId="1" fillId="5" fontId="1" numFmtId="0" xfId="0" applyAlignment="1" applyBorder="1" applyFill="1" applyFont="1">
      <alignment horizontal="center" shrinkToFit="0" vertical="bottom" wrapText="1"/>
    </xf>
    <xf borderId="2" fillId="5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center" shrinkToFit="0" wrapText="1"/>
    </xf>
    <xf borderId="6" fillId="5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6" fillId="0" fontId="3" numFmtId="164" xfId="0" applyAlignment="1" applyBorder="1" applyFont="1" applyNumberFormat="1">
      <alignment horizontal="center" readingOrder="0" shrinkToFit="0" wrapText="1"/>
    </xf>
    <xf borderId="9" fillId="0" fontId="3" numFmtId="164" xfId="0" applyAlignment="1" applyBorder="1" applyFont="1" applyNumberFormat="1">
      <alignment horizontal="center" readingOrder="0" shrinkToFit="0" wrapText="1"/>
    </xf>
    <xf borderId="8" fillId="0" fontId="3" numFmtId="164" xfId="0" applyAlignment="1" applyBorder="1" applyFont="1" applyNumberFormat="1">
      <alignment horizontal="center" readingOrder="0" shrinkToFit="0" wrapText="1"/>
    </xf>
    <xf borderId="7" fillId="0" fontId="3" numFmtId="164" xfId="0" applyAlignment="1" applyBorder="1" applyFont="1" applyNumberFormat="1">
      <alignment horizontal="center" readingOrder="0" shrinkToFit="0" wrapText="1"/>
    </xf>
    <xf borderId="8" fillId="0" fontId="3" numFmtId="164" xfId="0" applyAlignment="1" applyBorder="1" applyFont="1" applyNumberFormat="1">
      <alignment horizontal="center" readingOrder="0"/>
    </xf>
    <xf borderId="0" fillId="0" fontId="3" numFmtId="0" xfId="0" applyFont="1"/>
    <xf borderId="1" fillId="0" fontId="3" numFmtId="164" xfId="0" applyAlignment="1" applyBorder="1" applyFont="1" applyNumberFormat="1">
      <alignment horizontal="center" readingOrder="0" shrinkToFit="0" wrapText="1"/>
    </xf>
    <xf borderId="9" fillId="0" fontId="1" numFmtId="164" xfId="0" applyAlignment="1" applyBorder="1" applyFont="1" applyNumberForma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7" fillId="0" fontId="1" numFmtId="164" xfId="0" applyAlignment="1" applyBorder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 readingOrder="0"/>
    </xf>
    <xf borderId="6" fillId="4" fontId="1" numFmtId="0" xfId="0" applyAlignment="1" applyBorder="1" applyFont="1">
      <alignment horizontal="center" readingOrder="0" shrinkToFit="0" wrapText="1"/>
    </xf>
    <xf borderId="7" fillId="0" fontId="3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7" fillId="0" fontId="1" numFmtId="164" xfId="0" applyAlignment="1" applyBorder="1" applyFont="1" applyNumberFormat="1">
      <alignment horizontal="center" readingOrder="0" shrinkToFit="0" wrapText="1"/>
    </xf>
    <xf borderId="8" fillId="0" fontId="1" numFmtId="164" xfId="0" applyAlignment="1" applyBorder="1" applyFont="1" applyNumberForma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 shrinkToFit="0" vertical="bottom" wrapText="1"/>
    </xf>
    <xf borderId="2" fillId="5" fontId="1" numFmtId="0" xfId="0" applyAlignment="1" applyBorder="1" applyFont="1">
      <alignment horizontal="center" readingOrder="0" shrinkToFit="0" vertical="bottom" wrapText="1"/>
    </xf>
    <xf borderId="9" fillId="0" fontId="1" numFmtId="164" xfId="0" applyAlignment="1" applyBorder="1" applyFont="1" applyNumberFormat="1">
      <alignment horizontal="center" readingOrder="0"/>
    </xf>
    <xf borderId="6" fillId="6" fontId="1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shrinkToFit="0" vertical="bottom" wrapText="1"/>
    </xf>
    <xf borderId="2" fillId="7" fontId="1" numFmtId="0" xfId="0" applyAlignment="1" applyBorder="1" applyFont="1">
      <alignment horizontal="center" shrinkToFit="0" vertical="bottom" wrapText="1"/>
    </xf>
    <xf borderId="11" fillId="7" fontId="1" numFmtId="0" xfId="0" applyAlignment="1" applyBorder="1" applyFont="1">
      <alignment horizontal="center" shrinkToFit="0" vertical="bottom" wrapText="1"/>
    </xf>
    <xf borderId="12" fillId="0" fontId="2" numFmtId="0" xfId="0" applyBorder="1" applyFont="1"/>
    <xf borderId="13" fillId="0" fontId="2" numFmtId="0" xfId="0" applyBorder="1" applyFont="1"/>
    <xf borderId="14" fillId="8" fontId="1" numFmtId="0" xfId="0" applyAlignment="1" applyBorder="1" applyFill="1" applyFont="1">
      <alignment horizontal="center" shrinkToFit="0" vertical="bottom" wrapText="1"/>
    </xf>
    <xf borderId="1" fillId="8" fontId="1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6" fillId="0" fontId="3" numFmtId="164" xfId="0" applyAlignment="1" applyBorder="1" applyFont="1" applyNumberFormat="1">
      <alignment horizontal="center" shrinkToFit="0" vertical="bottom" wrapText="1"/>
    </xf>
    <xf borderId="9" fillId="0" fontId="3" numFmtId="164" xfId="0" applyAlignment="1" applyBorder="1" applyFont="1" applyNumberFormat="1">
      <alignment horizontal="center" shrinkToFit="0" vertical="bottom" wrapText="1"/>
    </xf>
    <xf borderId="10" fillId="0" fontId="3" numFmtId="164" xfId="0" applyAlignment="1" applyBorder="1" applyFont="1" applyNumberFormat="1">
      <alignment horizontal="center" shrinkToFit="0" vertical="bottom" wrapText="1"/>
    </xf>
    <xf borderId="6" fillId="0" fontId="1" numFmtId="164" xfId="0" applyAlignment="1" applyBorder="1" applyFont="1" applyNumberFormat="1">
      <alignment horizontal="center" shrinkToFit="0" vertical="bottom" wrapText="1"/>
    </xf>
    <xf borderId="9" fillId="0" fontId="1" numFmtId="164" xfId="0" applyAlignment="1" applyBorder="1" applyFont="1" applyNumberFormat="1">
      <alignment horizontal="center" shrinkToFit="0" vertical="bottom" wrapText="1"/>
    </xf>
    <xf borderId="10" fillId="0" fontId="1" numFmtId="164" xfId="0" applyAlignment="1" applyBorder="1" applyFont="1" applyNumberFormat="1">
      <alignment horizontal="center" shrinkToFit="0" vertical="bottom" wrapText="1"/>
    </xf>
    <xf borderId="0" fillId="0" fontId="3" numFmtId="165" xfId="0" applyAlignment="1" applyFont="1" applyNumberFormat="1">
      <alignment vertical="bottom"/>
    </xf>
    <xf borderId="1" fillId="4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 shrinkToFit="0" wrapText="1"/>
    </xf>
    <xf borderId="6" fillId="0" fontId="3" numFmtId="164" xfId="0" applyAlignment="1" applyBorder="1" applyFont="1" applyNumberFormat="1">
      <alignment horizontal="center" shrinkToFit="0" wrapText="1"/>
    </xf>
    <xf borderId="9" fillId="0" fontId="3" numFmtId="164" xfId="0" applyAlignment="1" applyBorder="1" applyFont="1" applyNumberFormat="1">
      <alignment horizontal="center" shrinkToFit="0" wrapText="1"/>
    </xf>
    <xf borderId="8" fillId="0" fontId="3" numFmtId="164" xfId="0" applyAlignment="1" applyBorder="1" applyFont="1" applyNumberFormat="1">
      <alignment horizontal="center" shrinkToFit="0" wrapText="1"/>
    </xf>
    <xf borderId="7" fillId="0" fontId="3" numFmtId="164" xfId="0" applyAlignment="1" applyBorder="1" applyFont="1" applyNumberFormat="1">
      <alignment horizontal="center" shrinkToFit="0" wrapText="1"/>
    </xf>
    <xf borderId="8" fillId="0" fontId="3" numFmtId="164" xfId="0" applyAlignment="1" applyBorder="1" applyFont="1" applyNumberFormat="1">
      <alignment horizontal="center"/>
    </xf>
    <xf borderId="6" fillId="0" fontId="1" numFmtId="164" xfId="0" applyAlignment="1" applyBorder="1" applyFont="1" applyNumberFormat="1">
      <alignment horizontal="center" shrinkToFit="0" wrapText="1"/>
    </xf>
    <xf borderId="9" fillId="0" fontId="1" numFmtId="164" xfId="0" applyAlignment="1" applyBorder="1" applyFont="1" applyNumberFormat="1">
      <alignment horizontal="center" shrinkToFit="0" wrapText="1"/>
    </xf>
    <xf borderId="8" fillId="0" fontId="1" numFmtId="164" xfId="0" applyAlignment="1" applyBorder="1" applyFont="1" applyNumberFormat="1">
      <alignment horizontal="center" shrinkToFit="0" wrapText="1"/>
    </xf>
    <xf borderId="8" fillId="0" fontId="1" numFmtId="164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 shrinkToFit="0" wrapText="1"/>
    </xf>
    <xf borderId="6" fillId="4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5.13"/>
    <col customWidth="1" min="3" max="3" width="9.88"/>
    <col customWidth="1" min="4" max="4" width="5.88"/>
    <col customWidth="1" min="5" max="5" width="8.5"/>
    <col customWidth="1" min="6" max="6" width="8.0"/>
    <col customWidth="1" min="7" max="7" width="5.13"/>
    <col customWidth="1" min="8" max="8" width="8.63"/>
    <col customWidth="1" min="9" max="9" width="9.38"/>
    <col customWidth="1" min="10" max="10" width="5.13"/>
    <col customWidth="1" min="11" max="12" width="7.0"/>
    <col customWidth="1" min="13" max="13" width="6.13"/>
    <col customWidth="1" min="14" max="14" width="7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4"/>
      <c r="K1" s="5" t="s">
        <v>3</v>
      </c>
      <c r="L1" s="1" t="s">
        <v>4</v>
      </c>
      <c r="M1" s="1" t="s">
        <v>5</v>
      </c>
      <c r="N1" s="5" t="s">
        <v>6</v>
      </c>
    </row>
    <row r="2">
      <c r="A2" s="6"/>
      <c r="B2" s="6"/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H2" s="9" t="s">
        <v>12</v>
      </c>
      <c r="I2" s="10" t="s">
        <v>13</v>
      </c>
      <c r="J2" s="10" t="s">
        <v>14</v>
      </c>
      <c r="K2" s="11"/>
      <c r="L2" s="12"/>
      <c r="M2" s="12"/>
      <c r="N2" s="11"/>
    </row>
    <row r="3">
      <c r="A3" s="13" t="s">
        <v>15</v>
      </c>
      <c r="B3" s="14" t="s">
        <v>16</v>
      </c>
      <c r="C3" s="15">
        <v>0.734</v>
      </c>
      <c r="D3" s="15">
        <v>0.711</v>
      </c>
      <c r="E3" s="15">
        <v>0.634</v>
      </c>
      <c r="F3" s="15">
        <v>0.709</v>
      </c>
      <c r="G3" s="16">
        <v>0.708</v>
      </c>
      <c r="H3" s="15">
        <v>0.27</v>
      </c>
      <c r="I3" s="15">
        <v>0.806</v>
      </c>
      <c r="J3" s="17">
        <v>0.797</v>
      </c>
      <c r="K3" s="15">
        <v>79.0</v>
      </c>
      <c r="L3" s="15">
        <v>92.0</v>
      </c>
      <c r="M3" s="15">
        <v>87.0</v>
      </c>
      <c r="N3" s="15">
        <v>361.0</v>
      </c>
      <c r="O3" s="18"/>
    </row>
    <row r="4">
      <c r="A4" s="13" t="s">
        <v>17</v>
      </c>
      <c r="B4" s="14" t="s">
        <v>16</v>
      </c>
      <c r="C4" s="15">
        <v>0.734</v>
      </c>
      <c r="D4" s="15">
        <v>0.743</v>
      </c>
      <c r="E4" s="15">
        <v>0.604</v>
      </c>
      <c r="F4" s="15">
        <v>0.713</v>
      </c>
      <c r="G4" s="16">
        <v>0.716</v>
      </c>
      <c r="H4" s="15">
        <v>0.266</v>
      </c>
      <c r="I4" s="15">
        <v>0.915</v>
      </c>
      <c r="J4" s="17">
        <v>0.772</v>
      </c>
      <c r="K4" s="15">
        <v>50.0</v>
      </c>
      <c r="L4" s="15">
        <v>121.0</v>
      </c>
      <c r="M4" s="15">
        <v>38.0</v>
      </c>
      <c r="N4" s="15">
        <v>410.0</v>
      </c>
      <c r="O4" s="18"/>
    </row>
  </sheetData>
  <mergeCells count="7">
    <mergeCell ref="A1:A2"/>
    <mergeCell ref="B1:B2"/>
    <mergeCell ref="C1:J1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13" max="13" width="15.0"/>
    <col customWidth="1" min="14" max="14" width="16.13"/>
  </cols>
  <sheetData>
    <row r="1">
      <c r="A1" s="19" t="s">
        <v>0</v>
      </c>
      <c r="B1" s="19" t="s">
        <v>1</v>
      </c>
      <c r="C1" s="20" t="s">
        <v>2</v>
      </c>
      <c r="D1" s="3"/>
      <c r="E1" s="3"/>
      <c r="F1" s="3"/>
      <c r="G1" s="3"/>
      <c r="H1" s="3"/>
      <c r="I1" s="3"/>
      <c r="J1" s="4"/>
      <c r="K1" s="21" t="s">
        <v>3</v>
      </c>
      <c r="L1" s="19" t="s">
        <v>4</v>
      </c>
      <c r="M1" s="19" t="s">
        <v>5</v>
      </c>
      <c r="N1" s="21" t="s">
        <v>6</v>
      </c>
      <c r="O1" s="22"/>
    </row>
    <row r="2">
      <c r="A2" s="6"/>
      <c r="B2" s="6"/>
      <c r="C2" s="23" t="s">
        <v>7</v>
      </c>
      <c r="D2" s="23" t="s">
        <v>8</v>
      </c>
      <c r="E2" s="23" t="s">
        <v>9</v>
      </c>
      <c r="F2" s="23" t="s">
        <v>10</v>
      </c>
      <c r="G2" s="24" t="s">
        <v>11</v>
      </c>
      <c r="H2" s="25" t="s">
        <v>12</v>
      </c>
      <c r="I2" s="26" t="s">
        <v>13</v>
      </c>
      <c r="J2" s="26" t="s">
        <v>14</v>
      </c>
      <c r="K2" s="11"/>
      <c r="L2" s="12"/>
      <c r="M2" s="12"/>
      <c r="N2" s="11"/>
      <c r="O2" s="22"/>
    </row>
    <row r="3">
      <c r="A3" s="27" t="s">
        <v>18</v>
      </c>
      <c r="B3" s="28" t="s">
        <v>16</v>
      </c>
      <c r="C3" s="28" t="s">
        <v>19</v>
      </c>
      <c r="D3" s="29" t="s">
        <v>20</v>
      </c>
      <c r="E3" s="29" t="s">
        <v>21</v>
      </c>
      <c r="F3" s="29" t="s">
        <v>22</v>
      </c>
      <c r="G3" s="30" t="s">
        <v>23</v>
      </c>
      <c r="H3" s="29" t="s">
        <v>24</v>
      </c>
      <c r="I3" s="31" t="s">
        <v>25</v>
      </c>
      <c r="J3" s="32" t="s">
        <v>26</v>
      </c>
      <c r="K3" s="31" t="s">
        <v>27</v>
      </c>
      <c r="L3" s="31" t="s">
        <v>28</v>
      </c>
      <c r="M3" s="31" t="s">
        <v>29</v>
      </c>
      <c r="N3" s="33" t="s">
        <v>30</v>
      </c>
      <c r="O3" s="34"/>
    </row>
    <row r="4">
      <c r="A4" s="27" t="s">
        <v>31</v>
      </c>
      <c r="B4" s="28" t="s">
        <v>16</v>
      </c>
      <c r="C4" s="35" t="s">
        <v>32</v>
      </c>
      <c r="D4" s="29" t="s">
        <v>20</v>
      </c>
      <c r="E4" s="29" t="s">
        <v>33</v>
      </c>
      <c r="F4" s="29" t="s">
        <v>34</v>
      </c>
      <c r="G4" s="30" t="s">
        <v>35</v>
      </c>
      <c r="H4" s="29" t="s">
        <v>36</v>
      </c>
      <c r="I4" s="31" t="s">
        <v>37</v>
      </c>
      <c r="J4" s="32" t="s">
        <v>38</v>
      </c>
      <c r="K4" s="31" t="s">
        <v>39</v>
      </c>
      <c r="L4" s="31" t="s">
        <v>40</v>
      </c>
      <c r="M4" s="31" t="s">
        <v>41</v>
      </c>
      <c r="N4" s="33" t="s">
        <v>42</v>
      </c>
      <c r="O4" s="34"/>
    </row>
    <row r="5">
      <c r="A5" s="27" t="s">
        <v>43</v>
      </c>
      <c r="B5" s="28" t="s">
        <v>16</v>
      </c>
      <c r="C5" s="35" t="s">
        <v>44</v>
      </c>
      <c r="D5" s="29" t="s">
        <v>45</v>
      </c>
      <c r="E5" s="29" t="s">
        <v>46</v>
      </c>
      <c r="F5" s="29" t="s">
        <v>47</v>
      </c>
      <c r="G5" s="30" t="s">
        <v>48</v>
      </c>
      <c r="H5" s="29" t="s">
        <v>49</v>
      </c>
      <c r="I5" s="31" t="s">
        <v>50</v>
      </c>
      <c r="J5" s="32" t="s">
        <v>51</v>
      </c>
      <c r="K5" s="31" t="s">
        <v>52</v>
      </c>
      <c r="L5" s="31" t="s">
        <v>53</v>
      </c>
      <c r="M5" s="31" t="s">
        <v>54</v>
      </c>
      <c r="N5" s="33" t="s">
        <v>55</v>
      </c>
      <c r="O5" s="34"/>
    </row>
    <row r="6">
      <c r="A6" s="27" t="s">
        <v>56</v>
      </c>
      <c r="B6" s="28" t="s">
        <v>16</v>
      </c>
      <c r="C6" s="35" t="s">
        <v>57</v>
      </c>
      <c r="D6" s="14" t="s">
        <v>58</v>
      </c>
      <c r="E6" s="29" t="s">
        <v>59</v>
      </c>
      <c r="F6" s="29" t="s">
        <v>60</v>
      </c>
      <c r="G6" s="36" t="s">
        <v>61</v>
      </c>
      <c r="H6" s="29" t="s">
        <v>62</v>
      </c>
      <c r="I6" s="31" t="s">
        <v>63</v>
      </c>
      <c r="J6" s="32" t="s">
        <v>64</v>
      </c>
      <c r="K6" s="31" t="s">
        <v>65</v>
      </c>
      <c r="L6" s="31" t="s">
        <v>66</v>
      </c>
      <c r="M6" s="31" t="s">
        <v>67</v>
      </c>
      <c r="N6" s="33" t="s">
        <v>68</v>
      </c>
      <c r="O6" s="34"/>
    </row>
    <row r="7">
      <c r="A7" s="27" t="s">
        <v>69</v>
      </c>
      <c r="B7" s="28" t="s">
        <v>16</v>
      </c>
      <c r="C7" s="35" t="s">
        <v>70</v>
      </c>
      <c r="D7" s="29" t="s">
        <v>71</v>
      </c>
      <c r="E7" s="29" t="s">
        <v>72</v>
      </c>
      <c r="F7" s="29" t="s">
        <v>73</v>
      </c>
      <c r="G7" s="30" t="s">
        <v>74</v>
      </c>
      <c r="H7" s="29" t="s">
        <v>75</v>
      </c>
      <c r="I7" s="31" t="s">
        <v>76</v>
      </c>
      <c r="J7" s="32" t="s">
        <v>77</v>
      </c>
      <c r="K7" s="31" t="s">
        <v>78</v>
      </c>
      <c r="L7" s="31" t="s">
        <v>79</v>
      </c>
      <c r="M7" s="31" t="s">
        <v>80</v>
      </c>
      <c r="N7" s="33" t="s">
        <v>81</v>
      </c>
      <c r="O7" s="34"/>
    </row>
    <row r="8">
      <c r="A8" s="27" t="s">
        <v>82</v>
      </c>
      <c r="B8" s="28" t="s">
        <v>16</v>
      </c>
      <c r="C8" s="37" t="s">
        <v>32</v>
      </c>
      <c r="D8" s="15" t="s">
        <v>83</v>
      </c>
      <c r="E8" s="38" t="s">
        <v>84</v>
      </c>
      <c r="F8" s="38" t="s">
        <v>85</v>
      </c>
      <c r="G8" s="16" t="s">
        <v>86</v>
      </c>
      <c r="H8" s="38" t="s">
        <v>87</v>
      </c>
      <c r="I8" s="33" t="s">
        <v>88</v>
      </c>
      <c r="J8" s="39" t="s">
        <v>89</v>
      </c>
      <c r="K8" s="40" t="s">
        <v>90</v>
      </c>
      <c r="L8" s="40" t="s">
        <v>91</v>
      </c>
      <c r="M8" s="33" t="s">
        <v>92</v>
      </c>
      <c r="N8" s="33" t="s">
        <v>93</v>
      </c>
      <c r="O8" s="34"/>
    </row>
    <row r="9">
      <c r="A9" s="41" t="s">
        <v>94</v>
      </c>
      <c r="B9" s="14" t="s">
        <v>16</v>
      </c>
      <c r="C9" s="15" t="s">
        <v>95</v>
      </c>
      <c r="D9" s="15" t="s">
        <v>96</v>
      </c>
      <c r="E9" s="15" t="s">
        <v>97</v>
      </c>
      <c r="F9" s="15" t="s">
        <v>98</v>
      </c>
      <c r="G9" s="16" t="s">
        <v>99</v>
      </c>
      <c r="H9" s="15" t="s">
        <v>100</v>
      </c>
      <c r="I9" s="40" t="s">
        <v>101</v>
      </c>
      <c r="J9" s="42" t="s">
        <v>102</v>
      </c>
      <c r="K9" s="33" t="s">
        <v>103</v>
      </c>
      <c r="L9" s="33" t="s">
        <v>104</v>
      </c>
      <c r="M9" s="40" t="s">
        <v>105</v>
      </c>
      <c r="N9" s="40" t="s">
        <v>106</v>
      </c>
      <c r="O9" s="18"/>
    </row>
    <row r="10">
      <c r="A10" s="43"/>
      <c r="B10" s="44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</row>
  </sheetData>
  <mergeCells count="7">
    <mergeCell ref="A1:A2"/>
    <mergeCell ref="B1:B2"/>
    <mergeCell ref="C1:J1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hidden="1" min="2" max="5" width="12.63"/>
    <col customWidth="1" min="11" max="11" width="16.13"/>
    <col customWidth="1" min="12" max="12" width="15.0"/>
    <col customWidth="1" min="13" max="13" width="19.0"/>
    <col customWidth="1" min="14" max="14" width="18.38"/>
  </cols>
  <sheetData>
    <row r="1">
      <c r="A1" s="19" t="s">
        <v>0</v>
      </c>
      <c r="B1" s="19" t="s">
        <v>1</v>
      </c>
      <c r="C1" s="20" t="s">
        <v>2</v>
      </c>
      <c r="D1" s="3"/>
      <c r="E1" s="3"/>
      <c r="F1" s="3"/>
      <c r="G1" s="3"/>
      <c r="H1" s="3"/>
      <c r="I1" s="3"/>
      <c r="J1" s="4"/>
      <c r="K1" s="21" t="s">
        <v>3</v>
      </c>
      <c r="L1" s="19" t="s">
        <v>4</v>
      </c>
      <c r="M1" s="19" t="s">
        <v>5</v>
      </c>
      <c r="N1" s="21" t="s">
        <v>6</v>
      </c>
      <c r="O1" s="22"/>
    </row>
    <row r="2">
      <c r="A2" s="6"/>
      <c r="B2" s="6"/>
      <c r="C2" s="23" t="s">
        <v>7</v>
      </c>
      <c r="D2" s="23" t="s">
        <v>8</v>
      </c>
      <c r="E2" s="23" t="s">
        <v>9</v>
      </c>
      <c r="F2" s="23" t="s">
        <v>10</v>
      </c>
      <c r="G2" s="24" t="s">
        <v>11</v>
      </c>
      <c r="H2" s="25" t="s">
        <v>12</v>
      </c>
      <c r="I2" s="26" t="s">
        <v>13</v>
      </c>
      <c r="J2" s="26" t="s">
        <v>14</v>
      </c>
      <c r="K2" s="11"/>
      <c r="L2" s="12"/>
      <c r="M2" s="12"/>
      <c r="N2" s="11"/>
      <c r="O2" s="22"/>
    </row>
    <row r="3">
      <c r="A3" s="27" t="s">
        <v>18</v>
      </c>
      <c r="B3" s="28" t="s">
        <v>16</v>
      </c>
      <c r="C3" s="35" t="s">
        <v>107</v>
      </c>
      <c r="D3" s="29" t="s">
        <v>108</v>
      </c>
      <c r="E3" s="29" t="s">
        <v>109</v>
      </c>
      <c r="F3" s="29" t="s">
        <v>110</v>
      </c>
      <c r="G3" s="30" t="s">
        <v>111</v>
      </c>
      <c r="H3" s="29" t="s">
        <v>112</v>
      </c>
      <c r="I3" s="31" t="s">
        <v>113</v>
      </c>
      <c r="J3" s="32" t="s">
        <v>114</v>
      </c>
      <c r="K3" s="31" t="s">
        <v>115</v>
      </c>
      <c r="L3" s="31" t="s">
        <v>116</v>
      </c>
      <c r="M3" s="31" t="s">
        <v>117</v>
      </c>
      <c r="N3" s="33" t="s">
        <v>118</v>
      </c>
      <c r="O3" s="34"/>
    </row>
    <row r="4">
      <c r="A4" s="27" t="s">
        <v>31</v>
      </c>
      <c r="B4" s="28" t="s">
        <v>16</v>
      </c>
      <c r="C4" s="35" t="s">
        <v>119</v>
      </c>
      <c r="D4" s="29" t="s">
        <v>120</v>
      </c>
      <c r="E4" s="29" t="s">
        <v>121</v>
      </c>
      <c r="F4" s="29" t="s">
        <v>122</v>
      </c>
      <c r="G4" s="30" t="s">
        <v>123</v>
      </c>
      <c r="H4" s="29" t="s">
        <v>124</v>
      </c>
      <c r="I4" s="31" t="s">
        <v>125</v>
      </c>
      <c r="J4" s="32" t="s">
        <v>126</v>
      </c>
      <c r="K4" s="31" t="s">
        <v>127</v>
      </c>
      <c r="L4" s="31" t="s">
        <v>128</v>
      </c>
      <c r="M4" s="31" t="s">
        <v>129</v>
      </c>
      <c r="N4" s="33" t="s">
        <v>130</v>
      </c>
      <c r="O4" s="34"/>
    </row>
    <row r="5">
      <c r="A5" s="27" t="s">
        <v>43</v>
      </c>
      <c r="B5" s="28" t="s">
        <v>16</v>
      </c>
      <c r="C5" s="35" t="s">
        <v>131</v>
      </c>
      <c r="D5" s="29" t="s">
        <v>132</v>
      </c>
      <c r="E5" s="14" t="s">
        <v>133</v>
      </c>
      <c r="F5" s="29" t="s">
        <v>134</v>
      </c>
      <c r="G5" s="30" t="s">
        <v>135</v>
      </c>
      <c r="H5" s="29" t="s">
        <v>136</v>
      </c>
      <c r="I5" s="31" t="s">
        <v>137</v>
      </c>
      <c r="J5" s="45" t="s">
        <v>138</v>
      </c>
      <c r="K5" s="46" t="s">
        <v>139</v>
      </c>
      <c r="L5" s="46" t="s">
        <v>140</v>
      </c>
      <c r="M5" s="31" t="s">
        <v>141</v>
      </c>
      <c r="N5" s="33" t="s">
        <v>142</v>
      </c>
      <c r="O5" s="34"/>
    </row>
    <row r="6">
      <c r="A6" s="27" t="s">
        <v>56</v>
      </c>
      <c r="B6" s="28" t="s">
        <v>16</v>
      </c>
      <c r="C6" s="35" t="s">
        <v>143</v>
      </c>
      <c r="D6" s="14" t="s">
        <v>144</v>
      </c>
      <c r="E6" s="29" t="s">
        <v>145</v>
      </c>
      <c r="F6" s="14" t="s">
        <v>146</v>
      </c>
      <c r="G6" s="36" t="s">
        <v>147</v>
      </c>
      <c r="H6" s="14" t="s">
        <v>148</v>
      </c>
      <c r="I6" s="31" t="s">
        <v>149</v>
      </c>
      <c r="J6" s="32" t="s">
        <v>150</v>
      </c>
      <c r="K6" s="31" t="s">
        <v>151</v>
      </c>
      <c r="L6" s="31" t="s">
        <v>152</v>
      </c>
      <c r="M6" s="31" t="s">
        <v>153</v>
      </c>
      <c r="N6" s="33" t="s">
        <v>154</v>
      </c>
      <c r="O6" s="34"/>
    </row>
    <row r="7">
      <c r="A7" s="27" t="s">
        <v>69</v>
      </c>
      <c r="B7" s="28" t="s">
        <v>16</v>
      </c>
      <c r="C7" s="35" t="s">
        <v>155</v>
      </c>
      <c r="D7" s="29" t="s">
        <v>156</v>
      </c>
      <c r="E7" s="29" t="s">
        <v>157</v>
      </c>
      <c r="F7" s="29" t="s">
        <v>158</v>
      </c>
      <c r="G7" s="30" t="s">
        <v>159</v>
      </c>
      <c r="H7" s="29" t="s">
        <v>160</v>
      </c>
      <c r="I7" s="31" t="s">
        <v>161</v>
      </c>
      <c r="J7" s="32" t="s">
        <v>162</v>
      </c>
      <c r="K7" s="31" t="s">
        <v>163</v>
      </c>
      <c r="L7" s="31" t="s">
        <v>164</v>
      </c>
      <c r="M7" s="31" t="s">
        <v>165</v>
      </c>
      <c r="N7" s="33" t="s">
        <v>166</v>
      </c>
      <c r="O7" s="34"/>
    </row>
    <row r="8">
      <c r="A8" s="27" t="s">
        <v>82</v>
      </c>
      <c r="B8" s="28" t="s">
        <v>16</v>
      </c>
      <c r="C8" s="47" t="s">
        <v>167</v>
      </c>
      <c r="D8" s="15" t="s">
        <v>168</v>
      </c>
      <c r="E8" s="15" t="s">
        <v>169</v>
      </c>
      <c r="F8" s="15" t="s">
        <v>170</v>
      </c>
      <c r="G8" s="16" t="s">
        <v>170</v>
      </c>
      <c r="H8" s="15" t="s">
        <v>171</v>
      </c>
      <c r="I8" s="33" t="s">
        <v>172</v>
      </c>
      <c r="J8" s="42" t="s">
        <v>173</v>
      </c>
      <c r="K8" s="33" t="s">
        <v>174</v>
      </c>
      <c r="L8" s="33" t="s">
        <v>175</v>
      </c>
      <c r="M8" s="33" t="s">
        <v>176</v>
      </c>
      <c r="N8" s="33" t="s">
        <v>177</v>
      </c>
      <c r="O8" s="34"/>
    </row>
    <row r="9">
      <c r="A9" s="41" t="s">
        <v>94</v>
      </c>
      <c r="B9" s="14" t="s">
        <v>16</v>
      </c>
      <c r="C9" s="15" t="s">
        <v>178</v>
      </c>
      <c r="D9" s="15" t="s">
        <v>179</v>
      </c>
      <c r="E9" s="15" t="s">
        <v>180</v>
      </c>
      <c r="F9" s="15" t="s">
        <v>181</v>
      </c>
      <c r="G9" s="16" t="s">
        <v>182</v>
      </c>
      <c r="H9" s="15" t="s">
        <v>183</v>
      </c>
      <c r="I9" s="40" t="s">
        <v>184</v>
      </c>
      <c r="J9" s="42" t="s">
        <v>185</v>
      </c>
      <c r="K9" s="33" t="s">
        <v>186</v>
      </c>
      <c r="L9" s="33" t="s">
        <v>187</v>
      </c>
      <c r="M9" s="40" t="s">
        <v>188</v>
      </c>
      <c r="N9" s="40" t="s">
        <v>189</v>
      </c>
      <c r="O9" s="18"/>
    </row>
  </sheetData>
  <mergeCells count="7">
    <mergeCell ref="A1:A2"/>
    <mergeCell ref="B1:B2"/>
    <mergeCell ref="C1:J1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16" max="16" width="16.13"/>
  </cols>
  <sheetData>
    <row r="1">
      <c r="A1" s="19" t="s">
        <v>0</v>
      </c>
      <c r="B1" s="19" t="s">
        <v>1</v>
      </c>
      <c r="C1" s="20" t="s">
        <v>2</v>
      </c>
      <c r="D1" s="3"/>
      <c r="E1" s="3"/>
      <c r="F1" s="3"/>
      <c r="G1" s="3"/>
      <c r="H1" s="3"/>
      <c r="I1" s="3"/>
      <c r="J1" s="3"/>
      <c r="K1" s="3"/>
      <c r="L1" s="3"/>
      <c r="M1" s="4"/>
      <c r="N1" s="21" t="s">
        <v>3</v>
      </c>
      <c r="O1" s="19" t="s">
        <v>4</v>
      </c>
      <c r="P1" s="19" t="s">
        <v>5</v>
      </c>
      <c r="Q1" s="21" t="s">
        <v>6</v>
      </c>
      <c r="R1" s="22"/>
    </row>
    <row r="2">
      <c r="A2" s="6"/>
      <c r="B2" s="6"/>
      <c r="C2" s="23" t="s">
        <v>7</v>
      </c>
      <c r="D2" s="23" t="s">
        <v>8</v>
      </c>
      <c r="E2" s="23" t="s">
        <v>9</v>
      </c>
      <c r="F2" s="48" t="s">
        <v>190</v>
      </c>
      <c r="G2" s="49" t="s">
        <v>191</v>
      </c>
      <c r="H2" s="49" t="s">
        <v>192</v>
      </c>
      <c r="I2" s="49" t="s">
        <v>193</v>
      </c>
      <c r="J2" s="24" t="s">
        <v>11</v>
      </c>
      <c r="K2" s="25" t="s">
        <v>12</v>
      </c>
      <c r="L2" s="26" t="s">
        <v>13</v>
      </c>
      <c r="M2" s="26" t="s">
        <v>14</v>
      </c>
      <c r="N2" s="11"/>
      <c r="O2" s="12"/>
      <c r="P2" s="12"/>
      <c r="Q2" s="11"/>
      <c r="R2" s="22"/>
    </row>
    <row r="3">
      <c r="A3" s="27" t="s">
        <v>18</v>
      </c>
      <c r="B3" s="28" t="s">
        <v>16</v>
      </c>
      <c r="C3" s="35">
        <v>0.696</v>
      </c>
      <c r="D3" s="29">
        <v>0.687</v>
      </c>
      <c r="E3" s="14">
        <v>0.653</v>
      </c>
      <c r="F3" s="29">
        <v>0.697</v>
      </c>
      <c r="G3" s="30">
        <f t="shared" ref="G3:G9" si="1"> (2*N3)/(2*N3 + O3 + P3)</f>
        <v>0.5051020408</v>
      </c>
      <c r="H3" s="30">
        <f t="shared" ref="H3:H9" si="2"> (2*Q3)/(2*Q3 + O3 + P3)</f>
        <v>0.7706855792</v>
      </c>
      <c r="I3" s="30">
        <f t="shared" ref="I3:I9" si="3"> MEDIAN(G3,H3)</f>
        <v>0.63789381</v>
      </c>
      <c r="J3" s="36">
        <v>0.717</v>
      </c>
      <c r="K3" s="14">
        <v>0.286</v>
      </c>
      <c r="L3" s="31">
        <v>0.728</v>
      </c>
      <c r="M3" s="45">
        <v>0.819</v>
      </c>
      <c r="N3" s="46">
        <v>99.0</v>
      </c>
      <c r="O3" s="46">
        <v>72.0</v>
      </c>
      <c r="P3" s="31">
        <v>122.0</v>
      </c>
      <c r="Q3" s="33">
        <v>326.0</v>
      </c>
      <c r="R3" s="34"/>
    </row>
    <row r="4">
      <c r="A4" s="27" t="s">
        <v>31</v>
      </c>
      <c r="B4" s="28" t="s">
        <v>16</v>
      </c>
      <c r="C4" s="35">
        <v>0.659</v>
      </c>
      <c r="D4" s="14">
        <v>0.727</v>
      </c>
      <c r="E4" s="14">
        <v>0.638</v>
      </c>
      <c r="F4" s="14">
        <v>0.721</v>
      </c>
      <c r="G4" s="30">
        <f t="shared" si="1"/>
        <v>0.4702194357</v>
      </c>
      <c r="H4" s="30">
        <f t="shared" si="2"/>
        <v>0.8161044614</v>
      </c>
      <c r="I4" s="30">
        <f t="shared" si="3"/>
        <v>0.6431619486</v>
      </c>
      <c r="J4" s="36">
        <v>0.716</v>
      </c>
      <c r="K4" s="14">
        <v>0.289</v>
      </c>
      <c r="L4" s="46">
        <v>0.837</v>
      </c>
      <c r="M4" s="32">
        <v>0.796</v>
      </c>
      <c r="N4" s="31">
        <v>75.0</v>
      </c>
      <c r="O4" s="31">
        <v>96.0</v>
      </c>
      <c r="P4" s="46">
        <v>73.0</v>
      </c>
      <c r="Q4" s="40">
        <v>375.0</v>
      </c>
      <c r="R4" s="34"/>
    </row>
    <row r="5">
      <c r="A5" s="27" t="s">
        <v>43</v>
      </c>
      <c r="B5" s="28" t="s">
        <v>16</v>
      </c>
      <c r="C5" s="35">
        <v>0.658</v>
      </c>
      <c r="D5" s="14">
        <v>0.712</v>
      </c>
      <c r="E5" s="29">
        <v>0.621</v>
      </c>
      <c r="F5" s="29">
        <v>0.705</v>
      </c>
      <c r="G5" s="30">
        <f t="shared" si="1"/>
        <v>0.4458204334</v>
      </c>
      <c r="H5" s="30">
        <f t="shared" si="2"/>
        <v>0.8043715847</v>
      </c>
      <c r="I5" s="30">
        <f t="shared" si="3"/>
        <v>0.6250960091</v>
      </c>
      <c r="J5" s="30">
        <v>0.701</v>
      </c>
      <c r="K5" s="29">
        <v>0.252</v>
      </c>
      <c r="L5" s="46">
        <v>0.821</v>
      </c>
      <c r="M5" s="45">
        <v>0.788</v>
      </c>
      <c r="N5" s="31">
        <v>72.0</v>
      </c>
      <c r="O5" s="31">
        <v>99.0</v>
      </c>
      <c r="P5" s="46">
        <v>80.0</v>
      </c>
      <c r="Q5" s="40">
        <v>368.0</v>
      </c>
      <c r="R5" s="34"/>
    </row>
    <row r="6">
      <c r="A6" s="27" t="s">
        <v>56</v>
      </c>
      <c r="B6" s="28" t="s">
        <v>16</v>
      </c>
      <c r="C6" s="35">
        <v>0.684</v>
      </c>
      <c r="D6" s="14">
        <v>0.727</v>
      </c>
      <c r="E6" s="14">
        <v>0.652</v>
      </c>
      <c r="F6" s="14">
        <v>0.725</v>
      </c>
      <c r="G6" s="30">
        <f t="shared" si="1"/>
        <v>0.4955223881</v>
      </c>
      <c r="H6" s="30">
        <f t="shared" si="2"/>
        <v>0.8128460687</v>
      </c>
      <c r="I6" s="30">
        <f t="shared" si="3"/>
        <v>0.6541842284</v>
      </c>
      <c r="J6" s="36">
        <v>0.724</v>
      </c>
      <c r="K6" s="14">
        <v>0.309</v>
      </c>
      <c r="L6" s="46">
        <v>0.819</v>
      </c>
      <c r="M6" s="45">
        <v>0.807</v>
      </c>
      <c r="N6" s="46">
        <v>83.0</v>
      </c>
      <c r="O6" s="46">
        <v>88.0</v>
      </c>
      <c r="P6" s="46">
        <v>81.0</v>
      </c>
      <c r="Q6" s="40">
        <v>367.0</v>
      </c>
      <c r="R6" s="34"/>
    </row>
    <row r="7">
      <c r="A7" s="27" t="s">
        <v>69</v>
      </c>
      <c r="B7" s="28" t="s">
        <v>16</v>
      </c>
      <c r="C7" s="35">
        <v>0.673</v>
      </c>
      <c r="D7" s="29">
        <v>0.704</v>
      </c>
      <c r="E7" s="29">
        <v>0.626</v>
      </c>
      <c r="F7" s="29">
        <v>0.703</v>
      </c>
      <c r="G7" s="30">
        <f t="shared" si="1"/>
        <v>0.4569732938</v>
      </c>
      <c r="H7" s="30">
        <f t="shared" si="2"/>
        <v>0.7968923418</v>
      </c>
      <c r="I7" s="30">
        <f t="shared" si="3"/>
        <v>0.6269328178</v>
      </c>
      <c r="J7" s="30">
        <v>0.702</v>
      </c>
      <c r="K7" s="29">
        <v>0.254</v>
      </c>
      <c r="L7" s="31">
        <v>0.801</v>
      </c>
      <c r="M7" s="32">
        <v>0.792</v>
      </c>
      <c r="N7" s="31">
        <v>77.0</v>
      </c>
      <c r="O7" s="31">
        <v>94.0</v>
      </c>
      <c r="P7" s="31">
        <v>89.0</v>
      </c>
      <c r="Q7" s="33">
        <v>359.0</v>
      </c>
      <c r="R7" s="34"/>
    </row>
    <row r="8">
      <c r="A8" s="27" t="s">
        <v>82</v>
      </c>
      <c r="B8" s="28" t="s">
        <v>16</v>
      </c>
      <c r="C8" s="37">
        <v>0.709</v>
      </c>
      <c r="D8" s="38">
        <v>0.724</v>
      </c>
      <c r="E8" s="15">
        <v>0.625</v>
      </c>
      <c r="F8" s="38">
        <v>0.714</v>
      </c>
      <c r="G8" s="30">
        <f t="shared" si="1"/>
        <v>0.4466019417</v>
      </c>
      <c r="H8" s="30">
        <f t="shared" si="2"/>
        <v>0.8159311087</v>
      </c>
      <c r="I8" s="30">
        <f t="shared" si="3"/>
        <v>0.6312665252</v>
      </c>
      <c r="J8" s="50">
        <v>0.708</v>
      </c>
      <c r="K8" s="15">
        <v>0.268</v>
      </c>
      <c r="L8" s="40">
        <v>0.846</v>
      </c>
      <c r="M8" s="42">
        <v>0.788</v>
      </c>
      <c r="N8" s="33">
        <v>69.0</v>
      </c>
      <c r="O8" s="33">
        <v>102.0</v>
      </c>
      <c r="P8" s="40">
        <v>69.0</v>
      </c>
      <c r="Q8" s="40">
        <v>379.0</v>
      </c>
      <c r="R8" s="34"/>
    </row>
    <row r="9">
      <c r="A9" s="41" t="s">
        <v>94</v>
      </c>
      <c r="B9" s="14" t="s">
        <v>16</v>
      </c>
      <c r="C9" s="15">
        <v>0.682</v>
      </c>
      <c r="D9" s="15">
        <v>0.709</v>
      </c>
      <c r="E9" s="15">
        <v>0.597</v>
      </c>
      <c r="F9" s="15">
        <v>0.695</v>
      </c>
      <c r="G9" s="30">
        <f t="shared" si="1"/>
        <v>0.3959731544</v>
      </c>
      <c r="H9" s="30">
        <f t="shared" si="2"/>
        <v>0.8085106383</v>
      </c>
      <c r="I9" s="30">
        <f t="shared" si="3"/>
        <v>0.6022418963</v>
      </c>
      <c r="J9" s="16">
        <v>0.687</v>
      </c>
      <c r="K9" s="15">
        <v>0.214</v>
      </c>
      <c r="L9" s="40">
        <v>0.848</v>
      </c>
      <c r="M9" s="42">
        <v>0.772</v>
      </c>
      <c r="N9" s="33">
        <v>59.0</v>
      </c>
      <c r="O9" s="33">
        <v>112.0</v>
      </c>
      <c r="P9" s="40">
        <v>68.0</v>
      </c>
      <c r="Q9" s="40">
        <v>380.0</v>
      </c>
      <c r="R9" s="18"/>
    </row>
    <row r="10">
      <c r="G10" s="30"/>
      <c r="H10" s="30"/>
      <c r="I10" s="30"/>
    </row>
    <row r="11">
      <c r="A11" s="13" t="s">
        <v>15</v>
      </c>
      <c r="B11" s="14" t="s">
        <v>16</v>
      </c>
      <c r="C11" s="15">
        <v>0.734</v>
      </c>
      <c r="D11" s="15">
        <v>0.711</v>
      </c>
      <c r="E11" s="15">
        <v>0.634</v>
      </c>
      <c r="F11" s="15">
        <v>0.709</v>
      </c>
      <c r="G11" s="30">
        <f t="shared" ref="G11:G12" si="4"> (2*N11)/(2*N11 + O11 + P11)</f>
        <v>0.46884273</v>
      </c>
      <c r="H11" s="30">
        <f t="shared" ref="H11:H12" si="5"> (2*Q11)/(2*Q11 + O11 + P11)</f>
        <v>0.8013318535</v>
      </c>
      <c r="I11" s="30">
        <f t="shared" ref="I11:I12" si="6"> MEDIAN(G11,H11)</f>
        <v>0.6350872917</v>
      </c>
      <c r="J11" s="16">
        <v>0.708</v>
      </c>
      <c r="K11" s="15">
        <v>0.27</v>
      </c>
      <c r="L11" s="15">
        <v>0.806</v>
      </c>
      <c r="M11" s="17">
        <v>0.797</v>
      </c>
      <c r="N11" s="15">
        <v>79.0</v>
      </c>
      <c r="O11" s="15">
        <v>92.0</v>
      </c>
      <c r="P11" s="15">
        <v>87.0</v>
      </c>
      <c r="Q11" s="15">
        <v>361.0</v>
      </c>
      <c r="R11" s="18"/>
    </row>
    <row r="12">
      <c r="A12" s="13" t="s">
        <v>17</v>
      </c>
      <c r="B12" s="14" t="s">
        <v>16</v>
      </c>
      <c r="C12" s="15">
        <v>0.734</v>
      </c>
      <c r="D12" s="15">
        <v>0.743</v>
      </c>
      <c r="E12" s="15">
        <v>0.604</v>
      </c>
      <c r="F12" s="15">
        <v>0.713</v>
      </c>
      <c r="G12" s="30">
        <f t="shared" si="4"/>
        <v>0.3861003861</v>
      </c>
      <c r="H12" s="30">
        <f t="shared" si="5"/>
        <v>0.8375893769</v>
      </c>
      <c r="I12" s="30">
        <f t="shared" si="6"/>
        <v>0.6118448815</v>
      </c>
      <c r="J12" s="16">
        <v>0.716</v>
      </c>
      <c r="K12" s="15">
        <v>0.266</v>
      </c>
      <c r="L12" s="15">
        <v>0.915</v>
      </c>
      <c r="M12" s="17">
        <v>0.772</v>
      </c>
      <c r="N12" s="15">
        <v>50.0</v>
      </c>
      <c r="O12" s="15">
        <v>121.0</v>
      </c>
      <c r="P12" s="15">
        <v>38.0</v>
      </c>
      <c r="Q12" s="15">
        <v>410.0</v>
      </c>
    </row>
    <row r="13">
      <c r="G13" s="30"/>
      <c r="H13" s="30"/>
      <c r="I13" s="30"/>
    </row>
    <row r="14">
      <c r="A14" s="51" t="s">
        <v>194</v>
      </c>
      <c r="B14" s="14" t="s">
        <v>195</v>
      </c>
      <c r="C14" s="15">
        <v>0.732</v>
      </c>
      <c r="D14" s="15">
        <v>0.742</v>
      </c>
      <c r="E14" s="15">
        <v>0.594</v>
      </c>
      <c r="F14" s="15">
        <v>0.706</v>
      </c>
      <c r="G14" s="30">
        <f> (2*N14)/(2*N14 + O14 + P14)</f>
        <v>0.36</v>
      </c>
      <c r="H14" s="30">
        <f> (2*Q14)/(2*Q14 + O14 + P14)</f>
        <v>0.8380566802</v>
      </c>
      <c r="I14" s="30">
        <f> MEDIAN(G14,H14)</f>
        <v>0.5990283401</v>
      </c>
      <c r="J14" s="16">
        <v>0.712</v>
      </c>
      <c r="K14" s="15">
        <v>0.251</v>
      </c>
      <c r="L14" s="15">
        <v>0.924</v>
      </c>
      <c r="M14" s="17">
        <v>0.767</v>
      </c>
      <c r="N14" s="15">
        <v>45.0</v>
      </c>
      <c r="O14" s="15">
        <v>126.0</v>
      </c>
      <c r="P14" s="15">
        <v>34.0</v>
      </c>
      <c r="Q14" s="15">
        <v>414.0</v>
      </c>
    </row>
  </sheetData>
  <mergeCells count="7">
    <mergeCell ref="A1:A2"/>
    <mergeCell ref="B1:B2"/>
    <mergeCell ref="C1:M1"/>
    <mergeCell ref="N1:N2"/>
    <mergeCell ref="O1:O2"/>
    <mergeCell ref="P1:P2"/>
    <mergeCell ref="Q1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14" max="14" width="18.75"/>
  </cols>
  <sheetData>
    <row r="1">
      <c r="A1" s="52" t="s">
        <v>0</v>
      </c>
      <c r="B1" s="53" t="s">
        <v>1</v>
      </c>
      <c r="C1" s="54" t="s">
        <v>2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>
      <c r="A2" s="6"/>
      <c r="B2" s="56"/>
      <c r="C2" s="57" t="s">
        <v>7</v>
      </c>
      <c r="D2" s="58" t="s">
        <v>8</v>
      </c>
      <c r="E2" s="58" t="s">
        <v>9</v>
      </c>
      <c r="F2" s="58" t="s">
        <v>10</v>
      </c>
      <c r="G2" s="58" t="s">
        <v>11</v>
      </c>
      <c r="H2" s="58" t="s">
        <v>12</v>
      </c>
      <c r="I2" s="58" t="s">
        <v>13</v>
      </c>
      <c r="J2" s="58" t="s">
        <v>14</v>
      </c>
      <c r="K2" s="58" t="s">
        <v>196</v>
      </c>
      <c r="L2" s="58" t="s">
        <v>4</v>
      </c>
      <c r="M2" s="58" t="s">
        <v>5</v>
      </c>
      <c r="N2" s="58" t="s">
        <v>197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>
      <c r="A3" s="23" t="s">
        <v>198</v>
      </c>
      <c r="B3" s="59" t="s">
        <v>195</v>
      </c>
      <c r="C3" s="60" t="s">
        <v>199</v>
      </c>
      <c r="D3" s="60" t="s">
        <v>200</v>
      </c>
      <c r="E3" s="60" t="s">
        <v>201</v>
      </c>
      <c r="F3" s="60" t="s">
        <v>202</v>
      </c>
      <c r="G3" s="61" t="s">
        <v>203</v>
      </c>
      <c r="H3" s="60" t="s">
        <v>204</v>
      </c>
      <c r="I3" s="61" t="s">
        <v>205</v>
      </c>
      <c r="J3" s="60" t="s">
        <v>206</v>
      </c>
      <c r="K3" s="60" t="s">
        <v>207</v>
      </c>
      <c r="L3" s="60" t="s">
        <v>208</v>
      </c>
      <c r="M3" s="62" t="s">
        <v>209</v>
      </c>
      <c r="N3" s="60" t="s">
        <v>210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>
      <c r="A4" s="23" t="s">
        <v>211</v>
      </c>
      <c r="B4" s="59" t="s">
        <v>195</v>
      </c>
      <c r="C4" s="60" t="s">
        <v>212</v>
      </c>
      <c r="D4" s="60" t="s">
        <v>213</v>
      </c>
      <c r="E4" s="60" t="s">
        <v>214</v>
      </c>
      <c r="F4" s="60" t="s">
        <v>215</v>
      </c>
      <c r="G4" s="61" t="s">
        <v>216</v>
      </c>
      <c r="H4" s="60" t="s">
        <v>217</v>
      </c>
      <c r="I4" s="61" t="s">
        <v>218</v>
      </c>
      <c r="J4" s="60" t="s">
        <v>219</v>
      </c>
      <c r="K4" s="60" t="s">
        <v>220</v>
      </c>
      <c r="L4" s="60" t="s">
        <v>221</v>
      </c>
      <c r="M4" s="62" t="s">
        <v>222</v>
      </c>
      <c r="N4" s="60" t="s">
        <v>223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>
      <c r="A5" s="23" t="s">
        <v>224</v>
      </c>
      <c r="B5" s="59" t="s">
        <v>195</v>
      </c>
      <c r="C5" s="63" t="s">
        <v>225</v>
      </c>
      <c r="D5" s="60" t="s">
        <v>226</v>
      </c>
      <c r="E5" s="63" t="s">
        <v>227</v>
      </c>
      <c r="F5" s="63" t="s">
        <v>228</v>
      </c>
      <c r="G5" s="61" t="s">
        <v>229</v>
      </c>
      <c r="H5" s="63" t="s">
        <v>230</v>
      </c>
      <c r="I5" s="61" t="s">
        <v>231</v>
      </c>
      <c r="J5" s="63" t="s">
        <v>232</v>
      </c>
      <c r="K5" s="63" t="s">
        <v>233</v>
      </c>
      <c r="L5" s="63" t="s">
        <v>234</v>
      </c>
      <c r="M5" s="62" t="s">
        <v>235</v>
      </c>
      <c r="N5" s="60" t="s">
        <v>236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23" t="s">
        <v>237</v>
      </c>
      <c r="B6" s="59" t="s">
        <v>195</v>
      </c>
      <c r="C6" s="60" t="s">
        <v>238</v>
      </c>
      <c r="D6" s="63" t="s">
        <v>239</v>
      </c>
      <c r="E6" s="60" t="s">
        <v>240</v>
      </c>
      <c r="F6" s="60" t="s">
        <v>241</v>
      </c>
      <c r="G6" s="64" t="s">
        <v>242</v>
      </c>
      <c r="H6" s="60" t="s">
        <v>243</v>
      </c>
      <c r="I6" s="64" t="s">
        <v>244</v>
      </c>
      <c r="J6" s="60" t="s">
        <v>245</v>
      </c>
      <c r="K6" s="60" t="s">
        <v>246</v>
      </c>
      <c r="L6" s="60" t="s">
        <v>247</v>
      </c>
      <c r="M6" s="65" t="s">
        <v>248</v>
      </c>
      <c r="N6" s="63" t="s">
        <v>249</v>
      </c>
      <c r="O6" s="66"/>
      <c r="P6" s="43"/>
      <c r="Q6" s="43"/>
      <c r="R6" s="43"/>
      <c r="S6" s="43"/>
      <c r="T6" s="43"/>
      <c r="U6" s="43"/>
      <c r="V6" s="43"/>
      <c r="W6" s="43"/>
      <c r="X6" s="43"/>
      <c r="Y6" s="43"/>
    </row>
    <row r="7">
      <c r="A7" s="23" t="s">
        <v>194</v>
      </c>
      <c r="B7" s="59" t="s">
        <v>195</v>
      </c>
      <c r="C7" s="60" t="s">
        <v>250</v>
      </c>
      <c r="D7" s="60" t="s">
        <v>251</v>
      </c>
      <c r="E7" s="60" t="s">
        <v>252</v>
      </c>
      <c r="F7" s="63" t="s">
        <v>253</v>
      </c>
      <c r="G7" s="61" t="s">
        <v>254</v>
      </c>
      <c r="H7" s="60" t="s">
        <v>255</v>
      </c>
      <c r="I7" s="61" t="s">
        <v>256</v>
      </c>
      <c r="J7" s="60" t="s">
        <v>257</v>
      </c>
      <c r="K7" s="60" t="s">
        <v>258</v>
      </c>
      <c r="L7" s="60" t="s">
        <v>259</v>
      </c>
      <c r="M7" s="62" t="s">
        <v>260</v>
      </c>
      <c r="N7" s="60" t="s">
        <v>261</v>
      </c>
      <c r="O7" s="66"/>
      <c r="P7" s="43"/>
      <c r="Q7" s="43"/>
      <c r="R7" s="43"/>
      <c r="S7" s="43"/>
      <c r="T7" s="43"/>
      <c r="U7" s="43"/>
      <c r="V7" s="43"/>
      <c r="W7" s="43"/>
      <c r="X7" s="43"/>
      <c r="Y7" s="43"/>
    </row>
    <row r="8">
      <c r="A8" s="23" t="s">
        <v>262</v>
      </c>
      <c r="B8" s="59" t="s">
        <v>195</v>
      </c>
      <c r="C8" s="60" t="s">
        <v>263</v>
      </c>
      <c r="D8" s="60" t="s">
        <v>264</v>
      </c>
      <c r="E8" s="60" t="s">
        <v>265</v>
      </c>
      <c r="F8" s="60" t="s">
        <v>266</v>
      </c>
      <c r="G8" s="61" t="s">
        <v>267</v>
      </c>
      <c r="H8" s="60" t="s">
        <v>268</v>
      </c>
      <c r="I8" s="61" t="s">
        <v>269</v>
      </c>
      <c r="J8" s="60" t="s">
        <v>270</v>
      </c>
      <c r="K8" s="60" t="s">
        <v>271</v>
      </c>
      <c r="L8" s="60" t="s">
        <v>272</v>
      </c>
      <c r="M8" s="62" t="s">
        <v>273</v>
      </c>
      <c r="N8" s="60" t="s">
        <v>274</v>
      </c>
      <c r="O8" s="66"/>
      <c r="P8" s="43"/>
      <c r="Q8" s="43"/>
      <c r="R8" s="43"/>
      <c r="S8" s="43"/>
      <c r="T8" s="43"/>
      <c r="U8" s="43"/>
      <c r="V8" s="43"/>
      <c r="W8" s="43"/>
      <c r="X8" s="43"/>
      <c r="Y8" s="43"/>
    </row>
    <row r="9">
      <c r="A9" s="23" t="s">
        <v>275</v>
      </c>
      <c r="B9" s="59" t="s">
        <v>195</v>
      </c>
      <c r="C9" s="60" t="s">
        <v>276</v>
      </c>
      <c r="D9" s="60" t="s">
        <v>277</v>
      </c>
      <c r="E9" s="60" t="s">
        <v>278</v>
      </c>
      <c r="F9" s="60" t="s">
        <v>279</v>
      </c>
      <c r="G9" s="61" t="s">
        <v>280</v>
      </c>
      <c r="H9" s="60" t="s">
        <v>281</v>
      </c>
      <c r="I9" s="61" t="s">
        <v>282</v>
      </c>
      <c r="J9" s="60" t="s">
        <v>283</v>
      </c>
      <c r="K9" s="60" t="s">
        <v>284</v>
      </c>
      <c r="L9" s="60" t="s">
        <v>285</v>
      </c>
      <c r="M9" s="62" t="s">
        <v>286</v>
      </c>
      <c r="N9" s="60" t="s">
        <v>287</v>
      </c>
      <c r="O9" s="66"/>
      <c r="P9" s="43"/>
      <c r="Q9" s="43"/>
      <c r="R9" s="43"/>
      <c r="S9" s="43"/>
      <c r="T9" s="43"/>
      <c r="U9" s="43"/>
      <c r="V9" s="43"/>
      <c r="W9" s="43"/>
      <c r="X9" s="43"/>
      <c r="Y9" s="43"/>
    </row>
  </sheetData>
  <mergeCells count="3">
    <mergeCell ref="A1:A2"/>
    <mergeCell ref="B1:B2"/>
    <mergeCell ref="C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11" max="11" width="15.75"/>
    <col customWidth="1" min="12" max="12" width="15.63"/>
    <col customWidth="1" min="13" max="13" width="16.88"/>
    <col customWidth="1" min="14" max="14" width="21.75"/>
  </cols>
  <sheetData>
    <row r="1">
      <c r="A1" s="19" t="s">
        <v>0</v>
      </c>
      <c r="B1" s="19" t="s">
        <v>1</v>
      </c>
      <c r="C1" s="20" t="s">
        <v>2</v>
      </c>
      <c r="D1" s="3"/>
      <c r="E1" s="3"/>
      <c r="F1" s="3"/>
      <c r="G1" s="3"/>
      <c r="H1" s="3"/>
      <c r="I1" s="3"/>
      <c r="J1" s="4"/>
      <c r="K1" s="21" t="s">
        <v>3</v>
      </c>
      <c r="L1" s="19" t="s">
        <v>4</v>
      </c>
      <c r="M1" s="19" t="s">
        <v>5</v>
      </c>
      <c r="N1" s="21" t="s">
        <v>6</v>
      </c>
    </row>
    <row r="2">
      <c r="A2" s="6"/>
      <c r="B2" s="6"/>
      <c r="C2" s="23" t="s">
        <v>7</v>
      </c>
      <c r="D2" s="23" t="s">
        <v>8</v>
      </c>
      <c r="E2" s="23" t="s">
        <v>9</v>
      </c>
      <c r="F2" s="23" t="s">
        <v>10</v>
      </c>
      <c r="G2" s="24" t="s">
        <v>11</v>
      </c>
      <c r="H2" s="25" t="s">
        <v>12</v>
      </c>
      <c r="I2" s="26" t="s">
        <v>13</v>
      </c>
      <c r="J2" s="26" t="s">
        <v>14</v>
      </c>
      <c r="K2" s="11"/>
      <c r="L2" s="12"/>
      <c r="M2" s="12"/>
      <c r="N2" s="11"/>
    </row>
    <row r="3">
      <c r="A3" s="67" t="s">
        <v>288</v>
      </c>
      <c r="B3" s="68" t="s">
        <v>289</v>
      </c>
      <c r="C3" s="69" t="s">
        <v>290</v>
      </c>
      <c r="D3" s="70" t="s">
        <v>291</v>
      </c>
      <c r="E3" s="70" t="s">
        <v>292</v>
      </c>
      <c r="F3" s="70" t="s">
        <v>293</v>
      </c>
      <c r="G3" s="71" t="s">
        <v>294</v>
      </c>
      <c r="H3" s="70" t="s">
        <v>295</v>
      </c>
      <c r="I3" s="72" t="s">
        <v>296</v>
      </c>
      <c r="J3" s="73" t="s">
        <v>297</v>
      </c>
      <c r="K3" s="72" t="s">
        <v>298</v>
      </c>
      <c r="L3" s="72" t="s">
        <v>299</v>
      </c>
      <c r="M3" s="72" t="s">
        <v>300</v>
      </c>
      <c r="N3" s="74" t="s">
        <v>301</v>
      </c>
    </row>
    <row r="4">
      <c r="A4" s="67" t="s">
        <v>302</v>
      </c>
      <c r="B4" s="68" t="s">
        <v>289</v>
      </c>
      <c r="C4" s="69" t="s">
        <v>303</v>
      </c>
      <c r="D4" s="75" t="s">
        <v>304</v>
      </c>
      <c r="E4" s="70" t="s">
        <v>305</v>
      </c>
      <c r="F4" s="75" t="s">
        <v>306</v>
      </c>
      <c r="G4" s="76" t="s">
        <v>307</v>
      </c>
      <c r="H4" s="70" t="s">
        <v>308</v>
      </c>
      <c r="I4" s="77" t="s">
        <v>309</v>
      </c>
      <c r="J4" s="73" t="s">
        <v>310</v>
      </c>
      <c r="K4" s="72" t="s">
        <v>311</v>
      </c>
      <c r="L4" s="72" t="s">
        <v>312</v>
      </c>
      <c r="M4" s="77" t="s">
        <v>313</v>
      </c>
      <c r="N4" s="78" t="s">
        <v>314</v>
      </c>
    </row>
    <row r="5">
      <c r="A5" s="67" t="s">
        <v>315</v>
      </c>
      <c r="B5" s="68" t="s">
        <v>289</v>
      </c>
      <c r="C5" s="69" t="s">
        <v>316</v>
      </c>
      <c r="D5" s="70" t="s">
        <v>317</v>
      </c>
      <c r="E5" s="70" t="s">
        <v>318</v>
      </c>
      <c r="F5" s="70" t="s">
        <v>319</v>
      </c>
      <c r="G5" s="71" t="s">
        <v>320</v>
      </c>
      <c r="H5" s="70" t="s">
        <v>321</v>
      </c>
      <c r="I5" s="72" t="s">
        <v>322</v>
      </c>
      <c r="J5" s="73" t="s">
        <v>323</v>
      </c>
      <c r="K5" s="72" t="s">
        <v>324</v>
      </c>
      <c r="L5" s="72" t="s">
        <v>325</v>
      </c>
      <c r="M5" s="72" t="s">
        <v>326</v>
      </c>
      <c r="N5" s="74" t="s">
        <v>327</v>
      </c>
    </row>
    <row r="6">
      <c r="A6" s="67" t="s">
        <v>328</v>
      </c>
      <c r="B6" s="68" t="s">
        <v>289</v>
      </c>
      <c r="C6" s="68" t="s">
        <v>329</v>
      </c>
      <c r="D6" s="70" t="s">
        <v>330</v>
      </c>
      <c r="E6" s="75" t="s">
        <v>331</v>
      </c>
      <c r="F6" s="70" t="s">
        <v>332</v>
      </c>
      <c r="G6" s="71" t="s">
        <v>333</v>
      </c>
      <c r="H6" s="75" t="s">
        <v>334</v>
      </c>
      <c r="I6" s="72" t="s">
        <v>335</v>
      </c>
      <c r="J6" s="79" t="s">
        <v>122</v>
      </c>
      <c r="K6" s="77" t="s">
        <v>336</v>
      </c>
      <c r="L6" s="77" t="s">
        <v>337</v>
      </c>
      <c r="M6" s="72" t="s">
        <v>338</v>
      </c>
      <c r="N6" s="74" t="s">
        <v>339</v>
      </c>
    </row>
    <row r="7">
      <c r="A7" s="67" t="s">
        <v>340</v>
      </c>
      <c r="B7" s="68" t="s">
        <v>289</v>
      </c>
      <c r="C7" s="69" t="s">
        <v>341</v>
      </c>
      <c r="D7" s="70" t="s">
        <v>342</v>
      </c>
      <c r="E7" s="70" t="s">
        <v>343</v>
      </c>
      <c r="F7" s="70" t="s">
        <v>344</v>
      </c>
      <c r="G7" s="71" t="s">
        <v>345</v>
      </c>
      <c r="H7" s="70" t="s">
        <v>346</v>
      </c>
      <c r="I7" s="72" t="s">
        <v>347</v>
      </c>
      <c r="J7" s="73" t="s">
        <v>348</v>
      </c>
      <c r="K7" s="72" t="s">
        <v>349</v>
      </c>
      <c r="L7" s="72" t="s">
        <v>350</v>
      </c>
      <c r="M7" s="72" t="s">
        <v>351</v>
      </c>
      <c r="N7" s="74" t="s">
        <v>352</v>
      </c>
    </row>
    <row r="8">
      <c r="A8" s="67" t="s">
        <v>353</v>
      </c>
      <c r="B8" s="68" t="s">
        <v>289</v>
      </c>
      <c r="C8" s="69" t="s">
        <v>354</v>
      </c>
      <c r="D8" s="70" t="s">
        <v>355</v>
      </c>
      <c r="E8" s="75" t="s">
        <v>356</v>
      </c>
      <c r="F8" s="70" t="s">
        <v>357</v>
      </c>
      <c r="G8" s="71" t="s">
        <v>358</v>
      </c>
      <c r="H8" s="70" t="s">
        <v>359</v>
      </c>
      <c r="I8" s="72" t="s">
        <v>360</v>
      </c>
      <c r="J8" s="73" t="s">
        <v>361</v>
      </c>
      <c r="K8" s="72" t="s">
        <v>362</v>
      </c>
      <c r="L8" s="72" t="s">
        <v>363</v>
      </c>
      <c r="M8" s="72" t="s">
        <v>364</v>
      </c>
      <c r="N8" s="74" t="s">
        <v>365</v>
      </c>
    </row>
    <row r="9">
      <c r="A9" s="80" t="s">
        <v>366</v>
      </c>
      <c r="B9" s="75" t="s">
        <v>289</v>
      </c>
      <c r="C9" s="70" t="s">
        <v>367</v>
      </c>
      <c r="D9" s="70" t="s">
        <v>368</v>
      </c>
      <c r="E9" s="70" t="s">
        <v>369</v>
      </c>
      <c r="F9" s="70" t="s">
        <v>370</v>
      </c>
      <c r="G9" s="71" t="s">
        <v>371</v>
      </c>
      <c r="H9" s="70" t="s">
        <v>372</v>
      </c>
      <c r="I9" s="72" t="s">
        <v>373</v>
      </c>
      <c r="J9" s="73" t="s">
        <v>374</v>
      </c>
      <c r="K9" s="72" t="s">
        <v>375</v>
      </c>
      <c r="L9" s="72" t="s">
        <v>376</v>
      </c>
      <c r="M9" s="72" t="s">
        <v>377</v>
      </c>
      <c r="N9" s="74" t="s">
        <v>378</v>
      </c>
    </row>
  </sheetData>
  <mergeCells count="7">
    <mergeCell ref="A1:A2"/>
    <mergeCell ref="B1:B2"/>
    <mergeCell ref="C1:J1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11" max="11" width="20.5"/>
    <col customWidth="1" min="12" max="12" width="20.13"/>
    <col customWidth="1" min="13" max="13" width="18.13"/>
    <col customWidth="1" min="14" max="14" width="21.75"/>
  </cols>
  <sheetData>
    <row r="1">
      <c r="A1" s="19" t="s">
        <v>0</v>
      </c>
      <c r="B1" s="19" t="s">
        <v>1</v>
      </c>
      <c r="C1" s="20" t="s">
        <v>2</v>
      </c>
      <c r="D1" s="3"/>
      <c r="E1" s="3"/>
      <c r="F1" s="3"/>
      <c r="G1" s="3"/>
      <c r="H1" s="3"/>
      <c r="I1" s="3"/>
      <c r="J1" s="4"/>
      <c r="K1" s="21" t="s">
        <v>3</v>
      </c>
      <c r="L1" s="19" t="s">
        <v>4</v>
      </c>
      <c r="M1" s="19" t="s">
        <v>5</v>
      </c>
      <c r="N1" s="21" t="s">
        <v>6</v>
      </c>
    </row>
    <row r="2">
      <c r="A2" s="6"/>
      <c r="B2" s="6"/>
      <c r="C2" s="23" t="s">
        <v>7</v>
      </c>
      <c r="D2" s="23" t="s">
        <v>8</v>
      </c>
      <c r="E2" s="23" t="s">
        <v>9</v>
      </c>
      <c r="F2" s="23" t="s">
        <v>10</v>
      </c>
      <c r="G2" s="24" t="s">
        <v>11</v>
      </c>
      <c r="H2" s="25" t="s">
        <v>12</v>
      </c>
      <c r="I2" s="26" t="s">
        <v>13</v>
      </c>
      <c r="J2" s="26" t="s">
        <v>14</v>
      </c>
      <c r="K2" s="11"/>
      <c r="L2" s="12"/>
      <c r="M2" s="12"/>
      <c r="N2" s="11"/>
    </row>
    <row r="3">
      <c r="A3" s="67" t="s">
        <v>288</v>
      </c>
      <c r="B3" s="68" t="s">
        <v>289</v>
      </c>
      <c r="C3" s="69" t="s">
        <v>379</v>
      </c>
      <c r="D3" s="70" t="s">
        <v>380</v>
      </c>
      <c r="E3" s="70" t="s">
        <v>381</v>
      </c>
      <c r="F3" s="70" t="s">
        <v>382</v>
      </c>
      <c r="G3" s="76" t="s">
        <v>383</v>
      </c>
      <c r="H3" s="70" t="s">
        <v>384</v>
      </c>
      <c r="I3" s="72" t="s">
        <v>385</v>
      </c>
      <c r="J3" s="73" t="s">
        <v>386</v>
      </c>
      <c r="K3" s="72" t="s">
        <v>387</v>
      </c>
      <c r="L3" s="72" t="s">
        <v>388</v>
      </c>
      <c r="M3" s="72" t="s">
        <v>389</v>
      </c>
      <c r="N3" s="74" t="s">
        <v>390</v>
      </c>
    </row>
    <row r="4">
      <c r="A4" s="67" t="s">
        <v>302</v>
      </c>
      <c r="B4" s="68" t="s">
        <v>289</v>
      </c>
      <c r="C4" s="69" t="s">
        <v>391</v>
      </c>
      <c r="D4" s="70" t="s">
        <v>392</v>
      </c>
      <c r="E4" s="70" t="s">
        <v>393</v>
      </c>
      <c r="F4" s="70" t="s">
        <v>394</v>
      </c>
      <c r="G4" s="71" t="s">
        <v>395</v>
      </c>
      <c r="H4" s="70" t="s">
        <v>396</v>
      </c>
      <c r="I4" s="72" t="s">
        <v>397</v>
      </c>
      <c r="J4" s="73" t="s">
        <v>398</v>
      </c>
      <c r="K4" s="72" t="s">
        <v>399</v>
      </c>
      <c r="L4" s="72" t="s">
        <v>400</v>
      </c>
      <c r="M4" s="72" t="s">
        <v>401</v>
      </c>
      <c r="N4" s="74" t="s">
        <v>402</v>
      </c>
    </row>
    <row r="5">
      <c r="A5" s="67" t="s">
        <v>315</v>
      </c>
      <c r="B5" s="68" t="s">
        <v>289</v>
      </c>
      <c r="C5" s="69" t="s">
        <v>403</v>
      </c>
      <c r="D5" s="70" t="s">
        <v>404</v>
      </c>
      <c r="E5" s="70" t="s">
        <v>405</v>
      </c>
      <c r="F5" s="70" t="s">
        <v>406</v>
      </c>
      <c r="G5" s="76" t="s">
        <v>407</v>
      </c>
      <c r="H5" s="70" t="s">
        <v>408</v>
      </c>
      <c r="I5" s="72" t="s">
        <v>409</v>
      </c>
      <c r="J5" s="79" t="s">
        <v>410</v>
      </c>
      <c r="K5" s="77" t="s">
        <v>411</v>
      </c>
      <c r="L5" s="77" t="s">
        <v>412</v>
      </c>
      <c r="M5" s="72" t="s">
        <v>413</v>
      </c>
      <c r="N5" s="74" t="s">
        <v>414</v>
      </c>
    </row>
    <row r="6">
      <c r="A6" s="67" t="s">
        <v>328</v>
      </c>
      <c r="B6" s="68" t="s">
        <v>289</v>
      </c>
      <c r="C6" s="68" t="s">
        <v>415</v>
      </c>
      <c r="D6" s="70" t="s">
        <v>416</v>
      </c>
      <c r="E6" s="75" t="s">
        <v>417</v>
      </c>
      <c r="F6" s="70" t="s">
        <v>418</v>
      </c>
      <c r="G6" s="71" t="s">
        <v>419</v>
      </c>
      <c r="H6" s="75" t="s">
        <v>420</v>
      </c>
      <c r="I6" s="72" t="s">
        <v>421</v>
      </c>
      <c r="J6" s="73" t="s">
        <v>422</v>
      </c>
      <c r="K6" s="72" t="s">
        <v>423</v>
      </c>
      <c r="L6" s="72" t="s">
        <v>424</v>
      </c>
      <c r="M6" s="72" t="s">
        <v>425</v>
      </c>
      <c r="N6" s="74" t="s">
        <v>426</v>
      </c>
    </row>
    <row r="7">
      <c r="A7" s="67" t="s">
        <v>340</v>
      </c>
      <c r="B7" s="68" t="s">
        <v>289</v>
      </c>
      <c r="C7" s="69" t="s">
        <v>427</v>
      </c>
      <c r="D7" s="75" t="s">
        <v>428</v>
      </c>
      <c r="E7" s="70" t="s">
        <v>429</v>
      </c>
      <c r="F7" s="70" t="s">
        <v>430</v>
      </c>
      <c r="G7" s="71" t="s">
        <v>431</v>
      </c>
      <c r="H7" s="70" t="s">
        <v>432</v>
      </c>
      <c r="I7" s="77" t="s">
        <v>433</v>
      </c>
      <c r="J7" s="73" t="s">
        <v>434</v>
      </c>
      <c r="K7" s="72" t="s">
        <v>435</v>
      </c>
      <c r="L7" s="72" t="s">
        <v>436</v>
      </c>
      <c r="M7" s="77" t="s">
        <v>437</v>
      </c>
      <c r="N7" s="78" t="s">
        <v>438</v>
      </c>
    </row>
    <row r="8">
      <c r="A8" s="67" t="s">
        <v>353</v>
      </c>
      <c r="B8" s="68" t="s">
        <v>289</v>
      </c>
      <c r="C8" s="81" t="s">
        <v>439</v>
      </c>
      <c r="D8" s="82" t="s">
        <v>440</v>
      </c>
      <c r="E8" s="82" t="s">
        <v>441</v>
      </c>
      <c r="F8" s="83" t="s">
        <v>442</v>
      </c>
      <c r="G8" s="84" t="s">
        <v>443</v>
      </c>
      <c r="H8" s="82" t="s">
        <v>444</v>
      </c>
      <c r="I8" s="85" t="s">
        <v>445</v>
      </c>
      <c r="J8" s="86" t="s">
        <v>446</v>
      </c>
      <c r="K8" s="85" t="s">
        <v>447</v>
      </c>
      <c r="L8" s="85" t="s">
        <v>448</v>
      </c>
      <c r="M8" s="85" t="s">
        <v>449</v>
      </c>
      <c r="N8" s="87" t="s">
        <v>450</v>
      </c>
    </row>
    <row r="9">
      <c r="A9" s="80" t="s">
        <v>366</v>
      </c>
      <c r="B9" s="75" t="s">
        <v>289</v>
      </c>
      <c r="C9" s="70" t="s">
        <v>451</v>
      </c>
      <c r="D9" s="70" t="s">
        <v>452</v>
      </c>
      <c r="E9" s="70" t="s">
        <v>453</v>
      </c>
      <c r="F9" s="70" t="s">
        <v>454</v>
      </c>
      <c r="G9" s="71" t="s">
        <v>455</v>
      </c>
      <c r="H9" s="70" t="s">
        <v>456</v>
      </c>
      <c r="I9" s="72" t="s">
        <v>457</v>
      </c>
      <c r="J9" s="73" t="s">
        <v>458</v>
      </c>
      <c r="K9" s="72" t="s">
        <v>459</v>
      </c>
      <c r="L9" s="72" t="s">
        <v>460</v>
      </c>
      <c r="M9" s="72" t="s">
        <v>461</v>
      </c>
      <c r="N9" s="74" t="s">
        <v>462</v>
      </c>
    </row>
  </sheetData>
  <mergeCells count="7">
    <mergeCell ref="A1:A2"/>
    <mergeCell ref="B1:B2"/>
    <mergeCell ref="C1:J1"/>
    <mergeCell ref="K1:K2"/>
    <mergeCell ref="L1:L2"/>
    <mergeCell ref="M1:M2"/>
    <mergeCell ref="N1:N2"/>
  </mergeCells>
  <drawing r:id="rId1"/>
</worksheet>
</file>