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Final-Model" sheetId="2" r:id="rId6"/>
    <sheet state="visible" name="config4_features" sheetId="3" r:id="rId7"/>
    <sheet state="visible" name="Papper" sheetId="4" r:id="rId8"/>
    <sheet state="visible" name="edca-all-data (30 seeds)" sheetId="5" r:id="rId9"/>
    <sheet state="visible" name="edca-all-features (30 seeds)" sheetId="6" r:id="rId10"/>
    <sheet state="visible" name="edca-all-samples (30 seeds)" sheetId="7" r:id="rId11"/>
    <sheet state="visible" name="edca-selection (30 seeds)" sheetId="8" r:id="rId12"/>
    <sheet state="visible" name="all-tab-features" sheetId="9" r:id="rId13"/>
    <sheet state="visible" name="selected-tab-features" sheetId="10" r:id="rId14"/>
    <sheet state="visible" name="all-img-features" sheetId="11" r:id="rId15"/>
    <sheet state="visible" name="selected-img-features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tc={15f641b4-fe92-41c3-9171-a7e4b1814e75}</author>
    <author>tc={2fb96612-067b-42e1-a715-7103da5fe532}</author>
    <author>tc={5aea6760-106d-4de9-b5ef-d5bb633ba525}</author>
    <author>tc={5efab422-ed60-4e78-9898-25ff5b9dbc47}</author>
  </authors>
  <commentList>
    <comment authorId="0" xr:uid="{15f641b4-fe92-41c3-9171-a7e4b1814e75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treino com todas as samples e apenas as features de imagem
</t>
      </text>
    </comment>
    <comment authorId="1" xr:uid="{2fb96612-067b-42e1-a715-7103da5fe532}" ref="E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treino com todas as samples e apenas as features de imagem selecionadas
</t>
      </text>
    </comment>
    <comment authorId="2" xr:uid="{5aea6760-106d-4de9-b5ef-d5bb633ba525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treino com todas as samples e apenas as features tabulares selecionadas
</t>
      </text>
    </comment>
    <comment authorId="3" xr:uid="{5efab422-ed60-4e78-9898-25ff5b9dbc47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treino com todas as samples e apenas as features tabulares
</t>
      </text>
    </comment>
  </commentList>
</comments>
</file>

<file path=xl/sharedStrings.xml><?xml version="1.0" encoding="utf-8"?>
<sst xmlns="http://schemas.openxmlformats.org/spreadsheetml/2006/main" count="739" uniqueCount="251">
  <si>
    <t>Nome Experiência</t>
  </si>
  <si>
    <t xml:space="preserve">Config </t>
  </si>
  <si>
    <t>Dataset</t>
  </si>
  <si>
    <t>Balanced Accuracy</t>
  </si>
  <si>
    <t>Precision</t>
  </si>
  <si>
    <t>Recall</t>
  </si>
  <si>
    <t>F1-score</t>
  </si>
  <si>
    <t>ROC AUC</t>
  </si>
  <si>
    <t>Matthews corrcoef</t>
  </si>
  <si>
    <t>NPV</t>
  </si>
  <si>
    <t>Specificity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</si>
  <si>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</si>
  <si>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t>FN</t>
  </si>
  <si>
    <t>FP</t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</si>
  <si>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</si>
  <si>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Classificador</t>
  </si>
  <si>
    <t>Run</t>
  </si>
  <si>
    <t>Results</t>
  </si>
  <si>
    <t>FTTranformer + MedViTV2-nopretrained</t>
  </si>
  <si>
    <t>image + projected tabular</t>
  </si>
  <si>
    <t>config i) (30 seeds)</t>
  </si>
  <si>
    <t>População = 25
Iterações = 500
n_jobs = 1
early stop = 100
com MLP</t>
  </si>
  <si>
    <t>image emb + tabular emb</t>
  </si>
  <si>
    <t>mean</t>
  </si>
  <si>
    <t>edca-all-data</t>
  </si>
  <si>
    <t>edca-all-features</t>
  </si>
  <si>
    <t>edca-all-samples</t>
  </si>
  <si>
    <t>all-tab-features</t>
  </si>
  <si>
    <t>selected-tab-features</t>
  </si>
  <si>
    <t>all-img-features</t>
  </si>
  <si>
    <t>selected-img-features</t>
  </si>
  <si>
    <t>edca</t>
  </si>
  <si>
    <t>max</t>
  </si>
  <si>
    <t>RandomForestClassifier</t>
  </si>
  <si>
    <t>exp_2026-02-20 01:50:39.609748</t>
  </si>
  <si>
    <t>XGBClassifier</t>
  </si>
  <si>
    <t>exp_2026-02-20 05:28:59.372090</t>
  </si>
  <si>
    <t>LogisticRegression</t>
  </si>
  <si>
    <t>exp_2026-02-19 18:34:26.763283</t>
  </si>
  <si>
    <t>config ii) (30 seeds)</t>
  </si>
  <si>
    <t>População = 25
Iterações = 500
n_jobs = 5
early stop = 100
com MLP</t>
  </si>
  <si>
    <t>image emb + projected tabular emb</t>
  </si>
  <si>
    <t>ExtraTreesClassifier</t>
  </si>
  <si>
    <t>exp_2026-02-21 15:53:24.021208</t>
  </si>
  <si>
    <t>exp_2026-02-20 17:34:36.068885</t>
  </si>
  <si>
    <t>exp_2026-02-21 15:24:11.122210</t>
  </si>
  <si>
    <t>exp_2026-02-20 23:36:50.846603</t>
  </si>
  <si>
    <t>config iii) (30 seeds)</t>
  </si>
  <si>
    <t>image + tabular features</t>
  </si>
  <si>
    <t>DecisionTreeClassifier</t>
  </si>
  <si>
    <t>exp_2026-02-23 23:31:39.930434</t>
  </si>
  <si>
    <t>exp_2026-02-23 11:42:38.228074</t>
  </si>
  <si>
    <t>exp_2026-02-23 21:13:58.499200</t>
  </si>
  <si>
    <t>config iv) (30 seeds)</t>
  </si>
  <si>
    <t>head_emb + femur_emb + abdomen_emb + tabular features</t>
  </si>
  <si>
    <t>exp_2026-02-26 10:16:51.876605</t>
  </si>
  <si>
    <t>exp_2026-02-27 03:20:14.044664</t>
  </si>
  <si>
    <t>exp_2026-02-25 00:24:12.175954</t>
  </si>
  <si>
    <t>exp_2026-02-27 19:58:56.509844</t>
  </si>
  <si>
    <t>Macro F1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</si>
  <si>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</si>
  <si>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</si>
  <si>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Evolução edca</t>
  </si>
  <si>
    <t>0.676</t>
  </si>
  <si>
    <t>Modelo construído</t>
  </si>
  <si>
    <t>feature</t>
  </si>
  <si>
    <t>Feature</t>
  </si>
  <si>
    <t>count</t>
  </si>
  <si>
    <t>%</t>
  </si>
  <si>
    <t>Most influential features on the LR model</t>
  </si>
  <si>
    <t>Idade</t>
  </si>
  <si>
    <t>Age</t>
  </si>
  <si>
    <t>Bishop</t>
  </si>
  <si>
    <t>parity</t>
  </si>
  <si>
    <t>PartoTermoAnterior</t>
  </si>
  <si>
    <t>Previous Term Deliveries</t>
  </si>
  <si>
    <t>previous term deliveries</t>
  </si>
  <si>
    <t>previous CS</t>
  </si>
  <si>
    <t>PartoAntTempoMeses</t>
  </si>
  <si>
    <t>Interpregnancy Interval</t>
  </si>
  <si>
    <t>maternal height</t>
  </si>
  <si>
    <t>Bishop score</t>
  </si>
  <si>
    <t>EPF(percentil)</t>
  </si>
  <si>
    <t>EFW (percentile)</t>
  </si>
  <si>
    <t>previous VD</t>
  </si>
  <si>
    <t>IG</t>
  </si>
  <si>
    <t>Gestational Age</t>
  </si>
  <si>
    <t>previous eutocic delivery</t>
  </si>
  <si>
    <t>age</t>
  </si>
  <si>
    <t>PartoAntTipo_1-csa</t>
  </si>
  <si>
    <t>Previous CS</t>
  </si>
  <si>
    <t>Interpregnancy interval</t>
  </si>
  <si>
    <t xml:space="preserve"> final pregnancy weight,</t>
  </si>
  <si>
    <t>EPF(pesoemg)</t>
  </si>
  <si>
    <t>Estimated Fetal Weight (EFW)</t>
  </si>
  <si>
    <t>nulliparity</t>
  </si>
  <si>
    <t>gestational age at induction</t>
  </si>
  <si>
    <t>IMCfinal</t>
  </si>
  <si>
    <t>Final BMI</t>
  </si>
  <si>
    <t>initial weight</t>
  </si>
  <si>
    <t>pre-pregnancy weight.</t>
  </si>
  <si>
    <t>AumentoPonderal</t>
  </si>
  <si>
    <t>Weight Gain</t>
  </si>
  <si>
    <t>post-date pregnancy</t>
  </si>
  <si>
    <t>Gesta</t>
  </si>
  <si>
    <t>Gravidity (number of pregnancies)</t>
  </si>
  <si>
    <t>no previous CS</t>
  </si>
  <si>
    <t>misoprostol</t>
  </si>
  <si>
    <t>Paridade</t>
  </si>
  <si>
    <t>Parity</t>
  </si>
  <si>
    <t>gestational age</t>
  </si>
  <si>
    <t>maternal obesity</t>
  </si>
  <si>
    <t>Altura</t>
  </si>
  <si>
    <t>Maternal Height</t>
  </si>
  <si>
    <t>fetal complications</t>
  </si>
  <si>
    <t>PartoAntTipo_2-instrumentado</t>
  </si>
  <si>
    <t>Previous term with IOL</t>
  </si>
  <si>
    <t>weight gain</t>
  </si>
  <si>
    <t>gestational diabetes</t>
  </si>
  <si>
    <t>PartoAntTipo_3-PE</t>
  </si>
  <si>
    <t>previous pre-term delivery</t>
  </si>
  <si>
    <t>pre-pregnancy bmi</t>
  </si>
  <si>
    <t>Eco3ºT(semanas)</t>
  </si>
  <si>
    <t>Third Trimester Ultrasound (weeks)</t>
  </si>
  <si>
    <t>previous miscarriage</t>
  </si>
  <si>
    <t>MotivoCSAant_10-EFNTintraparto</t>
  </si>
  <si>
    <t>final BMI</t>
  </si>
  <si>
    <t>PC(mm)</t>
  </si>
  <si>
    <t>Head Circumference (mm)</t>
  </si>
  <si>
    <t>DPB(mm)</t>
  </si>
  <si>
    <t>Biparietal Diameter (mm)</t>
  </si>
  <si>
    <t>MetodoInd_4-SF</t>
  </si>
  <si>
    <t>PesoFinal</t>
  </si>
  <si>
    <t>Final Weight</t>
  </si>
  <si>
    <t>TipoInstrument_1-ventosa</t>
  </si>
  <si>
    <t>PesoInicial</t>
  </si>
  <si>
    <t>Initial Weight</t>
  </si>
  <si>
    <t>pAB(mm)</t>
  </si>
  <si>
    <t>Abdominal Circumference (mm)</t>
  </si>
  <si>
    <t>PartoAntTipo_SemPartoAnterior</t>
  </si>
  <si>
    <t>Nulliparity</t>
  </si>
  <si>
    <t>TipoInstrument_2-forceps</t>
  </si>
  <si>
    <t>MetodoInd_1-misoprostol</t>
  </si>
  <si>
    <t>IGPPTAnterior</t>
  </si>
  <si>
    <t>Previous Preterm Birth</t>
  </si>
  <si>
    <t>IMCInicial</t>
  </si>
  <si>
    <t>Initial BMI</t>
  </si>
  <si>
    <t>ComplicGravidez_2-DG</t>
  </si>
  <si>
    <t>PartoAntTipo_4-CSA+PE</t>
  </si>
  <si>
    <t>TipoInstrument_3-ventosa+forceps</t>
  </si>
  <si>
    <t>MotivoCSAant_11-outras</t>
  </si>
  <si>
    <t>TipoInstrument_SemPartoAnterior</t>
  </si>
  <si>
    <t>MetodoInd_2-dinoprostona</t>
  </si>
  <si>
    <t>MotivoCSAant_8-Induçãofalhada</t>
  </si>
  <si>
    <t>MetodoInd_3-ocitocina</t>
  </si>
  <si>
    <t>PartoAntTipo_6-PE+instrumentado</t>
  </si>
  <si>
    <t>FL(mm)</t>
  </si>
  <si>
    <t>MotivoCSAant_SemPartoAnterior</t>
  </si>
  <si>
    <t>ComplicGravidez_1-RPM</t>
  </si>
  <si>
    <t>ComplicGravidez_6-oligoamnios</t>
  </si>
  <si>
    <t>ComplicGravidez_10-colestasegravídica</t>
  </si>
  <si>
    <t>MotivoCSAant_9-TPestacionário</t>
  </si>
  <si>
    <t>PatologiasPrevias_18-infeciosa</t>
  </si>
  <si>
    <t>MotivoInd_5-HTA</t>
  </si>
  <si>
    <t>MotivoInd_2-oligoamnios</t>
  </si>
  <si>
    <t>MotivoCSAant_5-sit/apfetalanómala</t>
  </si>
  <si>
    <t>PatologiasPrevias_3-HTAc</t>
  </si>
  <si>
    <t>MotivoInd_7-trombofilia</t>
  </si>
  <si>
    <t>AE</t>
  </si>
  <si>
    <t>PartoAntTipo_5-CSA+instrumentado</t>
  </si>
  <si>
    <t>PatologiasPrevias_4-trombofilia</t>
  </si>
  <si>
    <t>ComplicGravidez_7-hidramnios</t>
  </si>
  <si>
    <t>MotivoCSAant_6-gravidezmúltipla</t>
  </si>
  <si>
    <t>ComplicGravidez_9-trombocitopeniagestacional</t>
  </si>
  <si>
    <t>PatologiasPrevias_14-cardíaca</t>
  </si>
  <si>
    <t>PatologiasPrevias_20-outras</t>
  </si>
  <si>
    <t>PatologiasPrevias_13-ginecológica</t>
  </si>
  <si>
    <t>ComplicGravidez_5-RCF</t>
  </si>
  <si>
    <t>MotivoInd_6-pré-eclâmpsia</t>
  </si>
  <si>
    <t>PatologiasPrevias_1-DM</t>
  </si>
  <si>
    <t>ComplicGravidez_4-pré-eclâmpsia</t>
  </si>
  <si>
    <t>MotivoInd_13-IGPMA</t>
  </si>
  <si>
    <t>PatologiasPrevias_5-patologiaautoimune</t>
  </si>
  <si>
    <t>MotivoInd_9-RCF</t>
  </si>
  <si>
    <t>MotivoInd_1-IG41sem</t>
  </si>
  <si>
    <t>MotivoInd_14-outro</t>
  </si>
  <si>
    <t>PatologiasPrevias_10-nódulostiroideus</t>
  </si>
  <si>
    <t>MotivoCSAant_3-patprópriadagravidez</t>
  </si>
  <si>
    <t>PatologiasPrevias_8-doençarenalpoliquistica</t>
  </si>
  <si>
    <t>MotivoInd_10-patologiamaterna</t>
  </si>
  <si>
    <t>MotivoInd_3-colestase</t>
  </si>
  <si>
    <t>MotivoCSAant_7-suspdeIFP</t>
  </si>
  <si>
    <t>PatologiasPrevias_6-patologiaoncológica</t>
  </si>
  <si>
    <t>PatologiasPrevias_11-SOP</t>
  </si>
  <si>
    <t>PPTAnterior</t>
  </si>
  <si>
    <t>ComplicGravidez_3-HTA</t>
  </si>
  <si>
    <t>MotivoInd_11-patologiafetal</t>
  </si>
  <si>
    <t>PatologiasPrevias_17-hematologica</t>
  </si>
  <si>
    <t>PatologiasPrevias_0-sempatologias</t>
  </si>
  <si>
    <t>PatologiasPrevias_2-hipotiroidismo</t>
  </si>
  <si>
    <t>PatologiasPrevias_19-obesidade</t>
  </si>
  <si>
    <t>MotivoInd_15-CTGsuspeito</t>
  </si>
  <si>
    <t>PatologiasPrevias_12-Pneumológica</t>
  </si>
  <si>
    <t>MotivoInd_12-RPM</t>
  </si>
  <si>
    <t>PatologiasPrevias_9-cirurgiabariátrica</t>
  </si>
  <si>
    <t>MotivoInd_8-doençaautoimune</t>
  </si>
  <si>
    <t>ComplicGravidez_0-semcomplicações</t>
  </si>
  <si>
    <t>PatologiasPrevias_15-neurologica</t>
  </si>
  <si>
    <t>MotivoInd_4-DG</t>
  </si>
  <si>
    <t>CSAAnt</t>
  </si>
  <si>
    <t>Pos F1</t>
  </si>
  <si>
    <t>Neg F1</t>
  </si>
  <si>
    <t>PPV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</si>
  <si>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</si>
  <si>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</si>
  <si>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image + raw tabular</t>
  </si>
  <si>
    <t>all-data</t>
  </si>
  <si>
    <t>all-features</t>
  </si>
  <si>
    <t>all-samples</t>
  </si>
  <si>
    <t>edca selection</t>
  </si>
  <si>
    <t>i)</t>
  </si>
  <si>
    <t>ii)</t>
  </si>
  <si>
    <t>edca-selection</t>
  </si>
  <si>
    <t>iii)</t>
  </si>
  <si>
    <t>iv)</t>
  </si>
  <si>
    <t>F1 pos</t>
  </si>
  <si>
    <t>F1 neg</t>
  </si>
  <si>
    <t>MF1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</si>
  <si>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</si>
  <si>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</si>
  <si>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t>exp 1.1</t>
  </si>
  <si>
    <t>População = 25
Iterações = 500
n_jobs = 1
Early stopping = 100
Com MLP</t>
  </si>
  <si>
    <t>std</t>
  </si>
  <si>
    <t>exp 1.4</t>
  </si>
  <si>
    <t>exp 1.2</t>
  </si>
  <si>
    <t>exp 1.3</t>
  </si>
  <si>
    <t>femur + head + abdomen + tabular features</t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</si>
  <si>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</si>
  <si>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</si>
  <si>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</si>
  <si>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</si>
  <si>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</si>
  <si>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</si>
  <si>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</si>
  <si>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</si>
  <si>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</si>
  <si>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</si>
  <si>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</si>
  <si>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</si>
  <si>
    <r>
      <rPr>
        <rFont val="Arial"/>
        <b/>
        <color theme="1"/>
      </rPr>
      <t xml:space="preserve">TP </t>
    </r>
    <r>
      <rPr>
        <rFont val="Arial"/>
        <b/>
        <color theme="1"/>
        <u/>
      </rPr>
      <t>(CS)</t>
    </r>
  </si>
  <si>
    <r>
      <rPr>
        <rFont val="Arial"/>
        <b/>
        <color theme="1"/>
      </rPr>
      <t xml:space="preserve">TN </t>
    </r>
    <r>
      <rPr>
        <rFont val="Arial"/>
        <b/>
        <color theme="1"/>
        <u/>
      </rPr>
      <t>(VD)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</si>
</sst>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/>
    <font>
      <sz val="12.0"/>
      <color rgb="FF000000"/>
      <name val="'Times New Roman'"/>
    </font>
    <font>
      <sz val="10.0"/>
      <color rgb="FF0A0A0A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D9EAD3"/>
        <bgColor rgb="FFD9EAD3"/>
      </patternFill>
    </fill>
  </fills>
  <borders count="16">
    <border/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readingOrder="0" shrinkToFit="0" wrapText="1"/>
    </xf>
    <xf borderId="4" fillId="3" fontId="1" numFmtId="0" xfId="0" applyAlignment="1" applyBorder="1" applyFill="1" applyFont="1">
      <alignment horizontal="center" readingOrder="0" shrinkToFit="0" wrapText="1"/>
    </xf>
    <xf borderId="4" fillId="0" fontId="2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4" fillId="0" fontId="2" numFmtId="164" xfId="0" applyAlignment="1" applyBorder="1" applyFont="1" applyNumberFormat="1">
      <alignment horizontal="center" readingOrder="0" shrinkToFit="0" wrapText="1"/>
    </xf>
    <xf borderId="4" fillId="0" fontId="2" numFmtId="164" xfId="0" applyAlignment="1" applyBorder="1" applyFont="1" applyNumberFormat="1">
      <alignment horizontal="center" shrinkToFit="0" vertical="bottom" wrapText="1"/>
    </xf>
    <xf borderId="4" fillId="0" fontId="2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/>
    </xf>
    <xf borderId="4" fillId="0" fontId="3" numFmtId="0" xfId="0" applyAlignment="1" applyBorder="1" applyFont="1">
      <alignment horizontal="center" readingOrder="0"/>
    </xf>
    <xf borderId="5" fillId="0" fontId="5" numFmtId="0" xfId="0" applyBorder="1" applyFont="1"/>
    <xf borderId="4" fillId="0" fontId="3" numFmtId="0" xfId="0" applyAlignment="1" applyBorder="1" applyFont="1">
      <alignment readingOrder="0"/>
    </xf>
    <xf borderId="6" fillId="0" fontId="5" numFmtId="0" xfId="0" applyBorder="1" applyFont="1"/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horizontal="center" vertical="bottom"/>
    </xf>
    <xf borderId="4" fillId="4" fontId="2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shrinkToFit="0" wrapText="1"/>
    </xf>
    <xf borderId="0" fillId="2" fontId="2" numFmtId="0" xfId="0" applyAlignment="1" applyFont="1">
      <alignment vertical="bottom"/>
    </xf>
    <xf borderId="3" fillId="2" fontId="1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 vertical="center"/>
    </xf>
    <xf borderId="0" fillId="5" fontId="3" numFmtId="0" xfId="0" applyAlignment="1" applyFill="1" applyFont="1">
      <alignment readingOrder="0"/>
    </xf>
    <xf borderId="0" fillId="5" fontId="3" numFmtId="0" xfId="0" applyAlignment="1" applyFont="1">
      <alignment horizontal="left" readingOrder="0" vertical="center"/>
    </xf>
    <xf borderId="0" fillId="5" fontId="3" numFmtId="0" xfId="0" applyAlignment="1" applyFont="1">
      <alignment horizontal="center" readingOrder="0" vertical="center"/>
    </xf>
    <xf borderId="0" fillId="5" fontId="3" numFmtId="0" xfId="0" applyFont="1"/>
    <xf borderId="0" fillId="5" fontId="6" numFmtId="0" xfId="0" applyAlignment="1" applyFont="1">
      <alignment readingOrder="0"/>
    </xf>
    <xf borderId="0" fillId="5" fontId="3" numFmtId="0" xfId="0" applyAlignment="1" applyFont="1">
      <alignment horizontal="left" readingOrder="0" shrinkToFit="0" vertical="top" wrapText="1"/>
    </xf>
    <xf borderId="0" fillId="5" fontId="3" numFmtId="0" xfId="0" applyAlignment="1" applyFont="1">
      <alignment horizontal="left" readingOrder="0"/>
    </xf>
    <xf borderId="0" fillId="5" fontId="7" numFmtId="0" xfId="0" applyAlignment="1" applyFont="1">
      <alignment horizontal="left" readingOrder="0"/>
    </xf>
    <xf borderId="0" fillId="0" fontId="3" numFmtId="0" xfId="0" applyFont="1"/>
    <xf borderId="0" fillId="0" fontId="3" numFmtId="0" xfId="0" applyAlignment="1" applyFont="1">
      <alignment horizontal="left"/>
    </xf>
    <xf borderId="4" fillId="0" fontId="1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3" fillId="0" fontId="2" numFmtId="0" xfId="0" applyAlignment="1" applyBorder="1" applyFont="1">
      <alignment horizontal="center" readingOrder="0" shrinkToFit="0" vertical="center" wrapText="1"/>
    </xf>
    <xf borderId="10" fillId="3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3" fillId="0" fontId="2" numFmtId="164" xfId="0" applyAlignment="1" applyBorder="1" applyFont="1" applyNumberFormat="1">
      <alignment horizontal="center" readingOrder="0" shrinkToFit="0" wrapText="1"/>
    </xf>
    <xf borderId="3" fillId="0" fontId="2" numFmtId="164" xfId="0" applyAlignment="1" applyBorder="1" applyFont="1" applyNumberFormat="1">
      <alignment horizontal="center" shrinkToFit="0" vertical="bottom" wrapText="1"/>
    </xf>
    <xf borderId="11" fillId="0" fontId="2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shrinkToFit="0" vertical="bottom" wrapText="1"/>
    </xf>
    <xf borderId="0" fillId="0" fontId="2" numFmtId="164" xfId="0" applyAlignment="1" applyFont="1" applyNumberFormat="1">
      <alignment horizontal="center" vertical="bottom"/>
    </xf>
    <xf borderId="3" fillId="0" fontId="2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bottom"/>
    </xf>
    <xf borderId="7" fillId="0" fontId="3" numFmtId="0" xfId="0" applyBorder="1" applyFont="1"/>
    <xf borderId="7" fillId="0" fontId="4" numFmtId="0" xfId="0" applyAlignment="1" applyBorder="1" applyFont="1">
      <alignment horizontal="center" readingOrder="0"/>
    </xf>
    <xf borderId="12" fillId="0" fontId="5" numFmtId="0" xfId="0" applyBorder="1" applyFont="1"/>
    <xf borderId="13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arolina Antunes" id="{87f66503-a19e-4c5d-ba7f-a169ce89d24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" dT="2026-03-07T21:35:00.00" personId="{87f66503-a19e-4c5d-ba7f-a169ce89d245}" id="{15f641b4-fe92-41c3-9171-a7e4b1814e75}" done="0">
    <x18tc:text xml:space="preserve">treino com todas as samples e apenas as features de imagem</x18tc:text>
  </x18tc:threadedComment>
  <x18tc:threadedComment ref="E10" dT="2026-03-07T21:35:17.00" personId="{87f66503-a19e-4c5d-ba7f-a169ce89d245}" id="{2fb96612-067b-42e1-a715-7103da5fe532}" done="0">
    <x18tc:text xml:space="preserve">treino com todas as samples e apenas as features de imagem selecionadas</x18tc:text>
  </x18tc:threadedComment>
  <x18tc:threadedComment ref="E7" dT="2026-03-07T21:34:16.00" personId="{87f66503-a19e-4c5d-ba7f-a169ce89d245}" id="{5efab422-ed60-4e78-9898-25ff5b9dbc47}" done="0">
    <x18tc:text xml:space="preserve">treino com todas as samples e apenas as features tabulares</x18tc:text>
  </x18tc:threadedComment>
  <x18tc:threadedComment ref="E8" dT="2026-03-07T21:34:34.00" personId="{87f66503-a19e-4c5d-ba7f-a169ce89d245}" id="{5aea6760-106d-4de9-b5ef-d5bb633ba525}" done="0">
    <x18tc:text xml:space="preserve">treino com todas as samples e apenas as features tabulares selecionadas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63"/>
    <col customWidth="1" min="2" max="2" width="16.13"/>
    <col customWidth="1" min="3" max="3" width="10.38"/>
    <col customWidth="1" min="4" max="4" width="9.13"/>
    <col customWidth="1" min="5" max="5" width="17.5"/>
    <col customWidth="1" min="18" max="18" width="19.5"/>
    <col customWidth="1" min="19" max="19" width="37.38"/>
    <col customWidth="1" min="20" max="20" width="19.5"/>
  </cols>
  <sheetData>
    <row r="1">
      <c r="A1" s="1" t="s">
        <v>0</v>
      </c>
      <c r="B1" s="2" t="s">
        <v>1</v>
      </c>
      <c r="C1" s="3" t="s">
        <v>2</v>
      </c>
      <c r="D1" s="4"/>
      <c r="E1" s="5"/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7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7" t="s">
        <v>15</v>
      </c>
      <c r="S1" s="7" t="s">
        <v>16</v>
      </c>
      <c r="T1" s="7" t="s">
        <v>17</v>
      </c>
    </row>
    <row r="2" ht="28.5" customHeight="1">
      <c r="A2" s="8" t="s">
        <v>18</v>
      </c>
      <c r="B2" s="9"/>
      <c r="C2" s="10" t="s">
        <v>19</v>
      </c>
      <c r="D2" s="11"/>
      <c r="E2" s="11"/>
      <c r="F2" s="12">
        <v>0.652</v>
      </c>
      <c r="G2" s="12">
        <v>0.724</v>
      </c>
      <c r="H2" s="12">
        <v>0.727</v>
      </c>
      <c r="I2" s="12">
        <v>0.725</v>
      </c>
      <c r="J2" s="12">
        <v>0.684</v>
      </c>
      <c r="K2" s="12">
        <v>0.309</v>
      </c>
      <c r="L2" s="12">
        <v>0.807</v>
      </c>
      <c r="M2" s="12">
        <v>0.819</v>
      </c>
      <c r="N2" s="13">
        <v>83.0</v>
      </c>
      <c r="O2" s="13">
        <v>88.0</v>
      </c>
      <c r="P2" s="13">
        <v>81.0</v>
      </c>
      <c r="Q2" s="14">
        <v>367.0</v>
      </c>
      <c r="R2" s="14"/>
      <c r="S2" s="14"/>
      <c r="T2" s="14"/>
    </row>
    <row r="3">
      <c r="B3" s="15"/>
      <c r="C3" s="16"/>
      <c r="D3" s="17"/>
      <c r="E3" s="15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>
      <c r="A4" s="19" t="s">
        <v>20</v>
      </c>
      <c r="B4" s="19" t="s">
        <v>21</v>
      </c>
      <c r="C4" s="20" t="s">
        <v>22</v>
      </c>
      <c r="D4" s="19" t="s">
        <v>23</v>
      </c>
      <c r="E4" s="21" t="s">
        <v>24</v>
      </c>
      <c r="F4" s="22">
        <v>0.644</v>
      </c>
      <c r="G4" s="22">
        <v>0.719</v>
      </c>
      <c r="H4" s="22">
        <v>0.726</v>
      </c>
      <c r="I4" s="22">
        <v>0.722</v>
      </c>
      <c r="J4" s="22">
        <v>0.692</v>
      </c>
      <c r="K4" s="22">
        <v>0.296</v>
      </c>
      <c r="L4" s="22">
        <v>0.801</v>
      </c>
      <c r="M4" s="22">
        <v>0.827</v>
      </c>
      <c r="N4" s="22">
        <v>78.767</v>
      </c>
      <c r="O4" s="22">
        <v>92.233</v>
      </c>
      <c r="P4" s="22">
        <v>77.467</v>
      </c>
      <c r="Q4" s="22">
        <v>370.533</v>
      </c>
      <c r="R4" s="22"/>
      <c r="S4" s="22"/>
      <c r="T4" s="22"/>
    </row>
    <row r="5">
      <c r="A5" s="23"/>
      <c r="B5" s="23"/>
      <c r="C5" s="23"/>
      <c r="D5" s="23"/>
      <c r="E5" s="21" t="s">
        <v>25</v>
      </c>
      <c r="F5" s="22">
        <v>0.641</v>
      </c>
      <c r="G5" s="22">
        <v>0.717</v>
      </c>
      <c r="H5" s="22">
        <v>0.725</v>
      </c>
      <c r="I5" s="22">
        <v>0.72</v>
      </c>
      <c r="J5" s="22">
        <v>0.688</v>
      </c>
      <c r="K5" s="22">
        <v>0.292</v>
      </c>
      <c r="L5" s="22">
        <v>0.799</v>
      </c>
      <c r="M5" s="22">
        <v>0.828</v>
      </c>
      <c r="N5" s="22">
        <v>77.667</v>
      </c>
      <c r="O5" s="22">
        <v>93.333</v>
      </c>
      <c r="P5" s="22">
        <v>77.067</v>
      </c>
      <c r="Q5" s="22">
        <v>370.933</v>
      </c>
      <c r="R5" s="22"/>
      <c r="S5" s="22"/>
      <c r="T5" s="22"/>
    </row>
    <row r="6">
      <c r="A6" s="23"/>
      <c r="B6" s="23"/>
      <c r="C6" s="23"/>
      <c r="D6" s="23"/>
      <c r="E6" s="21" t="s">
        <v>26</v>
      </c>
      <c r="F6" s="22">
        <v>0.641</v>
      </c>
      <c r="G6" s="22">
        <v>0.717</v>
      </c>
      <c r="H6" s="22">
        <v>0.725</v>
      </c>
      <c r="I6" s="22">
        <v>0.721</v>
      </c>
      <c r="J6" s="22">
        <v>0.691</v>
      </c>
      <c r="K6" s="22">
        <v>0.292</v>
      </c>
      <c r="L6" s="22">
        <v>0.799</v>
      </c>
      <c r="M6" s="22">
        <v>0.829</v>
      </c>
      <c r="N6" s="22">
        <v>77.533</v>
      </c>
      <c r="O6" s="22">
        <v>93.467</v>
      </c>
      <c r="P6" s="22">
        <v>76.7</v>
      </c>
      <c r="Q6" s="22">
        <v>371.3</v>
      </c>
      <c r="R6" s="22"/>
      <c r="S6" s="22"/>
      <c r="T6" s="22"/>
    </row>
    <row r="7">
      <c r="A7" s="23"/>
      <c r="B7" s="23"/>
      <c r="C7" s="23"/>
      <c r="D7" s="23"/>
      <c r="E7" s="24" t="s">
        <v>27</v>
      </c>
      <c r="F7" s="22">
        <v>0.644</v>
      </c>
      <c r="G7" s="22">
        <v>0.719</v>
      </c>
      <c r="H7" s="22">
        <v>0.726</v>
      </c>
      <c r="I7" s="22">
        <v>0.722</v>
      </c>
      <c r="J7" s="22">
        <v>0.683</v>
      </c>
      <c r="K7" s="22">
        <v>0.296</v>
      </c>
      <c r="L7" s="22">
        <v>0.801</v>
      </c>
      <c r="M7" s="22">
        <v>0.828</v>
      </c>
      <c r="N7" s="22">
        <v>78.567</v>
      </c>
      <c r="O7" s="22">
        <v>92.433</v>
      </c>
      <c r="P7" s="22">
        <v>77.1</v>
      </c>
      <c r="Q7" s="22">
        <v>370.9</v>
      </c>
      <c r="R7" s="22"/>
      <c r="S7" s="22"/>
      <c r="T7" s="22"/>
    </row>
    <row r="8">
      <c r="A8" s="23"/>
      <c r="B8" s="23"/>
      <c r="C8" s="23"/>
      <c r="D8" s="23"/>
      <c r="E8" s="24" t="s">
        <v>28</v>
      </c>
      <c r="F8" s="22">
        <v>0.642</v>
      </c>
      <c r="G8" s="22">
        <v>0.718</v>
      </c>
      <c r="H8" s="22">
        <v>0.725</v>
      </c>
      <c r="I8" s="22">
        <v>0.721</v>
      </c>
      <c r="J8" s="22">
        <v>0.684</v>
      </c>
      <c r="K8" s="22">
        <v>0.293</v>
      </c>
      <c r="L8" s="22">
        <v>0.8</v>
      </c>
      <c r="M8" s="22">
        <v>0.828</v>
      </c>
      <c r="N8" s="22">
        <v>78.0</v>
      </c>
      <c r="O8" s="22">
        <v>93.0</v>
      </c>
      <c r="P8" s="22">
        <v>77.0</v>
      </c>
      <c r="Q8" s="22">
        <v>371.0</v>
      </c>
      <c r="R8" s="22"/>
      <c r="S8" s="22"/>
      <c r="T8" s="22"/>
    </row>
    <row r="9">
      <c r="A9" s="23"/>
      <c r="B9" s="23"/>
      <c r="C9" s="23"/>
      <c r="D9" s="23"/>
      <c r="E9" s="24" t="s">
        <v>29</v>
      </c>
      <c r="F9" s="22">
        <v>0.505</v>
      </c>
      <c r="G9" s="22">
        <v>0.61</v>
      </c>
      <c r="H9" s="22">
        <v>0.696</v>
      </c>
      <c r="I9" s="22">
        <v>0.622</v>
      </c>
      <c r="J9" s="22">
        <v>0.522</v>
      </c>
      <c r="K9" s="22">
        <v>0.017</v>
      </c>
      <c r="L9" s="22">
        <v>0.726</v>
      </c>
      <c r="M9" s="22">
        <v>0.931</v>
      </c>
      <c r="N9" s="22">
        <v>13.733</v>
      </c>
      <c r="O9" s="22">
        <v>157.267</v>
      </c>
      <c r="P9" s="22">
        <v>31.1</v>
      </c>
      <c r="Q9" s="22">
        <v>416.9</v>
      </c>
      <c r="R9" s="22"/>
      <c r="S9" s="22"/>
      <c r="T9" s="22"/>
    </row>
    <row r="10">
      <c r="A10" s="23"/>
      <c r="B10" s="23"/>
      <c r="C10" s="23"/>
      <c r="D10" s="23"/>
      <c r="E10" s="24" t="s">
        <v>30</v>
      </c>
      <c r="F10" s="22">
        <v>0.505</v>
      </c>
      <c r="G10" s="22">
        <v>0.619</v>
      </c>
      <c r="H10" s="22">
        <v>0.697</v>
      </c>
      <c r="I10" s="22">
        <v>0.621</v>
      </c>
      <c r="J10" s="22">
        <v>0.525</v>
      </c>
      <c r="K10" s="22">
        <v>0.019</v>
      </c>
      <c r="L10" s="22">
        <v>0.726</v>
      </c>
      <c r="M10" s="22">
        <v>0.935</v>
      </c>
      <c r="N10" s="22">
        <v>13.0</v>
      </c>
      <c r="O10" s="22">
        <v>158.0</v>
      </c>
      <c r="P10" s="22">
        <v>29.333</v>
      </c>
      <c r="Q10" s="22">
        <v>418.667</v>
      </c>
      <c r="R10" s="22"/>
      <c r="S10" s="22"/>
      <c r="T10" s="22"/>
    </row>
    <row r="11">
      <c r="A11" s="23"/>
      <c r="B11" s="23"/>
      <c r="C11" s="23"/>
      <c r="D11" s="25"/>
      <c r="E11" s="21" t="s">
        <v>31</v>
      </c>
      <c r="F11" s="22">
        <v>0.638</v>
      </c>
      <c r="G11" s="22">
        <v>0.715</v>
      </c>
      <c r="H11" s="22">
        <v>0.724</v>
      </c>
      <c r="I11" s="22">
        <v>0.719</v>
      </c>
      <c r="J11" s="22">
        <v>0.689</v>
      </c>
      <c r="K11" s="22">
        <v>0.287</v>
      </c>
      <c r="L11" s="22">
        <v>0.797</v>
      </c>
      <c r="M11" s="22">
        <v>0.829</v>
      </c>
      <c r="N11" s="22">
        <v>76.533</v>
      </c>
      <c r="O11" s="22">
        <v>94.467</v>
      </c>
      <c r="P11" s="22">
        <v>76.6</v>
      </c>
      <c r="Q11" s="22">
        <v>371.4</v>
      </c>
      <c r="R11" s="22"/>
      <c r="S11" s="22"/>
      <c r="T11" s="22"/>
    </row>
    <row r="12">
      <c r="A12" s="23"/>
      <c r="B12" s="23"/>
      <c r="C12" s="23"/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8"/>
    </row>
    <row r="13">
      <c r="A13" s="23"/>
      <c r="B13" s="23"/>
      <c r="C13" s="23"/>
      <c r="D13" s="19" t="s">
        <v>32</v>
      </c>
      <c r="E13" s="21" t="s">
        <v>24</v>
      </c>
      <c r="F13" s="22">
        <v>0.655</v>
      </c>
      <c r="G13" s="22">
        <v>0.729</v>
      </c>
      <c r="H13" s="22">
        <v>0.737</v>
      </c>
      <c r="I13" s="22">
        <v>0.732</v>
      </c>
      <c r="J13" s="22">
        <v>0.687</v>
      </c>
      <c r="K13" s="22">
        <v>0.321</v>
      </c>
      <c r="L13" s="22">
        <v>0.806</v>
      </c>
      <c r="M13" s="22">
        <v>0.837</v>
      </c>
      <c r="N13" s="22">
        <v>81.0</v>
      </c>
      <c r="O13" s="22">
        <v>90.0</v>
      </c>
      <c r="P13" s="22">
        <v>73.0</v>
      </c>
      <c r="Q13" s="22">
        <v>375.0</v>
      </c>
      <c r="R13" s="22" t="s">
        <v>33</v>
      </c>
      <c r="S13" s="29" t="s">
        <v>34</v>
      </c>
      <c r="T13" s="22"/>
    </row>
    <row r="14">
      <c r="A14" s="23"/>
      <c r="B14" s="23"/>
      <c r="C14" s="23"/>
      <c r="D14" s="23"/>
      <c r="E14" s="21" t="s">
        <v>25</v>
      </c>
      <c r="F14" s="22">
        <v>0.667</v>
      </c>
      <c r="G14" s="22">
        <v>0.737</v>
      </c>
      <c r="H14" s="22">
        <v>0.743</v>
      </c>
      <c r="I14" s="22">
        <v>0.74</v>
      </c>
      <c r="J14" s="22">
        <v>0.684</v>
      </c>
      <c r="K14" s="22">
        <v>0.343</v>
      </c>
      <c r="L14" s="22">
        <v>0.813</v>
      </c>
      <c r="M14" s="22">
        <v>0.837</v>
      </c>
      <c r="N14" s="22">
        <v>85.0</v>
      </c>
      <c r="O14" s="22">
        <v>86.0</v>
      </c>
      <c r="P14" s="22">
        <v>73.0</v>
      </c>
      <c r="Q14" s="22">
        <v>375.0</v>
      </c>
      <c r="R14" s="22" t="s">
        <v>35</v>
      </c>
      <c r="S14" s="29" t="s">
        <v>36</v>
      </c>
      <c r="T14" s="22"/>
    </row>
    <row r="15">
      <c r="A15" s="23"/>
      <c r="B15" s="23"/>
      <c r="C15" s="23"/>
      <c r="D15" s="23"/>
      <c r="E15" s="21" t="s">
        <v>26</v>
      </c>
      <c r="F15" s="22">
        <v>0.654</v>
      </c>
      <c r="G15" s="22">
        <v>0.728</v>
      </c>
      <c r="H15" s="22">
        <v>0.735</v>
      </c>
      <c r="I15" s="22">
        <v>0.731</v>
      </c>
      <c r="J15" s="22">
        <v>0.697</v>
      </c>
      <c r="K15" s="22">
        <v>0.318</v>
      </c>
      <c r="L15" s="22">
        <v>0.806</v>
      </c>
      <c r="M15" s="22">
        <v>0.835</v>
      </c>
      <c r="N15" s="22">
        <v>81.0</v>
      </c>
      <c r="O15" s="22">
        <v>90.0</v>
      </c>
      <c r="P15" s="22">
        <v>74.0</v>
      </c>
      <c r="Q15" s="22">
        <v>374.0</v>
      </c>
      <c r="R15" s="22" t="s">
        <v>33</v>
      </c>
      <c r="S15" s="29" t="s">
        <v>34</v>
      </c>
      <c r="T15" s="22"/>
    </row>
    <row r="16">
      <c r="A16" s="23"/>
      <c r="B16" s="23"/>
      <c r="C16" s="23"/>
      <c r="D16" s="23"/>
      <c r="E16" s="24" t="s">
        <v>27</v>
      </c>
      <c r="F16" s="30">
        <v>0.652</v>
      </c>
      <c r="G16" s="30">
        <v>0.725</v>
      </c>
      <c r="H16" s="30">
        <v>0.732</v>
      </c>
      <c r="I16" s="31">
        <v>0.728</v>
      </c>
      <c r="J16" s="30">
        <v>0.691</v>
      </c>
      <c r="K16" s="30">
        <v>0.312</v>
      </c>
      <c r="L16" s="30">
        <v>0.805</v>
      </c>
      <c r="M16" s="30">
        <v>0.83</v>
      </c>
      <c r="N16" s="30">
        <v>81.0</v>
      </c>
      <c r="O16" s="30">
        <v>90.0</v>
      </c>
      <c r="P16" s="30">
        <v>76.0</v>
      </c>
      <c r="Q16" s="30">
        <v>372.0</v>
      </c>
      <c r="R16" s="22"/>
      <c r="S16" s="29"/>
      <c r="T16" s="22"/>
    </row>
    <row r="17">
      <c r="A17" s="23"/>
      <c r="B17" s="23"/>
      <c r="C17" s="23"/>
      <c r="D17" s="23"/>
      <c r="E17" s="24" t="s">
        <v>28</v>
      </c>
      <c r="F17" s="30">
        <v>0.656</v>
      </c>
      <c r="G17" s="30">
        <v>0.729</v>
      </c>
      <c r="H17" s="30">
        <v>0.735</v>
      </c>
      <c r="I17" s="31">
        <v>0.731</v>
      </c>
      <c r="J17" s="30">
        <v>0.681</v>
      </c>
      <c r="K17" s="30">
        <v>0.321</v>
      </c>
      <c r="L17" s="30">
        <v>0.807</v>
      </c>
      <c r="M17" s="30">
        <v>0.833</v>
      </c>
      <c r="N17" s="30">
        <v>82.0</v>
      </c>
      <c r="O17" s="30">
        <v>89.0</v>
      </c>
      <c r="P17" s="30">
        <v>75.0</v>
      </c>
      <c r="Q17" s="30">
        <v>373.0</v>
      </c>
      <c r="R17" s="22"/>
      <c r="S17" s="29"/>
      <c r="T17" s="22"/>
    </row>
    <row r="18">
      <c r="A18" s="23"/>
      <c r="B18" s="23"/>
      <c r="C18" s="23"/>
      <c r="D18" s="23"/>
      <c r="E18" s="24" t="s">
        <v>29</v>
      </c>
      <c r="F18" s="30">
        <v>0.525</v>
      </c>
      <c r="G18" s="30">
        <v>0.638</v>
      </c>
      <c r="H18" s="30">
        <v>0.703</v>
      </c>
      <c r="I18" s="30">
        <v>0.645</v>
      </c>
      <c r="J18" s="30">
        <v>0.517</v>
      </c>
      <c r="K18" s="30">
        <v>0.078</v>
      </c>
      <c r="L18" s="30">
        <v>0.735</v>
      </c>
      <c r="M18" s="30">
        <v>0.922</v>
      </c>
      <c r="N18" s="30">
        <v>22.0</v>
      </c>
      <c r="O18" s="30">
        <v>149.0</v>
      </c>
      <c r="P18" s="30">
        <v>35.0</v>
      </c>
      <c r="Q18" s="30">
        <v>413.0</v>
      </c>
      <c r="R18" s="22"/>
      <c r="S18" s="29"/>
      <c r="T18" s="22"/>
    </row>
    <row r="19" ht="15.75" customHeight="1">
      <c r="A19" s="23"/>
      <c r="B19" s="23"/>
      <c r="C19" s="23"/>
      <c r="D19" s="23"/>
      <c r="E19" s="24" t="s">
        <v>30</v>
      </c>
      <c r="F19" s="30">
        <v>0.526</v>
      </c>
      <c r="G19" s="30">
        <v>0.63</v>
      </c>
      <c r="H19" s="30">
        <v>0.685</v>
      </c>
      <c r="I19" s="30">
        <v>0.644</v>
      </c>
      <c r="J19" s="30">
        <v>0.506</v>
      </c>
      <c r="K19" s="30">
        <v>0.068</v>
      </c>
      <c r="L19" s="30">
        <v>0.736</v>
      </c>
      <c r="M19" s="30">
        <v>0.882</v>
      </c>
      <c r="N19" s="30">
        <v>29.0</v>
      </c>
      <c r="O19" s="30">
        <v>142.0</v>
      </c>
      <c r="P19" s="30">
        <v>53.0</v>
      </c>
      <c r="Q19" s="30">
        <v>395.0</v>
      </c>
      <c r="R19" s="22"/>
      <c r="S19" s="29"/>
      <c r="T19" s="22"/>
    </row>
    <row r="20" ht="18.75" customHeight="1">
      <c r="A20" s="25"/>
      <c r="B20" s="25"/>
      <c r="C20" s="25"/>
      <c r="D20" s="25"/>
      <c r="E20" s="21" t="s">
        <v>31</v>
      </c>
      <c r="F20" s="22">
        <v>0.651</v>
      </c>
      <c r="G20" s="32">
        <v>0.726</v>
      </c>
      <c r="H20" s="22">
        <v>0.733</v>
      </c>
      <c r="I20" s="22">
        <v>0.729</v>
      </c>
      <c r="J20" s="22">
        <v>0.675</v>
      </c>
      <c r="K20" s="22">
        <v>0.313</v>
      </c>
      <c r="L20" s="22">
        <v>0.804</v>
      </c>
      <c r="M20" s="32">
        <v>0.835</v>
      </c>
      <c r="N20" s="22">
        <v>80.0</v>
      </c>
      <c r="O20" s="22">
        <v>91.0</v>
      </c>
      <c r="P20" s="22">
        <v>74.0</v>
      </c>
      <c r="Q20" s="22">
        <v>374.0</v>
      </c>
      <c r="R20" s="22" t="s">
        <v>37</v>
      </c>
      <c r="S20" s="29" t="s">
        <v>38</v>
      </c>
      <c r="T20" s="22"/>
    </row>
    <row r="21">
      <c r="C21" s="33"/>
    </row>
    <row r="22">
      <c r="A22" s="19" t="s">
        <v>39</v>
      </c>
      <c r="B22" s="19" t="s">
        <v>40</v>
      </c>
      <c r="C22" s="20" t="s">
        <v>41</v>
      </c>
      <c r="D22" s="19" t="s">
        <v>23</v>
      </c>
      <c r="E22" s="21" t="s">
        <v>24</v>
      </c>
      <c r="F22" s="22">
        <v>0.636</v>
      </c>
      <c r="G22" s="22">
        <v>0.713</v>
      </c>
      <c r="H22" s="22">
        <v>0.723</v>
      </c>
      <c r="I22" s="22">
        <v>0.717</v>
      </c>
      <c r="J22" s="22">
        <v>0.678</v>
      </c>
      <c r="K22" s="22">
        <v>0.282</v>
      </c>
      <c r="L22" s="22">
        <v>0.795</v>
      </c>
      <c r="M22" s="22">
        <v>0.831</v>
      </c>
      <c r="N22" s="22">
        <v>75.3</v>
      </c>
      <c r="O22" s="22">
        <v>95.7</v>
      </c>
      <c r="P22" s="22">
        <v>75.867</v>
      </c>
      <c r="Q22" s="22">
        <v>372.133</v>
      </c>
      <c r="R22" s="22"/>
      <c r="S22" s="22"/>
      <c r="T22" s="22"/>
    </row>
    <row r="23">
      <c r="A23" s="23"/>
      <c r="B23" s="23"/>
      <c r="C23" s="23"/>
      <c r="D23" s="23"/>
      <c r="E23" s="21" t="s">
        <v>25</v>
      </c>
      <c r="F23" s="22">
        <v>0.636</v>
      </c>
      <c r="G23" s="22">
        <v>0.714</v>
      </c>
      <c r="H23" s="22">
        <v>0.723</v>
      </c>
      <c r="I23" s="22">
        <v>0.717</v>
      </c>
      <c r="J23" s="22">
        <v>0.673</v>
      </c>
      <c r="K23" s="22">
        <v>0.283</v>
      </c>
      <c r="L23" s="22">
        <v>0.796</v>
      </c>
      <c r="M23" s="22">
        <v>0.831</v>
      </c>
      <c r="N23" s="22">
        <v>75.267</v>
      </c>
      <c r="O23" s="22">
        <v>95.733</v>
      </c>
      <c r="P23" s="22">
        <v>75.633</v>
      </c>
      <c r="Q23" s="22">
        <v>372.367</v>
      </c>
      <c r="R23" s="22"/>
      <c r="S23" s="22"/>
      <c r="T23" s="22"/>
    </row>
    <row r="24">
      <c r="A24" s="23"/>
      <c r="B24" s="23"/>
      <c r="C24" s="23"/>
      <c r="D24" s="23"/>
      <c r="E24" s="21" t="s">
        <v>26</v>
      </c>
      <c r="F24" s="22">
        <v>0.637</v>
      </c>
      <c r="G24" s="22">
        <v>0.714</v>
      </c>
      <c r="H24" s="22">
        <v>0.723</v>
      </c>
      <c r="I24" s="22">
        <v>0.718</v>
      </c>
      <c r="J24" s="22">
        <v>0.677</v>
      </c>
      <c r="K24" s="22">
        <v>0.284</v>
      </c>
      <c r="L24" s="22">
        <v>0.796</v>
      </c>
      <c r="M24" s="22">
        <v>0.831</v>
      </c>
      <c r="N24" s="22">
        <v>75.667</v>
      </c>
      <c r="O24" s="22">
        <v>95.333</v>
      </c>
      <c r="P24" s="22">
        <v>75.867</v>
      </c>
      <c r="Q24" s="22">
        <v>372.133</v>
      </c>
      <c r="R24" s="22"/>
      <c r="S24" s="22"/>
      <c r="T24" s="22"/>
    </row>
    <row r="25">
      <c r="A25" s="23"/>
      <c r="B25" s="23"/>
      <c r="C25" s="23"/>
      <c r="D25" s="23"/>
      <c r="E25" s="24" t="s">
        <v>27</v>
      </c>
      <c r="F25" s="30">
        <v>0.636</v>
      </c>
      <c r="G25" s="30">
        <v>0.713</v>
      </c>
      <c r="H25" s="30">
        <v>0.722</v>
      </c>
      <c r="I25" s="30">
        <v>0.717</v>
      </c>
      <c r="J25" s="30">
        <v>0.669</v>
      </c>
      <c r="K25" s="30">
        <v>0.281</v>
      </c>
      <c r="L25" s="30">
        <v>0.796</v>
      </c>
      <c r="M25" s="30">
        <v>0.828</v>
      </c>
      <c r="N25" s="30">
        <v>75.733</v>
      </c>
      <c r="O25" s="30">
        <v>95.267</v>
      </c>
      <c r="P25" s="30">
        <v>76.967</v>
      </c>
      <c r="Q25" s="22">
        <v>371.033</v>
      </c>
      <c r="R25" s="22"/>
      <c r="S25" s="22"/>
      <c r="T25" s="22"/>
    </row>
    <row r="26">
      <c r="A26" s="23"/>
      <c r="B26" s="23"/>
      <c r="C26" s="23"/>
      <c r="D26" s="23"/>
      <c r="E26" s="24" t="s">
        <v>28</v>
      </c>
      <c r="F26" s="30">
        <v>0.637</v>
      </c>
      <c r="G26" s="30">
        <v>0.714</v>
      </c>
      <c r="H26" s="30">
        <v>0.723</v>
      </c>
      <c r="I26" s="30">
        <v>0.718</v>
      </c>
      <c r="J26" s="30">
        <v>0.667</v>
      </c>
      <c r="K26" s="30">
        <v>0.284</v>
      </c>
      <c r="L26" s="30">
        <v>0.796</v>
      </c>
      <c r="M26" s="30">
        <v>0.828</v>
      </c>
      <c r="N26" s="30">
        <v>76.1</v>
      </c>
      <c r="O26" s="30">
        <v>94.9</v>
      </c>
      <c r="P26" s="30">
        <v>76.833</v>
      </c>
      <c r="Q26" s="30">
        <v>371.167</v>
      </c>
      <c r="R26" s="22"/>
      <c r="S26" s="22"/>
      <c r="T26" s="22"/>
    </row>
    <row r="27">
      <c r="A27" s="23"/>
      <c r="B27" s="23"/>
      <c r="C27" s="23"/>
      <c r="D27" s="23"/>
      <c r="E27" s="24" t="s">
        <v>29</v>
      </c>
      <c r="F27" s="30">
        <v>0.505</v>
      </c>
      <c r="G27" s="30">
        <v>0.618</v>
      </c>
      <c r="H27" s="30">
        <v>0.687</v>
      </c>
      <c r="I27" s="30">
        <v>0.622</v>
      </c>
      <c r="J27" s="30">
        <v>0.522</v>
      </c>
      <c r="K27" s="30">
        <v>0.018</v>
      </c>
      <c r="L27" s="30">
        <v>0.726</v>
      </c>
      <c r="M27" s="30">
        <v>0.911</v>
      </c>
      <c r="N27" s="30">
        <v>17.1</v>
      </c>
      <c r="O27" s="30">
        <v>153.9</v>
      </c>
      <c r="P27" s="30">
        <v>40.033</v>
      </c>
      <c r="Q27" s="30">
        <v>407.967</v>
      </c>
      <c r="R27" s="22"/>
      <c r="S27" s="22"/>
      <c r="T27" s="22"/>
    </row>
    <row r="28">
      <c r="A28" s="23"/>
      <c r="B28" s="23"/>
      <c r="C28" s="23"/>
      <c r="D28" s="23"/>
      <c r="E28" s="24" t="s">
        <v>30</v>
      </c>
      <c r="F28" s="30">
        <v>0.505</v>
      </c>
      <c r="G28" s="30">
        <v>0.611</v>
      </c>
      <c r="H28" s="30">
        <v>0.686</v>
      </c>
      <c r="I28" s="30">
        <v>0.621</v>
      </c>
      <c r="J28" s="30">
        <v>0.521</v>
      </c>
      <c r="K28" s="30">
        <v>0.013</v>
      </c>
      <c r="L28" s="30">
        <v>0.726</v>
      </c>
      <c r="M28" s="30">
        <v>0.909</v>
      </c>
      <c r="N28" s="30">
        <v>17.133</v>
      </c>
      <c r="O28" s="30">
        <v>153.867</v>
      </c>
      <c r="P28" s="30">
        <v>40.733</v>
      </c>
      <c r="Q28" s="30">
        <v>407.267</v>
      </c>
      <c r="R28" s="22"/>
      <c r="S28" s="22"/>
      <c r="T28" s="22"/>
    </row>
    <row r="29">
      <c r="A29" s="23"/>
      <c r="B29" s="23"/>
      <c r="C29" s="23"/>
      <c r="D29" s="25"/>
      <c r="E29" s="21" t="s">
        <v>31</v>
      </c>
      <c r="F29" s="22">
        <v>0.635</v>
      </c>
      <c r="G29" s="22">
        <v>0.713</v>
      </c>
      <c r="H29" s="22">
        <v>0.723</v>
      </c>
      <c r="I29" s="22">
        <v>0.717</v>
      </c>
      <c r="J29" s="22">
        <v>0.672</v>
      </c>
      <c r="K29" s="22">
        <v>0.282</v>
      </c>
      <c r="L29" s="22">
        <v>0.795</v>
      </c>
      <c r="M29" s="22">
        <v>0.831</v>
      </c>
      <c r="N29" s="22">
        <v>75.233</v>
      </c>
      <c r="O29" s="22">
        <v>95.767</v>
      </c>
      <c r="P29" s="22">
        <v>75.767</v>
      </c>
      <c r="Q29" s="22">
        <v>372.233</v>
      </c>
      <c r="R29" s="22"/>
      <c r="S29" s="22"/>
      <c r="T29" s="22"/>
    </row>
    <row r="30">
      <c r="A30" s="23"/>
      <c r="B30" s="23"/>
      <c r="C30" s="23"/>
      <c r="D30" s="26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8"/>
    </row>
    <row r="31">
      <c r="A31" s="23"/>
      <c r="B31" s="23"/>
      <c r="C31" s="23"/>
      <c r="D31" s="19" t="s">
        <v>32</v>
      </c>
      <c r="E31" s="21" t="s">
        <v>24</v>
      </c>
      <c r="F31" s="30">
        <v>0.642</v>
      </c>
      <c r="G31" s="30">
        <v>0.72</v>
      </c>
      <c r="H31" s="31">
        <v>0.73</v>
      </c>
      <c r="I31" s="30">
        <v>0.724</v>
      </c>
      <c r="J31" s="31">
        <v>0.695</v>
      </c>
      <c r="K31" s="30">
        <v>0.297</v>
      </c>
      <c r="L31" s="30">
        <v>0.798</v>
      </c>
      <c r="M31" s="31">
        <v>0.839</v>
      </c>
      <c r="N31" s="30">
        <v>76.0</v>
      </c>
      <c r="O31" s="30">
        <v>95.0</v>
      </c>
      <c r="P31" s="31">
        <v>72.0</v>
      </c>
      <c r="Q31" s="31">
        <v>376.0</v>
      </c>
      <c r="R31" s="30" t="s">
        <v>42</v>
      </c>
      <c r="S31" s="32" t="s">
        <v>43</v>
      </c>
      <c r="T31" s="22"/>
    </row>
    <row r="32">
      <c r="A32" s="23"/>
      <c r="B32" s="23"/>
      <c r="C32" s="23"/>
      <c r="D32" s="23"/>
      <c r="E32" s="21" t="s">
        <v>25</v>
      </c>
      <c r="F32" s="22">
        <v>0.651</v>
      </c>
      <c r="G32" s="22">
        <v>0.726</v>
      </c>
      <c r="H32" s="22">
        <v>0.733</v>
      </c>
      <c r="I32" s="22">
        <v>0.729</v>
      </c>
      <c r="J32" s="22">
        <v>0.676</v>
      </c>
      <c r="K32" s="22">
        <v>0.313</v>
      </c>
      <c r="L32" s="22">
        <v>0.804</v>
      </c>
      <c r="M32" s="22">
        <v>0.835</v>
      </c>
      <c r="N32" s="22">
        <v>80.0</v>
      </c>
      <c r="O32" s="22">
        <v>91.0</v>
      </c>
      <c r="P32" s="22">
        <v>74.0</v>
      </c>
      <c r="Q32" s="22">
        <v>374.0</v>
      </c>
      <c r="R32" s="30" t="s">
        <v>33</v>
      </c>
      <c r="S32" s="29" t="s">
        <v>44</v>
      </c>
      <c r="T32" s="22"/>
    </row>
    <row r="33">
      <c r="A33" s="23"/>
      <c r="B33" s="23"/>
      <c r="C33" s="23"/>
      <c r="D33" s="23"/>
      <c r="E33" s="21" t="s">
        <v>26</v>
      </c>
      <c r="F33" s="22">
        <v>0.652</v>
      </c>
      <c r="G33" s="22">
        <v>0.725</v>
      </c>
      <c r="H33" s="22">
        <v>0.732</v>
      </c>
      <c r="I33" s="22">
        <v>0.728</v>
      </c>
      <c r="J33" s="22">
        <v>0.689</v>
      </c>
      <c r="K33" s="22">
        <v>0.312</v>
      </c>
      <c r="L33" s="22">
        <v>0.805</v>
      </c>
      <c r="M33" s="22">
        <v>0.83</v>
      </c>
      <c r="N33" s="22">
        <v>81.0</v>
      </c>
      <c r="O33" s="22">
        <v>90.0</v>
      </c>
      <c r="P33" s="22">
        <v>76.0</v>
      </c>
      <c r="Q33" s="22">
        <v>372.0</v>
      </c>
      <c r="R33" s="30" t="s">
        <v>42</v>
      </c>
      <c r="S33" s="29" t="s">
        <v>45</v>
      </c>
      <c r="T33" s="22"/>
    </row>
    <row r="34">
      <c r="A34" s="23"/>
      <c r="B34" s="23"/>
      <c r="C34" s="23"/>
      <c r="D34" s="23"/>
      <c r="E34" s="24" t="s">
        <v>27</v>
      </c>
      <c r="F34" s="30">
        <v>0.645</v>
      </c>
      <c r="G34" s="30">
        <v>0.721</v>
      </c>
      <c r="H34" s="30">
        <v>0.73</v>
      </c>
      <c r="I34" s="30">
        <v>0.725</v>
      </c>
      <c r="J34" s="30">
        <v>0.68</v>
      </c>
      <c r="K34" s="30">
        <v>0.302</v>
      </c>
      <c r="L34" s="30">
        <v>0.801</v>
      </c>
      <c r="M34" s="30">
        <v>0.835</v>
      </c>
      <c r="N34" s="30">
        <v>78.0</v>
      </c>
      <c r="O34" s="30">
        <v>93.0</v>
      </c>
      <c r="P34" s="30">
        <v>74.0</v>
      </c>
      <c r="Q34" s="30">
        <v>374.0</v>
      </c>
      <c r="R34" s="30"/>
      <c r="S34" s="29"/>
      <c r="T34" s="22"/>
    </row>
    <row r="35">
      <c r="A35" s="23"/>
      <c r="B35" s="23"/>
      <c r="C35" s="23"/>
      <c r="D35" s="23"/>
      <c r="E35" s="24" t="s">
        <v>28</v>
      </c>
      <c r="F35" s="30">
        <v>0.647</v>
      </c>
      <c r="G35" s="30">
        <v>0.723</v>
      </c>
      <c r="H35" s="30">
        <v>0.732</v>
      </c>
      <c r="I35" s="31">
        <v>0.726</v>
      </c>
      <c r="J35" s="30">
        <v>0.679</v>
      </c>
      <c r="K35" s="30">
        <v>0.305</v>
      </c>
      <c r="L35" s="30">
        <v>0.801</v>
      </c>
      <c r="M35" s="30">
        <v>0.837</v>
      </c>
      <c r="N35" s="30">
        <v>78.0</v>
      </c>
      <c r="O35" s="30">
        <v>93.0</v>
      </c>
      <c r="P35" s="30">
        <v>73.0</v>
      </c>
      <c r="Q35" s="30">
        <v>375.0</v>
      </c>
      <c r="R35" s="30"/>
      <c r="S35" s="29"/>
      <c r="T35" s="22"/>
    </row>
    <row r="36">
      <c r="A36" s="23"/>
      <c r="B36" s="23"/>
      <c r="C36" s="23"/>
      <c r="D36" s="23"/>
      <c r="E36" s="24" t="s">
        <v>29</v>
      </c>
      <c r="F36" s="30">
        <v>0.527</v>
      </c>
      <c r="G36" s="30">
        <v>0.626</v>
      </c>
      <c r="H36" s="30">
        <v>0.666</v>
      </c>
      <c r="I36" s="30">
        <v>0.64</v>
      </c>
      <c r="J36" s="30">
        <v>0.525</v>
      </c>
      <c r="K36" s="30">
        <v>0.062</v>
      </c>
      <c r="L36" s="30">
        <v>0.737</v>
      </c>
      <c r="M36" s="30">
        <v>0.837</v>
      </c>
      <c r="N36" s="30">
        <v>37.0</v>
      </c>
      <c r="O36" s="30">
        <v>134.0</v>
      </c>
      <c r="P36" s="30">
        <v>73.0</v>
      </c>
      <c r="Q36" s="30">
        <v>375.0</v>
      </c>
      <c r="R36" s="30"/>
      <c r="S36" s="29"/>
      <c r="T36" s="22"/>
    </row>
    <row r="37">
      <c r="A37" s="23"/>
      <c r="B37" s="23"/>
      <c r="C37" s="23"/>
      <c r="D37" s="23"/>
      <c r="E37" s="24" t="s">
        <v>30</v>
      </c>
      <c r="F37" s="30">
        <v>0.525</v>
      </c>
      <c r="G37" s="30">
        <v>0.632</v>
      </c>
      <c r="H37" s="30">
        <v>0.69</v>
      </c>
      <c r="I37" s="30">
        <v>0.644</v>
      </c>
      <c r="J37" s="30">
        <v>0.507</v>
      </c>
      <c r="K37" s="30">
        <v>0.07</v>
      </c>
      <c r="L37" s="30">
        <v>0.735</v>
      </c>
      <c r="M37" s="30">
        <v>0.893</v>
      </c>
      <c r="N37" s="30">
        <v>27.0</v>
      </c>
      <c r="O37" s="30">
        <v>144.0</v>
      </c>
      <c r="P37" s="30">
        <v>48.0</v>
      </c>
      <c r="Q37" s="30">
        <v>400.0</v>
      </c>
      <c r="R37" s="30"/>
      <c r="S37" s="29"/>
      <c r="T37" s="22"/>
    </row>
    <row r="38">
      <c r="A38" s="25"/>
      <c r="B38" s="25"/>
      <c r="C38" s="25"/>
      <c r="D38" s="25"/>
      <c r="E38" s="21" t="s">
        <v>31</v>
      </c>
      <c r="F38" s="22">
        <v>0.661</v>
      </c>
      <c r="G38" s="22">
        <v>0.728</v>
      </c>
      <c r="H38" s="22">
        <v>0.727</v>
      </c>
      <c r="I38" s="22">
        <v>0.728</v>
      </c>
      <c r="J38" s="22">
        <v>0.689</v>
      </c>
      <c r="K38" s="22">
        <v>0.321</v>
      </c>
      <c r="L38" s="22">
        <v>0.813</v>
      </c>
      <c r="M38" s="22">
        <v>0.808</v>
      </c>
      <c r="N38" s="22">
        <v>88.0</v>
      </c>
      <c r="O38" s="22">
        <v>83.0</v>
      </c>
      <c r="P38" s="22">
        <v>86.0</v>
      </c>
      <c r="Q38" s="22">
        <v>362.0</v>
      </c>
      <c r="R38" s="30" t="s">
        <v>37</v>
      </c>
      <c r="S38" s="29" t="s">
        <v>46</v>
      </c>
      <c r="T38" s="22"/>
    </row>
    <row r="39">
      <c r="C39" s="33"/>
    </row>
    <row r="40">
      <c r="A40" s="19" t="s">
        <v>47</v>
      </c>
      <c r="B40" s="19" t="s">
        <v>40</v>
      </c>
      <c r="C40" s="20" t="s">
        <v>48</v>
      </c>
      <c r="D40" s="19" t="s">
        <v>23</v>
      </c>
      <c r="E40" s="21" t="s">
        <v>24</v>
      </c>
      <c r="F40" s="22">
        <v>0.608</v>
      </c>
      <c r="G40" s="22">
        <v>0.718</v>
      </c>
      <c r="H40" s="22">
        <v>0.736</v>
      </c>
      <c r="I40" s="22">
        <v>0.709</v>
      </c>
      <c r="J40" s="22">
        <v>0.72</v>
      </c>
      <c r="K40" s="22">
        <v>0.269</v>
      </c>
      <c r="L40" s="22">
        <v>0.777</v>
      </c>
      <c r="M40" s="22">
        <v>0.893</v>
      </c>
      <c r="N40" s="22">
        <v>55.4</v>
      </c>
      <c r="O40" s="22">
        <v>115.6</v>
      </c>
      <c r="P40" s="22">
        <v>47.967</v>
      </c>
      <c r="Q40" s="22">
        <v>400.033</v>
      </c>
      <c r="R40" s="22"/>
      <c r="S40" s="22"/>
      <c r="T40" s="22"/>
    </row>
    <row r="41">
      <c r="A41" s="23"/>
      <c r="B41" s="23"/>
      <c r="C41" s="23"/>
      <c r="D41" s="23"/>
      <c r="E41" s="21" t="s">
        <v>25</v>
      </c>
      <c r="F41" s="22">
        <v>0.607</v>
      </c>
      <c r="G41" s="22">
        <v>0.712</v>
      </c>
      <c r="H41" s="22">
        <v>0.73</v>
      </c>
      <c r="I41" s="22">
        <v>0.707</v>
      </c>
      <c r="J41" s="22">
        <v>0.71</v>
      </c>
      <c r="K41" s="22">
        <v>0.259</v>
      </c>
      <c r="L41" s="22">
        <v>0.777</v>
      </c>
      <c r="M41" s="22">
        <v>0.883</v>
      </c>
      <c r="N41" s="22">
        <v>56.633</v>
      </c>
      <c r="O41" s="22">
        <v>114.367</v>
      </c>
      <c r="P41" s="22">
        <v>52.467</v>
      </c>
      <c r="Q41" s="22">
        <v>395.533</v>
      </c>
      <c r="R41" s="22"/>
      <c r="S41" s="22"/>
      <c r="T41" s="22"/>
    </row>
    <row r="42">
      <c r="A42" s="23"/>
      <c r="B42" s="23"/>
      <c r="C42" s="23"/>
      <c r="D42" s="23"/>
      <c r="E42" s="21" t="s">
        <v>26</v>
      </c>
      <c r="F42" s="22">
        <v>0.607</v>
      </c>
      <c r="G42" s="22">
        <v>0.719</v>
      </c>
      <c r="H42" s="22">
        <v>0.74</v>
      </c>
      <c r="I42" s="22">
        <v>0.711</v>
      </c>
      <c r="J42" s="22">
        <v>0.723</v>
      </c>
      <c r="K42" s="22">
        <v>0.271</v>
      </c>
      <c r="L42" s="22">
        <v>0.775</v>
      </c>
      <c r="M42" s="22">
        <v>0.905</v>
      </c>
      <c r="N42" s="22">
        <v>52.8</v>
      </c>
      <c r="O42" s="22">
        <v>118.2</v>
      </c>
      <c r="P42" s="22">
        <v>42.533</v>
      </c>
      <c r="Q42" s="22">
        <v>405.467</v>
      </c>
      <c r="R42" s="22"/>
      <c r="S42" s="22"/>
      <c r="T42" s="22"/>
    </row>
    <row r="43">
      <c r="A43" s="23"/>
      <c r="B43" s="23"/>
      <c r="C43" s="23"/>
      <c r="D43" s="23"/>
      <c r="E43" s="24" t="s">
        <v>27</v>
      </c>
      <c r="F43" s="30">
        <v>0.616</v>
      </c>
      <c r="G43" s="30">
        <v>0.713</v>
      </c>
      <c r="H43" s="30">
        <v>0.73</v>
      </c>
      <c r="I43" s="30">
        <v>0.711</v>
      </c>
      <c r="J43" s="30">
        <v>0.72</v>
      </c>
      <c r="K43" s="30">
        <v>0.267</v>
      </c>
      <c r="L43" s="30">
        <v>0.783</v>
      </c>
      <c r="M43" s="30">
        <v>0.872</v>
      </c>
      <c r="N43" s="30">
        <v>61.367</v>
      </c>
      <c r="O43" s="30">
        <v>109.633</v>
      </c>
      <c r="P43" s="30">
        <v>57.233</v>
      </c>
      <c r="Q43" s="30">
        <v>390.767</v>
      </c>
      <c r="R43" s="22"/>
      <c r="S43" s="22"/>
      <c r="T43" s="22"/>
    </row>
    <row r="44">
      <c r="A44" s="23"/>
      <c r="B44" s="23"/>
      <c r="C44" s="23"/>
      <c r="D44" s="23"/>
      <c r="E44" s="24" t="s">
        <v>28</v>
      </c>
      <c r="F44" s="30">
        <v>0.615</v>
      </c>
      <c r="G44" s="30">
        <v>0.715</v>
      </c>
      <c r="H44" s="30">
        <v>0.734</v>
      </c>
      <c r="I44" s="30">
        <v>0.712</v>
      </c>
      <c r="J44" s="30">
        <v>0.722</v>
      </c>
      <c r="K44" s="30">
        <v>0.27</v>
      </c>
      <c r="L44" s="30">
        <v>0.781</v>
      </c>
      <c r="M44" s="30">
        <v>0.881</v>
      </c>
      <c r="N44" s="30">
        <v>59.467</v>
      </c>
      <c r="O44" s="30">
        <v>111.533</v>
      </c>
      <c r="P44" s="30">
        <v>53.2</v>
      </c>
      <c r="Q44" s="30">
        <v>394.8</v>
      </c>
      <c r="R44" s="22"/>
      <c r="S44" s="22"/>
      <c r="T44" s="22"/>
    </row>
    <row r="45">
      <c r="A45" s="23"/>
      <c r="B45" s="23"/>
      <c r="C45" s="23"/>
      <c r="D45" s="23"/>
      <c r="E45" s="24" t="s">
        <v>29</v>
      </c>
      <c r="F45" s="30">
        <v>0.508</v>
      </c>
      <c r="G45" s="30">
        <v>0.617</v>
      </c>
      <c r="H45" s="30">
        <v>0.698</v>
      </c>
      <c r="I45" s="30">
        <v>0.623</v>
      </c>
      <c r="J45" s="30">
        <v>0.535</v>
      </c>
      <c r="K45" s="30">
        <v>0.028</v>
      </c>
      <c r="L45" s="30">
        <v>0.727</v>
      </c>
      <c r="M45" s="30">
        <v>0.933</v>
      </c>
      <c r="N45" s="30">
        <v>14.2</v>
      </c>
      <c r="O45" s="30">
        <v>156.8</v>
      </c>
      <c r="P45" s="30">
        <v>30.0</v>
      </c>
      <c r="Q45" s="30">
        <v>418.0</v>
      </c>
      <c r="R45" s="22"/>
      <c r="S45" s="22"/>
      <c r="T45" s="22"/>
    </row>
    <row r="46">
      <c r="A46" s="23"/>
      <c r="B46" s="23"/>
      <c r="C46" s="23"/>
      <c r="D46" s="23"/>
      <c r="E46" s="24" t="s">
        <v>30</v>
      </c>
      <c r="F46" s="30">
        <v>0.507</v>
      </c>
      <c r="G46" s="30">
        <v>0.627</v>
      </c>
      <c r="H46" s="30">
        <v>0.697</v>
      </c>
      <c r="I46" s="30">
        <v>0.623</v>
      </c>
      <c r="J46" s="30">
        <v>0.537</v>
      </c>
      <c r="K46" s="30">
        <v>0.028</v>
      </c>
      <c r="L46" s="30">
        <v>0.727</v>
      </c>
      <c r="M46" s="30">
        <v>0.931</v>
      </c>
      <c r="N46" s="30">
        <v>14.367</v>
      </c>
      <c r="O46" s="30">
        <v>156.633</v>
      </c>
      <c r="P46" s="30">
        <v>31.033</v>
      </c>
      <c r="Q46" s="30">
        <v>416.967</v>
      </c>
      <c r="R46" s="22"/>
      <c r="S46" s="22"/>
      <c r="T46" s="22"/>
    </row>
    <row r="47">
      <c r="A47" s="23"/>
      <c r="B47" s="23"/>
      <c r="C47" s="23"/>
      <c r="D47" s="25"/>
      <c r="E47" s="21" t="s">
        <v>31</v>
      </c>
      <c r="F47" s="22">
        <v>0.604</v>
      </c>
      <c r="G47" s="22">
        <v>0.712</v>
      </c>
      <c r="H47" s="22">
        <v>0.733</v>
      </c>
      <c r="I47" s="22">
        <v>0.706</v>
      </c>
      <c r="J47" s="22">
        <v>0.715</v>
      </c>
      <c r="K47" s="22">
        <v>0.256</v>
      </c>
      <c r="L47" s="22">
        <v>0.774</v>
      </c>
      <c r="M47" s="22">
        <v>0.892</v>
      </c>
      <c r="N47" s="22">
        <v>53.933</v>
      </c>
      <c r="O47" s="22">
        <v>117.067</v>
      </c>
      <c r="P47" s="22">
        <v>48.433</v>
      </c>
      <c r="Q47" s="22">
        <v>399.567</v>
      </c>
      <c r="R47" s="22"/>
      <c r="S47" s="22"/>
      <c r="T47" s="22"/>
    </row>
    <row r="48">
      <c r="A48" s="23"/>
      <c r="B48" s="23"/>
      <c r="C48" s="23"/>
      <c r="D48" s="26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8"/>
    </row>
    <row r="49">
      <c r="A49" s="23"/>
      <c r="B49" s="23"/>
      <c r="C49" s="23"/>
      <c r="D49" s="19" t="s">
        <v>32</v>
      </c>
      <c r="E49" s="21" t="s">
        <v>24</v>
      </c>
      <c r="F49" s="22">
        <v>0.641</v>
      </c>
      <c r="G49" s="22">
        <v>0.741</v>
      </c>
      <c r="H49" s="22">
        <v>0.761</v>
      </c>
      <c r="I49" s="22">
        <v>0.741</v>
      </c>
      <c r="J49" s="22">
        <v>0.753</v>
      </c>
      <c r="K49" s="22">
        <v>0.337</v>
      </c>
      <c r="L49" s="22">
        <v>0.792</v>
      </c>
      <c r="M49" s="22">
        <v>0.908</v>
      </c>
      <c r="N49" s="22">
        <v>64.0</v>
      </c>
      <c r="O49" s="22">
        <v>107.0</v>
      </c>
      <c r="P49" s="22">
        <v>41.0</v>
      </c>
      <c r="Q49" s="22">
        <v>407.0</v>
      </c>
      <c r="R49" s="30" t="s">
        <v>49</v>
      </c>
      <c r="S49" s="32" t="s">
        <v>50</v>
      </c>
      <c r="T49" s="22"/>
    </row>
    <row r="50">
      <c r="A50" s="23"/>
      <c r="B50" s="23"/>
      <c r="C50" s="23"/>
      <c r="D50" s="23"/>
      <c r="E50" s="21" t="s">
        <v>25</v>
      </c>
      <c r="F50" s="22">
        <v>0.621</v>
      </c>
      <c r="G50" s="22">
        <v>0.73</v>
      </c>
      <c r="H50" s="22">
        <v>0.753</v>
      </c>
      <c r="I50" s="22">
        <v>0.727</v>
      </c>
      <c r="J50" s="22">
        <v>0.736</v>
      </c>
      <c r="K50" s="22">
        <v>0.302</v>
      </c>
      <c r="L50" s="22">
        <v>0.781</v>
      </c>
      <c r="M50" s="22">
        <v>0.915</v>
      </c>
      <c r="N50" s="22">
        <v>56.0</v>
      </c>
      <c r="O50" s="22">
        <v>115.0</v>
      </c>
      <c r="P50" s="22">
        <v>38.0</v>
      </c>
      <c r="Q50" s="22">
        <v>410.0</v>
      </c>
      <c r="R50" s="30" t="s">
        <v>37</v>
      </c>
      <c r="S50" s="29" t="s">
        <v>51</v>
      </c>
      <c r="T50" s="22"/>
    </row>
    <row r="51">
      <c r="A51" s="23"/>
      <c r="B51" s="23"/>
      <c r="C51" s="23"/>
      <c r="D51" s="23"/>
      <c r="E51" s="21" t="s">
        <v>26</v>
      </c>
      <c r="F51" s="22">
        <v>0.652</v>
      </c>
      <c r="G51" s="22">
        <v>0.743</v>
      </c>
      <c r="H51" s="22">
        <v>0.761</v>
      </c>
      <c r="I51" s="22">
        <v>0.745</v>
      </c>
      <c r="J51" s="22">
        <v>0.715</v>
      </c>
      <c r="K51" s="22">
        <v>0.348</v>
      </c>
      <c r="L51" s="22">
        <v>0.799</v>
      </c>
      <c r="M51" s="22">
        <v>0.895</v>
      </c>
      <c r="N51" s="22">
        <v>70.0</v>
      </c>
      <c r="O51" s="22">
        <v>101.0</v>
      </c>
      <c r="P51" s="22">
        <v>47.0</v>
      </c>
      <c r="Q51" s="22">
        <v>401.0</v>
      </c>
      <c r="R51" s="30" t="s">
        <v>49</v>
      </c>
      <c r="S51" s="29" t="s">
        <v>50</v>
      </c>
      <c r="T51" s="22"/>
    </row>
    <row r="52">
      <c r="A52" s="23"/>
      <c r="B52" s="23"/>
      <c r="C52" s="23"/>
      <c r="D52" s="23"/>
      <c r="E52" s="24" t="s">
        <v>27</v>
      </c>
      <c r="F52" s="30">
        <v>0.634</v>
      </c>
      <c r="G52" s="30">
        <v>0.725</v>
      </c>
      <c r="H52" s="30">
        <v>0.745</v>
      </c>
      <c r="I52" s="31">
        <v>0.729</v>
      </c>
      <c r="J52" s="30">
        <v>0.74</v>
      </c>
      <c r="K52" s="30">
        <v>0.304</v>
      </c>
      <c r="L52" s="30">
        <v>0.79</v>
      </c>
      <c r="M52" s="30">
        <v>0.882</v>
      </c>
      <c r="N52" s="30">
        <v>66.0</v>
      </c>
      <c r="O52" s="30">
        <v>105.0</v>
      </c>
      <c r="P52" s="30">
        <v>53.0</v>
      </c>
      <c r="Q52" s="30">
        <v>395.0</v>
      </c>
      <c r="R52" s="30"/>
      <c r="S52" s="29"/>
      <c r="T52" s="22"/>
    </row>
    <row r="53">
      <c r="A53" s="23"/>
      <c r="B53" s="23"/>
      <c r="C53" s="23"/>
      <c r="D53" s="23"/>
      <c r="E53" s="24" t="s">
        <v>28</v>
      </c>
      <c r="F53" s="30">
        <v>0.647</v>
      </c>
      <c r="G53" s="30">
        <v>0.738</v>
      </c>
      <c r="H53" s="30">
        <v>0.756</v>
      </c>
      <c r="I53" s="31">
        <v>0.741</v>
      </c>
      <c r="J53" s="30">
        <v>0.743</v>
      </c>
      <c r="K53" s="30">
        <v>0.335</v>
      </c>
      <c r="L53" s="30">
        <v>0.796</v>
      </c>
      <c r="M53" s="30">
        <v>0.891</v>
      </c>
      <c r="N53" s="30">
        <v>69.0</v>
      </c>
      <c r="O53" s="30">
        <v>102.0</v>
      </c>
      <c r="P53" s="30">
        <v>49.0</v>
      </c>
      <c r="Q53" s="30">
        <v>399.0</v>
      </c>
      <c r="R53" s="30"/>
      <c r="S53" s="29"/>
      <c r="T53" s="22"/>
    </row>
    <row r="54">
      <c r="A54" s="23"/>
      <c r="B54" s="23"/>
      <c r="C54" s="23"/>
      <c r="D54" s="23"/>
      <c r="E54" s="24" t="s">
        <v>29</v>
      </c>
      <c r="F54" s="30">
        <v>0.532</v>
      </c>
      <c r="G54" s="30">
        <v>0.631</v>
      </c>
      <c r="H54" s="30">
        <v>0.666</v>
      </c>
      <c r="I54" s="30">
        <v>0.643</v>
      </c>
      <c r="J54" s="30">
        <v>0.51</v>
      </c>
      <c r="K54" s="30">
        <v>0.074</v>
      </c>
      <c r="L54" s="30">
        <v>0.74</v>
      </c>
      <c r="M54" s="30">
        <v>0.83</v>
      </c>
      <c r="N54" s="30">
        <v>40.0</v>
      </c>
      <c r="O54" s="30">
        <v>131.0</v>
      </c>
      <c r="P54" s="30">
        <v>76.0</v>
      </c>
      <c r="Q54" s="30">
        <v>372.0</v>
      </c>
      <c r="R54" s="30"/>
      <c r="S54" s="29"/>
      <c r="T54" s="22"/>
    </row>
    <row r="55">
      <c r="A55" s="23"/>
      <c r="B55" s="23"/>
      <c r="C55" s="23"/>
      <c r="D55" s="23"/>
      <c r="E55" s="24" t="s">
        <v>30</v>
      </c>
      <c r="F55" s="30">
        <v>0.529</v>
      </c>
      <c r="G55" s="30">
        <v>0.628</v>
      </c>
      <c r="H55" s="30">
        <v>0.666</v>
      </c>
      <c r="I55" s="30">
        <v>0.641</v>
      </c>
      <c r="J55" s="30">
        <v>0.531</v>
      </c>
      <c r="K55" s="30">
        <v>0.066</v>
      </c>
      <c r="L55" s="30">
        <v>0.738</v>
      </c>
      <c r="M55" s="30">
        <v>0.835</v>
      </c>
      <c r="N55" s="30">
        <v>38.0</v>
      </c>
      <c r="O55" s="30">
        <v>133.0</v>
      </c>
      <c r="P55" s="30">
        <v>74.0</v>
      </c>
      <c r="Q55" s="30">
        <v>374.0</v>
      </c>
      <c r="R55" s="30"/>
      <c r="S55" s="29"/>
      <c r="T55" s="22"/>
    </row>
    <row r="56">
      <c r="A56" s="25"/>
      <c r="B56" s="25"/>
      <c r="C56" s="25"/>
      <c r="D56" s="25"/>
      <c r="E56" s="21" t="s">
        <v>31</v>
      </c>
      <c r="F56" s="22">
        <v>0.624</v>
      </c>
      <c r="G56" s="22">
        <v>0.734</v>
      </c>
      <c r="H56" s="22">
        <v>0.756</v>
      </c>
      <c r="I56" s="22">
        <v>0.729</v>
      </c>
      <c r="J56" s="22">
        <v>0.728</v>
      </c>
      <c r="K56" s="22">
        <v>0.311</v>
      </c>
      <c r="L56" s="22">
        <v>0.782</v>
      </c>
      <c r="M56" s="22">
        <v>0.92</v>
      </c>
      <c r="N56" s="22">
        <v>56.0</v>
      </c>
      <c r="O56" s="22">
        <v>115.0</v>
      </c>
      <c r="P56" s="22">
        <v>36.0</v>
      </c>
      <c r="Q56" s="22">
        <v>412.0</v>
      </c>
      <c r="R56" s="30" t="s">
        <v>37</v>
      </c>
      <c r="S56" s="29" t="s">
        <v>52</v>
      </c>
      <c r="T56" s="22"/>
    </row>
    <row r="57">
      <c r="C57" s="33"/>
    </row>
    <row r="58">
      <c r="A58" s="19" t="s">
        <v>53</v>
      </c>
      <c r="B58" s="19" t="s">
        <v>40</v>
      </c>
      <c r="C58" s="20" t="s">
        <v>54</v>
      </c>
      <c r="D58" s="19" t="s">
        <v>23</v>
      </c>
      <c r="E58" s="21" t="s">
        <v>24</v>
      </c>
      <c r="F58" s="22">
        <v>0.603</v>
      </c>
      <c r="G58" s="22">
        <v>0.713</v>
      </c>
      <c r="H58" s="22">
        <v>0.738</v>
      </c>
      <c r="I58" s="22">
        <v>0.709</v>
      </c>
      <c r="J58" s="22">
        <v>0.738</v>
      </c>
      <c r="K58" s="22">
        <v>0.259</v>
      </c>
      <c r="L58" s="22">
        <v>0.773</v>
      </c>
      <c r="M58" s="22">
        <v>0.905</v>
      </c>
      <c r="N58" s="22">
        <v>51.6</v>
      </c>
      <c r="O58" s="22">
        <v>119.4</v>
      </c>
      <c r="P58" s="22">
        <v>42.633</v>
      </c>
      <c r="Q58" s="22">
        <v>405.367</v>
      </c>
      <c r="R58" s="22"/>
      <c r="S58" s="22"/>
      <c r="T58" s="22"/>
    </row>
    <row r="59">
      <c r="A59" s="23"/>
      <c r="B59" s="23"/>
      <c r="C59" s="23"/>
      <c r="D59" s="23"/>
      <c r="E59" s="21" t="s">
        <v>25</v>
      </c>
      <c r="F59" s="22">
        <v>0.61</v>
      </c>
      <c r="G59" s="22">
        <v>0.712</v>
      </c>
      <c r="H59" s="22">
        <v>0.734</v>
      </c>
      <c r="I59" s="22">
        <v>0.711</v>
      </c>
      <c r="J59" s="22">
        <v>0.723</v>
      </c>
      <c r="K59" s="22">
        <v>0.262</v>
      </c>
      <c r="L59" s="22">
        <v>0.778</v>
      </c>
      <c r="M59" s="22">
        <v>0.887</v>
      </c>
      <c r="N59" s="22">
        <v>56.933</v>
      </c>
      <c r="O59" s="22">
        <v>114.067</v>
      </c>
      <c r="P59" s="22">
        <v>50.6</v>
      </c>
      <c r="Q59" s="22">
        <v>397.4</v>
      </c>
      <c r="R59" s="22"/>
      <c r="S59" s="22"/>
      <c r="T59" s="22"/>
    </row>
    <row r="60">
      <c r="A60" s="23"/>
      <c r="B60" s="23"/>
      <c r="C60" s="23"/>
      <c r="D60" s="23"/>
      <c r="E60" s="21" t="s">
        <v>26</v>
      </c>
      <c r="F60" s="22">
        <v>0.603</v>
      </c>
      <c r="G60" s="22">
        <v>0.714</v>
      </c>
      <c r="H60" s="22">
        <v>0.737</v>
      </c>
      <c r="I60" s="22">
        <v>0.708</v>
      </c>
      <c r="J60" s="22">
        <v>0.734</v>
      </c>
      <c r="K60" s="22">
        <v>0.26</v>
      </c>
      <c r="L60" s="22">
        <v>0.773</v>
      </c>
      <c r="M60" s="22">
        <v>0.903</v>
      </c>
      <c r="N60" s="22">
        <v>51.867</v>
      </c>
      <c r="O60" s="22">
        <v>119.133</v>
      </c>
      <c r="P60" s="22">
        <v>43.6</v>
      </c>
      <c r="Q60" s="22">
        <v>404.4</v>
      </c>
      <c r="R60" s="22"/>
      <c r="S60" s="22"/>
      <c r="T60" s="22"/>
    </row>
    <row r="61">
      <c r="A61" s="23"/>
      <c r="B61" s="23"/>
      <c r="C61" s="23"/>
      <c r="D61" s="23"/>
      <c r="E61" s="24" t="s">
        <v>27</v>
      </c>
      <c r="F61" s="30">
        <v>0.61</v>
      </c>
      <c r="G61" s="30">
        <v>0.713</v>
      </c>
      <c r="H61" s="30">
        <v>0.737</v>
      </c>
      <c r="I61" s="30">
        <v>0.713</v>
      </c>
      <c r="J61" s="30">
        <v>0.725</v>
      </c>
      <c r="K61" s="30">
        <v>0.265</v>
      </c>
      <c r="L61" s="30">
        <v>0.777</v>
      </c>
      <c r="M61" s="30">
        <v>0.894</v>
      </c>
      <c r="N61" s="30">
        <v>55.667</v>
      </c>
      <c r="O61" s="30">
        <v>115.333</v>
      </c>
      <c r="P61" s="30">
        <v>47.667</v>
      </c>
      <c r="Q61" s="30">
        <v>400.333</v>
      </c>
      <c r="R61" s="22"/>
      <c r="S61" s="22"/>
      <c r="T61" s="22"/>
    </row>
    <row r="62">
      <c r="A62" s="23"/>
      <c r="B62" s="23"/>
      <c r="C62" s="23"/>
      <c r="D62" s="23"/>
      <c r="E62" s="24" t="s">
        <v>28</v>
      </c>
      <c r="F62" s="30">
        <v>0.603</v>
      </c>
      <c r="G62" s="30">
        <v>0.713</v>
      </c>
      <c r="H62" s="30">
        <v>0.739</v>
      </c>
      <c r="I62" s="30">
        <v>0.71</v>
      </c>
      <c r="J62" s="30">
        <v>0.723</v>
      </c>
      <c r="K62" s="30">
        <v>0.26</v>
      </c>
      <c r="L62" s="30">
        <v>0.773</v>
      </c>
      <c r="M62" s="30">
        <v>0.907</v>
      </c>
      <c r="N62" s="30">
        <v>51.233</v>
      </c>
      <c r="O62" s="30">
        <v>119.767</v>
      </c>
      <c r="P62" s="30">
        <v>41.6</v>
      </c>
      <c r="Q62" s="30">
        <v>406.4</v>
      </c>
      <c r="R62" s="22"/>
      <c r="S62" s="22"/>
      <c r="T62" s="22"/>
    </row>
    <row r="63">
      <c r="A63" s="23"/>
      <c r="B63" s="23"/>
      <c r="C63" s="23"/>
      <c r="D63" s="23"/>
      <c r="E63" s="24" t="s">
        <v>29</v>
      </c>
      <c r="F63" s="30">
        <v>0.506</v>
      </c>
      <c r="G63" s="30">
        <v>0.62</v>
      </c>
      <c r="H63" s="30">
        <v>0.705</v>
      </c>
      <c r="I63" s="30">
        <v>0.623</v>
      </c>
      <c r="J63" s="30">
        <v>0.553</v>
      </c>
      <c r="K63" s="30">
        <v>0.027</v>
      </c>
      <c r="L63" s="30">
        <v>0.726</v>
      </c>
      <c r="M63" s="30">
        <v>0.95</v>
      </c>
      <c r="N63" s="30">
        <v>10.7</v>
      </c>
      <c r="O63" s="30">
        <v>160.3</v>
      </c>
      <c r="P63" s="30">
        <v>22.333</v>
      </c>
      <c r="Q63" s="30">
        <v>425.667</v>
      </c>
      <c r="R63" s="22"/>
      <c r="S63" s="22"/>
      <c r="T63" s="22"/>
    </row>
    <row r="64">
      <c r="A64" s="23"/>
      <c r="B64" s="23"/>
      <c r="C64" s="23"/>
      <c r="D64" s="23"/>
      <c r="E64" s="24" t="s">
        <v>30</v>
      </c>
      <c r="F64" s="30">
        <v>0.502</v>
      </c>
      <c r="G64" s="30">
        <v>0.619</v>
      </c>
      <c r="H64" s="30">
        <v>0.705</v>
      </c>
      <c r="I64" s="30">
        <v>0.616</v>
      </c>
      <c r="J64" s="30">
        <v>0.543</v>
      </c>
      <c r="K64" s="30">
        <v>0.012</v>
      </c>
      <c r="L64" s="30">
        <v>0.724</v>
      </c>
      <c r="M64" s="30">
        <v>0.957</v>
      </c>
      <c r="N64" s="30">
        <v>8.0</v>
      </c>
      <c r="O64" s="30">
        <v>163.0</v>
      </c>
      <c r="P64" s="30">
        <v>19.3</v>
      </c>
      <c r="Q64" s="30">
        <v>428.7</v>
      </c>
      <c r="R64" s="22"/>
      <c r="S64" s="22"/>
      <c r="T64" s="22"/>
    </row>
    <row r="65">
      <c r="A65" s="23"/>
      <c r="B65" s="23"/>
      <c r="C65" s="23"/>
      <c r="D65" s="25"/>
      <c r="E65" s="21" t="s">
        <v>31</v>
      </c>
      <c r="F65" s="22">
        <v>0.611</v>
      </c>
      <c r="G65" s="22">
        <v>0.712</v>
      </c>
      <c r="H65" s="22">
        <v>0.731</v>
      </c>
      <c r="I65" s="22">
        <v>0.71</v>
      </c>
      <c r="J65" s="22">
        <v>0.726</v>
      </c>
      <c r="K65" s="22">
        <v>0.263</v>
      </c>
      <c r="L65" s="22">
        <v>0.779</v>
      </c>
      <c r="M65" s="22">
        <v>0.879</v>
      </c>
      <c r="N65" s="22">
        <v>58.8</v>
      </c>
      <c r="O65" s="22">
        <v>112.2</v>
      </c>
      <c r="P65" s="22">
        <v>54.2</v>
      </c>
      <c r="Q65" s="22">
        <v>393.8</v>
      </c>
      <c r="R65" s="22"/>
      <c r="S65" s="22"/>
      <c r="T65" s="22"/>
    </row>
    <row r="66">
      <c r="A66" s="23"/>
      <c r="B66" s="23"/>
      <c r="C66" s="23"/>
      <c r="D66" s="26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8"/>
    </row>
    <row r="67">
      <c r="A67" s="23"/>
      <c r="B67" s="23"/>
      <c r="C67" s="23"/>
      <c r="D67" s="19" t="s">
        <v>32</v>
      </c>
      <c r="E67" s="21" t="s">
        <v>24</v>
      </c>
      <c r="F67" s="22">
        <v>0.63</v>
      </c>
      <c r="G67" s="22">
        <v>0.728</v>
      </c>
      <c r="H67" s="22">
        <v>0.75</v>
      </c>
      <c r="I67" s="22">
        <v>0.73</v>
      </c>
      <c r="J67" s="22">
        <v>0.755</v>
      </c>
      <c r="K67" s="22">
        <v>0.306</v>
      </c>
      <c r="L67" s="22">
        <v>0.787</v>
      </c>
      <c r="M67" s="22">
        <v>0.897</v>
      </c>
      <c r="N67" s="22">
        <v>62.0</v>
      </c>
      <c r="O67" s="22">
        <v>109.0</v>
      </c>
      <c r="P67" s="22">
        <v>46.0</v>
      </c>
      <c r="Q67" s="22">
        <v>402.0</v>
      </c>
      <c r="R67" s="32" t="s">
        <v>49</v>
      </c>
      <c r="S67" s="32" t="s">
        <v>55</v>
      </c>
      <c r="T67" s="22"/>
    </row>
    <row r="68">
      <c r="A68" s="23"/>
      <c r="B68" s="23"/>
      <c r="C68" s="23"/>
      <c r="D68" s="23"/>
      <c r="E68" s="21" t="s">
        <v>25</v>
      </c>
      <c r="F68" s="22">
        <v>0.643</v>
      </c>
      <c r="G68" s="22">
        <v>0.742</v>
      </c>
      <c r="H68" s="22">
        <v>0.761</v>
      </c>
      <c r="I68" s="22">
        <v>0.741</v>
      </c>
      <c r="J68" s="22">
        <v>0.771</v>
      </c>
      <c r="K68" s="22">
        <v>0.339</v>
      </c>
      <c r="L68" s="22">
        <v>0.793</v>
      </c>
      <c r="M68" s="22">
        <v>0.906</v>
      </c>
      <c r="N68" s="22">
        <v>65.0</v>
      </c>
      <c r="O68" s="22">
        <v>106.0</v>
      </c>
      <c r="P68" s="22">
        <v>42.0</v>
      </c>
      <c r="Q68" s="22">
        <v>406.0</v>
      </c>
      <c r="R68" s="32" t="s">
        <v>42</v>
      </c>
      <c r="S68" s="29" t="s">
        <v>56</v>
      </c>
      <c r="T68" s="22"/>
    </row>
    <row r="69">
      <c r="A69" s="23"/>
      <c r="B69" s="23"/>
      <c r="C69" s="23"/>
      <c r="D69" s="23"/>
      <c r="E69" s="21" t="s">
        <v>26</v>
      </c>
      <c r="F69" s="22">
        <v>0.617</v>
      </c>
      <c r="G69" s="22">
        <v>0.739</v>
      </c>
      <c r="H69" s="22">
        <v>0.759</v>
      </c>
      <c r="I69" s="22">
        <v>0.727</v>
      </c>
      <c r="J69" s="22">
        <v>0.752</v>
      </c>
      <c r="K69" s="22">
        <v>0.311</v>
      </c>
      <c r="L69" s="22">
        <v>0.777</v>
      </c>
      <c r="M69" s="22">
        <v>0.935</v>
      </c>
      <c r="N69" s="22">
        <v>51.0</v>
      </c>
      <c r="O69" s="22">
        <v>120.0</v>
      </c>
      <c r="P69" s="22">
        <v>29.0</v>
      </c>
      <c r="Q69" s="22">
        <v>419.0</v>
      </c>
      <c r="R69" s="32" t="s">
        <v>37</v>
      </c>
      <c r="S69" s="29" t="s">
        <v>57</v>
      </c>
      <c r="T69" s="22"/>
    </row>
    <row r="70">
      <c r="A70" s="23"/>
      <c r="B70" s="23"/>
      <c r="C70" s="23"/>
      <c r="D70" s="23"/>
      <c r="E70" s="24" t="s">
        <v>27</v>
      </c>
      <c r="F70" s="30">
        <v>0.618</v>
      </c>
      <c r="G70" s="30">
        <v>0.747</v>
      </c>
      <c r="H70" s="30">
        <v>0.764</v>
      </c>
      <c r="I70" s="31">
        <v>0.73</v>
      </c>
      <c r="J70" s="30">
        <v>0.767</v>
      </c>
      <c r="K70" s="30">
        <v>0.324</v>
      </c>
      <c r="L70" s="30">
        <v>0.778</v>
      </c>
      <c r="M70" s="30">
        <v>0.944</v>
      </c>
      <c r="N70" s="30">
        <v>50.0</v>
      </c>
      <c r="O70" s="30">
        <v>121.0</v>
      </c>
      <c r="P70" s="30">
        <v>25.0</v>
      </c>
      <c r="Q70" s="30">
        <v>423.0</v>
      </c>
      <c r="R70" s="32"/>
      <c r="S70" s="29"/>
      <c r="T70" s="22"/>
    </row>
    <row r="71">
      <c r="A71" s="23"/>
      <c r="B71" s="23"/>
      <c r="C71" s="23"/>
      <c r="D71" s="23"/>
      <c r="E71" s="24" t="s">
        <v>28</v>
      </c>
      <c r="F71" s="30">
        <v>0.617</v>
      </c>
      <c r="G71" s="30">
        <v>0.744</v>
      </c>
      <c r="H71" s="30">
        <v>0.763</v>
      </c>
      <c r="I71" s="31">
        <v>0.728</v>
      </c>
      <c r="J71" s="30">
        <v>0.752</v>
      </c>
      <c r="K71" s="30">
        <v>0.319</v>
      </c>
      <c r="L71" s="30">
        <v>0.777</v>
      </c>
      <c r="M71" s="30">
        <v>0.942</v>
      </c>
      <c r="N71" s="30">
        <v>50.0</v>
      </c>
      <c r="O71" s="30">
        <v>121.0</v>
      </c>
      <c r="P71" s="30">
        <v>26.0</v>
      </c>
      <c r="Q71" s="30">
        <v>422.0</v>
      </c>
      <c r="R71" s="32"/>
      <c r="S71" s="29"/>
      <c r="T71" s="22"/>
    </row>
    <row r="72">
      <c r="A72" s="23"/>
      <c r="B72" s="23"/>
      <c r="C72" s="23"/>
      <c r="D72" s="23"/>
      <c r="E72" s="24" t="s">
        <v>29</v>
      </c>
      <c r="F72" s="30">
        <v>0.513</v>
      </c>
      <c r="G72" s="30">
        <v>0.631</v>
      </c>
      <c r="H72" s="30">
        <v>0.709</v>
      </c>
      <c r="I72" s="30">
        <v>0.632</v>
      </c>
      <c r="J72" s="30">
        <v>0.524</v>
      </c>
      <c r="K72" s="30">
        <v>0.052</v>
      </c>
      <c r="L72" s="30">
        <v>0.729</v>
      </c>
      <c r="M72" s="30">
        <v>0.951</v>
      </c>
      <c r="N72" s="30">
        <v>13.0</v>
      </c>
      <c r="O72" s="30">
        <v>158.0</v>
      </c>
      <c r="P72" s="30">
        <v>22.0</v>
      </c>
      <c r="Q72" s="30">
        <v>426.0</v>
      </c>
      <c r="R72" s="32"/>
      <c r="S72" s="29"/>
      <c r="T72" s="22"/>
    </row>
    <row r="73">
      <c r="A73" s="23"/>
      <c r="B73" s="23"/>
      <c r="C73" s="23"/>
      <c r="D73" s="23"/>
      <c r="E73" s="24" t="s">
        <v>30</v>
      </c>
      <c r="F73" s="30">
        <v>0.513</v>
      </c>
      <c r="G73" s="30">
        <v>0.627</v>
      </c>
      <c r="H73" s="30">
        <v>0.706</v>
      </c>
      <c r="I73" s="30">
        <v>0.632</v>
      </c>
      <c r="J73" s="30">
        <v>0.561</v>
      </c>
      <c r="K73" s="30">
        <v>0.048</v>
      </c>
      <c r="L73" s="30">
        <v>0.729</v>
      </c>
      <c r="M73" s="30">
        <v>0.944</v>
      </c>
      <c r="N73" s="30">
        <v>14.0</v>
      </c>
      <c r="O73" s="30">
        <v>157.0</v>
      </c>
      <c r="P73" s="30">
        <v>25.0</v>
      </c>
      <c r="Q73" s="30">
        <v>423.0</v>
      </c>
      <c r="R73" s="32"/>
      <c r="S73" s="29"/>
      <c r="T73" s="22"/>
    </row>
    <row r="74">
      <c r="A74" s="25"/>
      <c r="B74" s="25"/>
      <c r="C74" s="25"/>
      <c r="D74" s="25"/>
      <c r="E74" s="21" t="s">
        <v>31</v>
      </c>
      <c r="F74" s="22">
        <v>0.674</v>
      </c>
      <c r="G74" s="22">
        <v>0.741</v>
      </c>
      <c r="H74" s="22">
        <v>0.743</v>
      </c>
      <c r="I74" s="22">
        <v>0.742</v>
      </c>
      <c r="J74" s="22">
        <v>0.761</v>
      </c>
      <c r="K74" s="22">
        <v>0.352</v>
      </c>
      <c r="L74" s="22">
        <v>0.819</v>
      </c>
      <c r="M74" s="22">
        <v>0.828</v>
      </c>
      <c r="N74" s="22">
        <v>89.0</v>
      </c>
      <c r="O74" s="22">
        <v>82.0</v>
      </c>
      <c r="P74" s="22">
        <v>77.0</v>
      </c>
      <c r="Q74" s="22">
        <v>371.0</v>
      </c>
      <c r="R74" s="32" t="s">
        <v>37</v>
      </c>
      <c r="S74" s="29" t="s">
        <v>58</v>
      </c>
      <c r="T74" s="22"/>
    </row>
    <row r="75">
      <c r="C75" s="33"/>
    </row>
    <row r="76">
      <c r="C76" s="33"/>
    </row>
    <row r="77">
      <c r="C77" s="33"/>
    </row>
    <row r="78">
      <c r="C78" s="33"/>
    </row>
    <row r="79">
      <c r="C79" s="33"/>
    </row>
    <row r="80">
      <c r="C80" s="33"/>
    </row>
    <row r="81">
      <c r="C81" s="33"/>
    </row>
    <row r="82">
      <c r="C82" s="33"/>
    </row>
    <row r="83">
      <c r="C83" s="33"/>
    </row>
    <row r="84">
      <c r="C84" s="33"/>
    </row>
    <row r="85">
      <c r="C85" s="33"/>
    </row>
    <row r="86">
      <c r="C86" s="33"/>
    </row>
    <row r="87">
      <c r="C87" s="33"/>
    </row>
    <row r="88">
      <c r="C88" s="33"/>
    </row>
    <row r="89">
      <c r="C89" s="33"/>
    </row>
    <row r="90">
      <c r="C90" s="33"/>
    </row>
    <row r="91">
      <c r="C91" s="33"/>
    </row>
    <row r="92">
      <c r="C92" s="33"/>
    </row>
    <row r="93">
      <c r="C93" s="33"/>
    </row>
    <row r="94">
      <c r="C94" s="33"/>
    </row>
    <row r="95">
      <c r="C95" s="33"/>
    </row>
    <row r="96">
      <c r="C96" s="33"/>
    </row>
    <row r="97">
      <c r="C97" s="33"/>
    </row>
    <row r="98">
      <c r="C98" s="33"/>
    </row>
    <row r="99">
      <c r="C99" s="33"/>
    </row>
    <row r="100">
      <c r="C100" s="33"/>
    </row>
    <row r="101">
      <c r="C101" s="33"/>
    </row>
    <row r="102">
      <c r="C102" s="33"/>
    </row>
    <row r="103">
      <c r="C103" s="33"/>
    </row>
    <row r="104">
      <c r="C104" s="33"/>
    </row>
    <row r="105">
      <c r="C105" s="33"/>
    </row>
    <row r="106">
      <c r="C106" s="33"/>
    </row>
    <row r="107">
      <c r="C107" s="33"/>
    </row>
    <row r="108">
      <c r="C108" s="33"/>
    </row>
    <row r="109">
      <c r="C109" s="33"/>
    </row>
    <row r="110">
      <c r="C110" s="33"/>
    </row>
    <row r="111">
      <c r="C111" s="33"/>
    </row>
    <row r="112">
      <c r="C112" s="33"/>
    </row>
    <row r="113">
      <c r="C113" s="33"/>
    </row>
    <row r="114">
      <c r="C114" s="33"/>
    </row>
    <row r="115">
      <c r="C115" s="33"/>
    </row>
    <row r="116">
      <c r="C116" s="33"/>
    </row>
    <row r="117">
      <c r="C117" s="33"/>
    </row>
    <row r="118">
      <c r="C118" s="33"/>
    </row>
    <row r="119">
      <c r="C119" s="33"/>
    </row>
    <row r="120">
      <c r="C120" s="33"/>
    </row>
    <row r="121">
      <c r="C121" s="33"/>
    </row>
    <row r="122">
      <c r="C122" s="33"/>
    </row>
    <row r="123">
      <c r="C123" s="33"/>
    </row>
    <row r="124">
      <c r="C124" s="33"/>
    </row>
    <row r="125">
      <c r="C125" s="33"/>
    </row>
    <row r="126">
      <c r="C126" s="33"/>
    </row>
    <row r="127">
      <c r="C127" s="33"/>
    </row>
    <row r="128">
      <c r="C128" s="33"/>
    </row>
    <row r="129">
      <c r="C129" s="33"/>
    </row>
    <row r="130">
      <c r="C130" s="33"/>
    </row>
    <row r="131">
      <c r="C131" s="33"/>
    </row>
    <row r="132">
      <c r="C132" s="33"/>
    </row>
    <row r="133">
      <c r="C133" s="33"/>
    </row>
    <row r="134">
      <c r="C134" s="33"/>
    </row>
    <row r="135">
      <c r="C135" s="33"/>
    </row>
    <row r="136">
      <c r="C136" s="33"/>
    </row>
    <row r="137">
      <c r="C137" s="33"/>
    </row>
    <row r="138">
      <c r="C138" s="33"/>
    </row>
    <row r="139">
      <c r="C139" s="33"/>
    </row>
    <row r="140">
      <c r="C140" s="33"/>
    </row>
    <row r="141">
      <c r="C141" s="33"/>
    </row>
    <row r="142">
      <c r="C142" s="33"/>
    </row>
    <row r="143">
      <c r="C143" s="33"/>
    </row>
    <row r="144">
      <c r="C144" s="33"/>
    </row>
    <row r="145">
      <c r="C145" s="33"/>
    </row>
    <row r="146">
      <c r="C146" s="33"/>
    </row>
    <row r="147">
      <c r="C147" s="33"/>
    </row>
    <row r="148">
      <c r="C148" s="33"/>
    </row>
    <row r="149">
      <c r="C149" s="33"/>
    </row>
    <row r="150">
      <c r="C150" s="33"/>
    </row>
    <row r="151">
      <c r="C151" s="33"/>
    </row>
    <row r="152">
      <c r="C152" s="33"/>
    </row>
    <row r="153">
      <c r="C153" s="33"/>
    </row>
    <row r="154">
      <c r="C154" s="33"/>
    </row>
    <row r="155">
      <c r="C155" s="33"/>
    </row>
    <row r="156">
      <c r="C156" s="33"/>
    </row>
    <row r="157">
      <c r="C157" s="33"/>
    </row>
    <row r="158">
      <c r="C158" s="33"/>
    </row>
    <row r="159">
      <c r="C159" s="33"/>
    </row>
    <row r="160">
      <c r="C160" s="33"/>
    </row>
    <row r="161">
      <c r="C161" s="33"/>
    </row>
    <row r="162">
      <c r="C162" s="33"/>
    </row>
    <row r="163">
      <c r="C163" s="33"/>
    </row>
    <row r="164">
      <c r="C164" s="33"/>
    </row>
    <row r="165">
      <c r="C165" s="33"/>
    </row>
    <row r="166">
      <c r="C166" s="33"/>
    </row>
    <row r="167">
      <c r="C167" s="33"/>
    </row>
    <row r="168">
      <c r="C168" s="33"/>
    </row>
    <row r="169">
      <c r="C169" s="33"/>
    </row>
    <row r="170">
      <c r="C170" s="33"/>
    </row>
    <row r="171">
      <c r="C171" s="33"/>
    </row>
    <row r="172">
      <c r="C172" s="33"/>
    </row>
    <row r="173">
      <c r="C173" s="33"/>
    </row>
    <row r="174">
      <c r="C174" s="33"/>
    </row>
    <row r="175">
      <c r="C175" s="33"/>
    </row>
    <row r="176">
      <c r="C176" s="33"/>
    </row>
    <row r="177">
      <c r="C177" s="33"/>
    </row>
    <row r="178">
      <c r="C178" s="33"/>
    </row>
    <row r="179">
      <c r="C179" s="33"/>
    </row>
    <row r="180">
      <c r="C180" s="33"/>
    </row>
    <row r="181">
      <c r="C181" s="33"/>
    </row>
    <row r="182">
      <c r="C182" s="33"/>
    </row>
    <row r="183">
      <c r="C183" s="33"/>
    </row>
    <row r="184">
      <c r="C184" s="33"/>
    </row>
    <row r="185">
      <c r="C185" s="33"/>
    </row>
    <row r="186">
      <c r="C186" s="33"/>
    </row>
    <row r="187">
      <c r="C187" s="33"/>
    </row>
    <row r="188">
      <c r="C188" s="33"/>
    </row>
    <row r="189">
      <c r="C189" s="33"/>
    </row>
    <row r="190">
      <c r="C190" s="33"/>
    </row>
    <row r="191">
      <c r="C191" s="33"/>
    </row>
    <row r="192">
      <c r="C192" s="33"/>
    </row>
    <row r="193">
      <c r="C193" s="33"/>
    </row>
    <row r="194">
      <c r="C194" s="33"/>
    </row>
    <row r="195">
      <c r="C195" s="33"/>
    </row>
    <row r="196">
      <c r="C196" s="33"/>
    </row>
    <row r="197">
      <c r="C197" s="33"/>
    </row>
    <row r="198">
      <c r="C198" s="33"/>
    </row>
    <row r="199">
      <c r="C199" s="33"/>
    </row>
    <row r="200">
      <c r="C200" s="33"/>
    </row>
    <row r="201">
      <c r="C201" s="33"/>
    </row>
    <row r="202">
      <c r="C202" s="33"/>
    </row>
    <row r="203">
      <c r="C203" s="33"/>
    </row>
    <row r="204">
      <c r="C204" s="33"/>
    </row>
    <row r="205">
      <c r="C205" s="33"/>
    </row>
    <row r="206">
      <c r="C206" s="33"/>
    </row>
    <row r="207">
      <c r="C207" s="33"/>
    </row>
    <row r="208">
      <c r="C208" s="33"/>
    </row>
    <row r="209">
      <c r="C209" s="33"/>
    </row>
    <row r="210">
      <c r="C210" s="33"/>
    </row>
    <row r="211">
      <c r="C211" s="33"/>
    </row>
    <row r="212">
      <c r="C212" s="33"/>
    </row>
    <row r="213">
      <c r="C213" s="33"/>
    </row>
    <row r="214">
      <c r="C214" s="33"/>
    </row>
    <row r="215">
      <c r="C215" s="33"/>
    </row>
    <row r="216">
      <c r="C216" s="33"/>
    </row>
    <row r="217">
      <c r="C217" s="33"/>
    </row>
    <row r="218">
      <c r="C218" s="33"/>
    </row>
    <row r="219">
      <c r="C219" s="33"/>
    </row>
    <row r="220">
      <c r="C220" s="33"/>
    </row>
    <row r="221">
      <c r="C221" s="33"/>
    </row>
    <row r="222">
      <c r="C222" s="33"/>
    </row>
    <row r="223">
      <c r="C223" s="33"/>
    </row>
    <row r="224">
      <c r="C224" s="33"/>
    </row>
    <row r="225">
      <c r="C225" s="33"/>
    </row>
    <row r="226">
      <c r="C226" s="33"/>
    </row>
    <row r="227">
      <c r="C227" s="33"/>
    </row>
    <row r="228">
      <c r="C228" s="33"/>
    </row>
    <row r="229">
      <c r="C229" s="33"/>
    </row>
    <row r="230">
      <c r="C230" s="33"/>
    </row>
    <row r="231">
      <c r="C231" s="33"/>
    </row>
    <row r="232">
      <c r="C232" s="33"/>
    </row>
    <row r="233">
      <c r="C233" s="33"/>
    </row>
    <row r="234">
      <c r="C234" s="33"/>
    </row>
    <row r="235">
      <c r="C235" s="33"/>
    </row>
    <row r="236">
      <c r="C236" s="33"/>
    </row>
    <row r="237">
      <c r="C237" s="33"/>
    </row>
    <row r="238">
      <c r="C238" s="33"/>
    </row>
    <row r="239">
      <c r="C239" s="33"/>
    </row>
    <row r="240">
      <c r="C240" s="33"/>
    </row>
    <row r="241">
      <c r="C241" s="33"/>
    </row>
    <row r="242">
      <c r="C242" s="33"/>
    </row>
    <row r="243">
      <c r="C243" s="33"/>
    </row>
    <row r="244">
      <c r="C244" s="33"/>
    </row>
    <row r="245">
      <c r="C245" s="33"/>
    </row>
    <row r="246">
      <c r="C246" s="33"/>
    </row>
    <row r="247">
      <c r="C247" s="33"/>
    </row>
    <row r="248">
      <c r="C248" s="33"/>
    </row>
    <row r="249">
      <c r="C249" s="33"/>
    </row>
    <row r="250">
      <c r="C250" s="33"/>
    </row>
    <row r="251">
      <c r="C251" s="33"/>
    </row>
    <row r="252">
      <c r="C252" s="33"/>
    </row>
    <row r="253">
      <c r="C253" s="33"/>
    </row>
    <row r="254">
      <c r="C254" s="33"/>
    </row>
    <row r="255">
      <c r="C255" s="33"/>
    </row>
    <row r="256">
      <c r="C256" s="33"/>
    </row>
    <row r="257">
      <c r="C257" s="33"/>
    </row>
    <row r="258">
      <c r="C258" s="33"/>
    </row>
    <row r="259">
      <c r="C259" s="33"/>
    </row>
    <row r="260">
      <c r="C260" s="33"/>
    </row>
    <row r="261">
      <c r="C261" s="33"/>
    </row>
    <row r="262">
      <c r="C262" s="33"/>
    </row>
    <row r="263">
      <c r="C263" s="33"/>
    </row>
    <row r="264">
      <c r="C264" s="33"/>
    </row>
    <row r="265">
      <c r="C265" s="33"/>
    </row>
    <row r="266">
      <c r="C266" s="33"/>
    </row>
    <row r="267">
      <c r="C267" s="33"/>
    </row>
    <row r="268">
      <c r="C268" s="33"/>
    </row>
    <row r="269">
      <c r="C269" s="33"/>
    </row>
    <row r="270">
      <c r="C270" s="33"/>
    </row>
    <row r="271">
      <c r="C271" s="33"/>
    </row>
    <row r="272">
      <c r="C272" s="33"/>
    </row>
    <row r="273">
      <c r="C273" s="33"/>
    </row>
    <row r="274">
      <c r="C274" s="33"/>
    </row>
    <row r="275">
      <c r="C275" s="33"/>
    </row>
    <row r="276">
      <c r="C276" s="33"/>
    </row>
    <row r="277">
      <c r="C277" s="33"/>
    </row>
    <row r="278">
      <c r="C278" s="33"/>
    </row>
    <row r="279">
      <c r="C279" s="33"/>
    </row>
    <row r="280">
      <c r="C280" s="33"/>
    </row>
    <row r="281">
      <c r="C281" s="33"/>
    </row>
    <row r="282">
      <c r="C282" s="33"/>
    </row>
    <row r="283">
      <c r="C283" s="33"/>
    </row>
    <row r="284">
      <c r="C284" s="33"/>
    </row>
    <row r="285">
      <c r="C285" s="33"/>
    </row>
    <row r="286">
      <c r="C286" s="33"/>
    </row>
    <row r="287">
      <c r="C287" s="33"/>
    </row>
    <row r="288">
      <c r="C288" s="33"/>
    </row>
    <row r="289">
      <c r="C289" s="33"/>
    </row>
    <row r="290">
      <c r="C290" s="33"/>
    </row>
    <row r="291">
      <c r="C291" s="33"/>
    </row>
    <row r="292">
      <c r="C292" s="33"/>
    </row>
    <row r="293">
      <c r="C293" s="33"/>
    </row>
    <row r="294">
      <c r="C294" s="33"/>
    </row>
    <row r="295">
      <c r="C295" s="33"/>
    </row>
    <row r="296">
      <c r="C296" s="33"/>
    </row>
    <row r="297">
      <c r="C297" s="33"/>
    </row>
    <row r="298">
      <c r="C298" s="33"/>
    </row>
    <row r="299">
      <c r="C299" s="33"/>
    </row>
    <row r="300">
      <c r="C300" s="33"/>
    </row>
    <row r="301">
      <c r="C301" s="33"/>
    </row>
    <row r="302">
      <c r="C302" s="33"/>
    </row>
    <row r="303">
      <c r="C303" s="33"/>
    </row>
    <row r="304">
      <c r="C304" s="33"/>
    </row>
    <row r="305">
      <c r="C305" s="33"/>
    </row>
    <row r="306">
      <c r="C306" s="33"/>
    </row>
    <row r="307">
      <c r="C307" s="33"/>
    </row>
    <row r="308">
      <c r="C308" s="33"/>
    </row>
    <row r="309">
      <c r="C309" s="33"/>
    </row>
    <row r="310">
      <c r="C310" s="33"/>
    </row>
    <row r="311">
      <c r="C311" s="33"/>
    </row>
    <row r="312">
      <c r="C312" s="33"/>
    </row>
    <row r="313">
      <c r="C313" s="33"/>
    </row>
    <row r="314">
      <c r="C314" s="33"/>
    </row>
    <row r="315">
      <c r="C315" s="33"/>
    </row>
    <row r="316">
      <c r="C316" s="33"/>
    </row>
    <row r="317">
      <c r="C317" s="33"/>
    </row>
    <row r="318">
      <c r="C318" s="33"/>
    </row>
    <row r="319">
      <c r="C319" s="33"/>
    </row>
    <row r="320">
      <c r="C320" s="33"/>
    </row>
    <row r="321">
      <c r="C321" s="33"/>
    </row>
    <row r="322">
      <c r="C322" s="33"/>
    </row>
    <row r="323">
      <c r="C323" s="33"/>
    </row>
    <row r="324">
      <c r="C324" s="33"/>
    </row>
    <row r="325">
      <c r="C325" s="33"/>
    </row>
    <row r="326">
      <c r="C326" s="33"/>
    </row>
    <row r="327">
      <c r="C327" s="33"/>
    </row>
    <row r="328">
      <c r="C328" s="33"/>
    </row>
    <row r="329">
      <c r="C329" s="33"/>
    </row>
    <row r="330">
      <c r="C330" s="33"/>
    </row>
    <row r="331">
      <c r="C331" s="33"/>
    </row>
    <row r="332">
      <c r="C332" s="33"/>
    </row>
    <row r="333">
      <c r="C333" s="33"/>
    </row>
    <row r="334">
      <c r="C334" s="33"/>
    </row>
    <row r="335">
      <c r="C335" s="33"/>
    </row>
    <row r="336">
      <c r="C336" s="33"/>
    </row>
    <row r="337">
      <c r="C337" s="33"/>
    </row>
    <row r="338">
      <c r="C338" s="33"/>
    </row>
    <row r="339">
      <c r="C339" s="33"/>
    </row>
    <row r="340">
      <c r="C340" s="33"/>
    </row>
    <row r="341">
      <c r="C341" s="33"/>
    </row>
    <row r="342">
      <c r="C342" s="33"/>
    </row>
    <row r="343">
      <c r="C343" s="33"/>
    </row>
    <row r="344">
      <c r="C344" s="33"/>
    </row>
    <row r="345">
      <c r="C345" s="33"/>
    </row>
    <row r="346">
      <c r="C346" s="33"/>
    </row>
    <row r="347">
      <c r="C347" s="33"/>
    </row>
    <row r="348">
      <c r="C348" s="33"/>
    </row>
    <row r="349">
      <c r="C349" s="33"/>
    </row>
    <row r="350">
      <c r="C350" s="33"/>
    </row>
    <row r="351">
      <c r="C351" s="33"/>
    </row>
    <row r="352">
      <c r="C352" s="33"/>
    </row>
    <row r="353">
      <c r="C353" s="33"/>
    </row>
    <row r="354">
      <c r="C354" s="33"/>
    </row>
    <row r="355">
      <c r="C355" s="33"/>
    </row>
    <row r="356">
      <c r="C356" s="33"/>
    </row>
    <row r="357">
      <c r="C357" s="33"/>
    </row>
    <row r="358">
      <c r="C358" s="33"/>
    </row>
    <row r="359">
      <c r="C359" s="33"/>
    </row>
    <row r="360">
      <c r="C360" s="33"/>
    </row>
    <row r="361">
      <c r="C361" s="33"/>
    </row>
    <row r="362">
      <c r="C362" s="33"/>
    </row>
    <row r="363">
      <c r="C363" s="33"/>
    </row>
    <row r="364">
      <c r="C364" s="33"/>
    </row>
    <row r="365">
      <c r="C365" s="33"/>
    </row>
    <row r="366">
      <c r="C366" s="33"/>
    </row>
    <row r="367">
      <c r="C367" s="33"/>
    </row>
    <row r="368">
      <c r="C368" s="33"/>
    </row>
    <row r="369">
      <c r="C369" s="33"/>
    </row>
    <row r="370">
      <c r="C370" s="33"/>
    </row>
    <row r="371">
      <c r="C371" s="33"/>
    </row>
    <row r="372">
      <c r="C372" s="33"/>
    </row>
    <row r="373">
      <c r="C373" s="33"/>
    </row>
    <row r="374">
      <c r="C374" s="33"/>
    </row>
    <row r="375">
      <c r="C375" s="33"/>
    </row>
    <row r="376">
      <c r="C376" s="33"/>
    </row>
    <row r="377">
      <c r="C377" s="33"/>
    </row>
    <row r="378">
      <c r="C378" s="33"/>
    </row>
    <row r="379">
      <c r="C379" s="33"/>
    </row>
    <row r="380">
      <c r="C380" s="33"/>
    </row>
    <row r="381">
      <c r="C381" s="33"/>
    </row>
    <row r="382">
      <c r="C382" s="33"/>
    </row>
    <row r="383">
      <c r="C383" s="33"/>
    </row>
    <row r="384">
      <c r="C384" s="33"/>
    </row>
    <row r="385">
      <c r="C385" s="33"/>
    </row>
    <row r="386">
      <c r="C386" s="33"/>
    </row>
    <row r="387">
      <c r="C387" s="33"/>
    </row>
    <row r="388">
      <c r="C388" s="33"/>
    </row>
    <row r="389">
      <c r="C389" s="33"/>
    </row>
    <row r="390">
      <c r="C390" s="33"/>
    </row>
    <row r="391">
      <c r="C391" s="33"/>
    </row>
    <row r="392">
      <c r="C392" s="33"/>
    </row>
    <row r="393">
      <c r="C393" s="33"/>
    </row>
    <row r="394">
      <c r="C394" s="33"/>
    </row>
    <row r="395">
      <c r="C395" s="33"/>
    </row>
    <row r="396">
      <c r="C396" s="33"/>
    </row>
    <row r="397">
      <c r="C397" s="33"/>
    </row>
    <row r="398">
      <c r="C398" s="33"/>
    </row>
    <row r="399">
      <c r="C399" s="33"/>
    </row>
    <row r="400">
      <c r="C400" s="33"/>
    </row>
    <row r="401">
      <c r="C401" s="33"/>
    </row>
    <row r="402">
      <c r="C402" s="33"/>
    </row>
    <row r="403">
      <c r="C403" s="33"/>
    </row>
    <row r="404">
      <c r="C404" s="33"/>
    </row>
    <row r="405">
      <c r="C405" s="33"/>
    </row>
    <row r="406">
      <c r="C406" s="33"/>
    </row>
    <row r="407">
      <c r="C407" s="33"/>
    </row>
    <row r="408">
      <c r="C408" s="33"/>
    </row>
    <row r="409">
      <c r="C409" s="33"/>
    </row>
    <row r="410">
      <c r="C410" s="33"/>
    </row>
    <row r="411">
      <c r="C411" s="33"/>
    </row>
    <row r="412">
      <c r="C412" s="33"/>
    </row>
    <row r="413">
      <c r="C413" s="33"/>
    </row>
    <row r="414">
      <c r="C414" s="33"/>
    </row>
    <row r="415">
      <c r="C415" s="33"/>
    </row>
    <row r="416">
      <c r="C416" s="33"/>
    </row>
    <row r="417">
      <c r="C417" s="33"/>
    </row>
    <row r="418">
      <c r="C418" s="33"/>
    </row>
    <row r="419">
      <c r="C419" s="33"/>
    </row>
    <row r="420">
      <c r="C420" s="33"/>
    </row>
    <row r="421">
      <c r="C421" s="33"/>
    </row>
    <row r="422">
      <c r="C422" s="33"/>
    </row>
    <row r="423">
      <c r="C423" s="33"/>
    </row>
    <row r="424">
      <c r="C424" s="33"/>
    </row>
    <row r="425">
      <c r="C425" s="33"/>
    </row>
    <row r="426">
      <c r="C426" s="33"/>
    </row>
    <row r="427">
      <c r="C427" s="33"/>
    </row>
    <row r="428">
      <c r="C428" s="33"/>
    </row>
    <row r="429">
      <c r="C429" s="33"/>
    </row>
    <row r="430">
      <c r="C430" s="33"/>
    </row>
    <row r="431">
      <c r="C431" s="33"/>
    </row>
    <row r="432">
      <c r="C432" s="33"/>
    </row>
    <row r="433">
      <c r="C433" s="33"/>
    </row>
    <row r="434">
      <c r="C434" s="33"/>
    </row>
    <row r="435">
      <c r="C435" s="33"/>
    </row>
    <row r="436">
      <c r="C436" s="33"/>
    </row>
    <row r="437">
      <c r="C437" s="33"/>
    </row>
    <row r="438">
      <c r="C438" s="33"/>
    </row>
    <row r="439">
      <c r="C439" s="33"/>
    </row>
    <row r="440">
      <c r="C440" s="33"/>
    </row>
    <row r="441">
      <c r="C441" s="33"/>
    </row>
    <row r="442">
      <c r="C442" s="33"/>
    </row>
    <row r="443">
      <c r="C443" s="33"/>
    </row>
    <row r="444">
      <c r="C444" s="33"/>
    </row>
    <row r="445">
      <c r="C445" s="33"/>
    </row>
    <row r="446">
      <c r="C446" s="33"/>
    </row>
    <row r="447">
      <c r="C447" s="33"/>
    </row>
    <row r="448">
      <c r="C448" s="33"/>
    </row>
    <row r="449">
      <c r="C449" s="33"/>
    </row>
    <row r="450">
      <c r="C450" s="33"/>
    </row>
    <row r="451">
      <c r="C451" s="33"/>
    </row>
    <row r="452">
      <c r="C452" s="33"/>
    </row>
    <row r="453">
      <c r="C453" s="33"/>
    </row>
    <row r="454">
      <c r="C454" s="33"/>
    </row>
    <row r="455">
      <c r="C455" s="33"/>
    </row>
    <row r="456">
      <c r="C456" s="33"/>
    </row>
    <row r="457">
      <c r="C457" s="33"/>
    </row>
    <row r="458">
      <c r="C458" s="33"/>
    </row>
    <row r="459">
      <c r="C459" s="33"/>
    </row>
    <row r="460">
      <c r="C460" s="33"/>
    </row>
    <row r="461">
      <c r="C461" s="33"/>
    </row>
    <row r="462">
      <c r="C462" s="33"/>
    </row>
    <row r="463">
      <c r="C463" s="33"/>
    </row>
    <row r="464">
      <c r="C464" s="33"/>
    </row>
    <row r="465">
      <c r="C465" s="33"/>
    </row>
    <row r="466">
      <c r="C466" s="33"/>
    </row>
    <row r="467">
      <c r="C467" s="33"/>
    </row>
    <row r="468">
      <c r="C468" s="33"/>
    </row>
    <row r="469">
      <c r="C469" s="33"/>
    </row>
    <row r="470">
      <c r="C470" s="33"/>
    </row>
    <row r="471">
      <c r="C471" s="33"/>
    </row>
    <row r="472">
      <c r="C472" s="33"/>
    </row>
    <row r="473">
      <c r="C473" s="33"/>
    </row>
    <row r="474">
      <c r="C474" s="33"/>
    </row>
    <row r="475">
      <c r="C475" s="33"/>
    </row>
    <row r="476">
      <c r="C476" s="33"/>
    </row>
    <row r="477">
      <c r="C477" s="33"/>
    </row>
    <row r="478">
      <c r="C478" s="33"/>
    </row>
    <row r="479">
      <c r="C479" s="33"/>
    </row>
    <row r="480">
      <c r="C480" s="33"/>
    </row>
    <row r="481">
      <c r="C481" s="33"/>
    </row>
    <row r="482">
      <c r="C482" s="33"/>
    </row>
    <row r="483">
      <c r="C483" s="33"/>
    </row>
    <row r="484">
      <c r="C484" s="33"/>
    </row>
    <row r="485">
      <c r="C485" s="33"/>
    </row>
    <row r="486">
      <c r="C486" s="33"/>
    </row>
    <row r="487">
      <c r="C487" s="33"/>
    </row>
    <row r="488">
      <c r="C488" s="33"/>
    </row>
    <row r="489">
      <c r="C489" s="33"/>
    </row>
    <row r="490">
      <c r="C490" s="33"/>
    </row>
    <row r="491">
      <c r="C491" s="33"/>
    </row>
    <row r="492">
      <c r="C492" s="33"/>
    </row>
    <row r="493">
      <c r="C493" s="33"/>
    </row>
    <row r="494">
      <c r="C494" s="33"/>
    </row>
    <row r="495">
      <c r="C495" s="33"/>
    </row>
    <row r="496">
      <c r="C496" s="33"/>
    </row>
    <row r="497">
      <c r="C497" s="33"/>
    </row>
    <row r="498">
      <c r="C498" s="33"/>
    </row>
    <row r="499">
      <c r="C499" s="33"/>
    </row>
    <row r="500">
      <c r="C500" s="33"/>
    </row>
    <row r="501">
      <c r="C501" s="33"/>
    </row>
    <row r="502">
      <c r="C502" s="33"/>
    </row>
    <row r="503">
      <c r="C503" s="33"/>
    </row>
    <row r="504">
      <c r="C504" s="33"/>
    </row>
    <row r="505">
      <c r="C505" s="33"/>
    </row>
    <row r="506">
      <c r="C506" s="33"/>
    </row>
    <row r="507">
      <c r="C507" s="33"/>
    </row>
    <row r="508">
      <c r="C508" s="33"/>
    </row>
    <row r="509">
      <c r="C509" s="33"/>
    </row>
    <row r="510">
      <c r="C510" s="33"/>
    </row>
    <row r="511">
      <c r="C511" s="33"/>
    </row>
    <row r="512">
      <c r="C512" s="33"/>
    </row>
    <row r="513">
      <c r="C513" s="33"/>
    </row>
    <row r="514">
      <c r="C514" s="33"/>
    </row>
    <row r="515">
      <c r="C515" s="33"/>
    </row>
    <row r="516">
      <c r="C516" s="33"/>
    </row>
    <row r="517">
      <c r="C517" s="33"/>
    </row>
    <row r="518">
      <c r="C518" s="33"/>
    </row>
    <row r="519">
      <c r="C519" s="33"/>
    </row>
    <row r="520">
      <c r="C520" s="33"/>
    </row>
    <row r="521">
      <c r="C521" s="33"/>
    </row>
    <row r="522">
      <c r="C522" s="33"/>
    </row>
    <row r="523">
      <c r="C523" s="33"/>
    </row>
    <row r="524">
      <c r="C524" s="33"/>
    </row>
    <row r="525">
      <c r="C525" s="33"/>
    </row>
    <row r="526">
      <c r="C526" s="33"/>
    </row>
    <row r="527">
      <c r="C527" s="33"/>
    </row>
    <row r="528">
      <c r="C528" s="33"/>
    </row>
    <row r="529">
      <c r="C529" s="33"/>
    </row>
    <row r="530">
      <c r="C530" s="33"/>
    </row>
    <row r="531">
      <c r="C531" s="33"/>
    </row>
    <row r="532">
      <c r="C532" s="33"/>
    </row>
    <row r="533">
      <c r="C533" s="33"/>
    </row>
    <row r="534">
      <c r="C534" s="33"/>
    </row>
    <row r="535">
      <c r="C535" s="33"/>
    </row>
    <row r="536">
      <c r="C536" s="33"/>
    </row>
    <row r="537">
      <c r="C537" s="33"/>
    </row>
    <row r="538">
      <c r="C538" s="33"/>
    </row>
    <row r="539">
      <c r="C539" s="33"/>
    </row>
    <row r="540">
      <c r="C540" s="33"/>
    </row>
    <row r="541">
      <c r="C541" s="33"/>
    </row>
    <row r="542">
      <c r="C542" s="33"/>
    </row>
    <row r="543">
      <c r="C543" s="33"/>
    </row>
    <row r="544">
      <c r="C544" s="33"/>
    </row>
    <row r="545">
      <c r="C545" s="33"/>
    </row>
    <row r="546">
      <c r="C546" s="33"/>
    </row>
    <row r="547">
      <c r="C547" s="33"/>
    </row>
    <row r="548">
      <c r="C548" s="33"/>
    </row>
    <row r="549">
      <c r="C549" s="33"/>
    </row>
    <row r="550">
      <c r="C550" s="33"/>
    </row>
    <row r="551">
      <c r="C551" s="33"/>
    </row>
    <row r="552">
      <c r="C552" s="33"/>
    </row>
    <row r="553">
      <c r="C553" s="33"/>
    </row>
    <row r="554">
      <c r="C554" s="33"/>
    </row>
    <row r="555">
      <c r="C555" s="33"/>
    </row>
    <row r="556">
      <c r="C556" s="33"/>
    </row>
    <row r="557">
      <c r="C557" s="33"/>
    </row>
    <row r="558">
      <c r="C558" s="33"/>
    </row>
    <row r="559">
      <c r="C559" s="33"/>
    </row>
    <row r="560">
      <c r="C560" s="33"/>
    </row>
    <row r="561">
      <c r="C561" s="33"/>
    </row>
    <row r="562">
      <c r="C562" s="33"/>
    </row>
    <row r="563">
      <c r="C563" s="33"/>
    </row>
    <row r="564">
      <c r="C564" s="33"/>
    </row>
    <row r="565">
      <c r="C565" s="33"/>
    </row>
    <row r="566">
      <c r="C566" s="33"/>
    </row>
    <row r="567">
      <c r="C567" s="33"/>
    </row>
    <row r="568">
      <c r="C568" s="33"/>
    </row>
    <row r="569">
      <c r="C569" s="33"/>
    </row>
    <row r="570">
      <c r="C570" s="33"/>
    </row>
    <row r="571">
      <c r="C571" s="33"/>
    </row>
    <row r="572">
      <c r="C572" s="33"/>
    </row>
    <row r="573">
      <c r="C573" s="33"/>
    </row>
    <row r="574">
      <c r="C574" s="33"/>
    </row>
    <row r="575">
      <c r="C575" s="33"/>
    </row>
    <row r="576">
      <c r="C576" s="33"/>
    </row>
    <row r="577">
      <c r="C577" s="33"/>
    </row>
    <row r="578">
      <c r="C578" s="33"/>
    </row>
    <row r="579">
      <c r="C579" s="33"/>
    </row>
    <row r="580">
      <c r="C580" s="33"/>
    </row>
    <row r="581">
      <c r="C581" s="33"/>
    </row>
    <row r="582">
      <c r="C582" s="33"/>
    </row>
    <row r="583">
      <c r="C583" s="33"/>
    </row>
    <row r="584">
      <c r="C584" s="33"/>
    </row>
    <row r="585">
      <c r="C585" s="33"/>
    </row>
    <row r="586">
      <c r="C586" s="33"/>
    </row>
    <row r="587">
      <c r="C587" s="33"/>
    </row>
    <row r="588">
      <c r="C588" s="33"/>
    </row>
    <row r="589">
      <c r="C589" s="33"/>
    </row>
    <row r="590">
      <c r="C590" s="33"/>
    </row>
    <row r="591">
      <c r="C591" s="33"/>
    </row>
    <row r="592">
      <c r="C592" s="33"/>
    </row>
    <row r="593">
      <c r="C593" s="33"/>
    </row>
    <row r="594">
      <c r="C594" s="33"/>
    </row>
    <row r="595">
      <c r="C595" s="33"/>
    </row>
    <row r="596">
      <c r="C596" s="33"/>
    </row>
    <row r="597">
      <c r="C597" s="33"/>
    </row>
    <row r="598">
      <c r="C598" s="33"/>
    </row>
    <row r="599">
      <c r="C599" s="33"/>
    </row>
    <row r="600">
      <c r="C600" s="33"/>
    </row>
    <row r="601">
      <c r="C601" s="33"/>
    </row>
    <row r="602">
      <c r="C602" s="33"/>
    </row>
    <row r="603">
      <c r="C603" s="33"/>
    </row>
    <row r="604">
      <c r="C604" s="33"/>
    </row>
    <row r="605">
      <c r="C605" s="33"/>
    </row>
    <row r="606">
      <c r="C606" s="33"/>
    </row>
    <row r="607">
      <c r="C607" s="33"/>
    </row>
    <row r="608">
      <c r="C608" s="33"/>
    </row>
    <row r="609">
      <c r="C609" s="33"/>
    </row>
    <row r="610">
      <c r="C610" s="33"/>
    </row>
    <row r="611">
      <c r="C611" s="33"/>
    </row>
    <row r="612">
      <c r="C612" s="33"/>
    </row>
    <row r="613">
      <c r="C613" s="33"/>
    </row>
    <row r="614">
      <c r="C614" s="33"/>
    </row>
    <row r="615">
      <c r="C615" s="33"/>
    </row>
    <row r="616">
      <c r="C616" s="33"/>
    </row>
    <row r="617">
      <c r="C617" s="33"/>
    </row>
    <row r="618">
      <c r="C618" s="33"/>
    </row>
    <row r="619">
      <c r="C619" s="33"/>
    </row>
    <row r="620">
      <c r="C620" s="33"/>
    </row>
    <row r="621">
      <c r="C621" s="33"/>
    </row>
    <row r="622">
      <c r="C622" s="33"/>
    </row>
    <row r="623">
      <c r="C623" s="33"/>
    </row>
    <row r="624">
      <c r="C624" s="33"/>
    </row>
    <row r="625">
      <c r="C625" s="33"/>
    </row>
    <row r="626">
      <c r="C626" s="33"/>
    </row>
    <row r="627">
      <c r="C627" s="33"/>
    </row>
    <row r="628">
      <c r="C628" s="33"/>
    </row>
    <row r="629">
      <c r="C629" s="33"/>
    </row>
    <row r="630">
      <c r="C630" s="33"/>
    </row>
    <row r="631">
      <c r="C631" s="33"/>
    </row>
    <row r="632">
      <c r="C632" s="33"/>
    </row>
    <row r="633">
      <c r="C633" s="33"/>
    </row>
    <row r="634">
      <c r="C634" s="33"/>
    </row>
    <row r="635">
      <c r="C635" s="33"/>
    </row>
    <row r="636">
      <c r="C636" s="33"/>
    </row>
    <row r="637">
      <c r="C637" s="33"/>
    </row>
    <row r="638">
      <c r="C638" s="33"/>
    </row>
    <row r="639">
      <c r="C639" s="33"/>
    </row>
    <row r="640">
      <c r="C640" s="33"/>
    </row>
    <row r="641">
      <c r="C641" s="33"/>
    </row>
    <row r="642">
      <c r="C642" s="33"/>
    </row>
    <row r="643">
      <c r="C643" s="33"/>
    </row>
    <row r="644">
      <c r="C644" s="33"/>
    </row>
    <row r="645">
      <c r="C645" s="33"/>
    </row>
    <row r="646">
      <c r="C646" s="33"/>
    </row>
    <row r="647">
      <c r="C647" s="33"/>
    </row>
    <row r="648">
      <c r="C648" s="33"/>
    </row>
    <row r="649">
      <c r="C649" s="33"/>
    </row>
    <row r="650">
      <c r="C650" s="33"/>
    </row>
    <row r="651">
      <c r="C651" s="33"/>
    </row>
    <row r="652">
      <c r="C652" s="33"/>
    </row>
    <row r="653">
      <c r="C653" s="33"/>
    </row>
    <row r="654">
      <c r="C654" s="33"/>
    </row>
    <row r="655">
      <c r="C655" s="33"/>
    </row>
    <row r="656">
      <c r="C656" s="33"/>
    </row>
    <row r="657">
      <c r="C657" s="33"/>
    </row>
    <row r="658">
      <c r="C658" s="33"/>
    </row>
    <row r="659">
      <c r="C659" s="33"/>
    </row>
    <row r="660">
      <c r="C660" s="33"/>
    </row>
    <row r="661">
      <c r="C661" s="33"/>
    </row>
    <row r="662">
      <c r="C662" s="33"/>
    </row>
    <row r="663">
      <c r="C663" s="33"/>
    </row>
    <row r="664">
      <c r="C664" s="33"/>
    </row>
    <row r="665">
      <c r="C665" s="33"/>
    </row>
    <row r="666">
      <c r="C666" s="33"/>
    </row>
    <row r="667">
      <c r="C667" s="33"/>
    </row>
    <row r="668">
      <c r="C668" s="33"/>
    </row>
    <row r="669">
      <c r="C669" s="33"/>
    </row>
    <row r="670">
      <c r="C670" s="33"/>
    </row>
    <row r="671">
      <c r="C671" s="33"/>
    </row>
    <row r="672">
      <c r="C672" s="33"/>
    </row>
    <row r="673">
      <c r="C673" s="33"/>
    </row>
    <row r="674">
      <c r="C674" s="33"/>
    </row>
    <row r="675">
      <c r="C675" s="33"/>
    </row>
    <row r="676">
      <c r="C676" s="33"/>
    </row>
    <row r="677">
      <c r="C677" s="33"/>
    </row>
    <row r="678">
      <c r="C678" s="33"/>
    </row>
    <row r="679">
      <c r="C679" s="33"/>
    </row>
    <row r="680">
      <c r="C680" s="33"/>
    </row>
    <row r="681">
      <c r="C681" s="33"/>
    </row>
    <row r="682">
      <c r="C682" s="33"/>
    </row>
    <row r="683">
      <c r="C683" s="33"/>
    </row>
    <row r="684">
      <c r="C684" s="33"/>
    </row>
    <row r="685">
      <c r="C685" s="33"/>
    </row>
    <row r="686">
      <c r="C686" s="33"/>
    </row>
    <row r="687">
      <c r="C687" s="33"/>
    </row>
    <row r="688">
      <c r="C688" s="33"/>
    </row>
    <row r="689">
      <c r="C689" s="33"/>
    </row>
    <row r="690">
      <c r="C690" s="33"/>
    </row>
    <row r="691">
      <c r="C691" s="33"/>
    </row>
    <row r="692">
      <c r="C692" s="33"/>
    </row>
    <row r="693">
      <c r="C693" s="33"/>
    </row>
    <row r="694">
      <c r="C694" s="33"/>
    </row>
    <row r="695">
      <c r="C695" s="33"/>
    </row>
    <row r="696">
      <c r="C696" s="33"/>
    </row>
    <row r="697">
      <c r="C697" s="33"/>
    </row>
    <row r="698">
      <c r="C698" s="33"/>
    </row>
    <row r="699">
      <c r="C699" s="33"/>
    </row>
    <row r="700">
      <c r="C700" s="33"/>
    </row>
    <row r="701">
      <c r="C701" s="33"/>
    </row>
    <row r="702">
      <c r="C702" s="33"/>
    </row>
    <row r="703">
      <c r="C703" s="33"/>
    </row>
    <row r="704">
      <c r="C704" s="33"/>
    </row>
    <row r="705">
      <c r="C705" s="33"/>
    </row>
    <row r="706">
      <c r="C706" s="33"/>
    </row>
    <row r="707">
      <c r="C707" s="33"/>
    </row>
    <row r="708">
      <c r="C708" s="33"/>
    </row>
    <row r="709">
      <c r="C709" s="33"/>
    </row>
    <row r="710">
      <c r="C710" s="33"/>
    </row>
    <row r="711">
      <c r="C711" s="33"/>
    </row>
    <row r="712">
      <c r="C712" s="33"/>
    </row>
    <row r="713">
      <c r="C713" s="33"/>
    </row>
    <row r="714">
      <c r="C714" s="33"/>
    </row>
    <row r="715">
      <c r="C715" s="33"/>
    </row>
    <row r="716">
      <c r="C716" s="33"/>
    </row>
    <row r="717">
      <c r="C717" s="33"/>
    </row>
    <row r="718">
      <c r="C718" s="33"/>
    </row>
    <row r="719">
      <c r="C719" s="33"/>
    </row>
    <row r="720">
      <c r="C720" s="33"/>
    </row>
    <row r="721">
      <c r="C721" s="33"/>
    </row>
    <row r="722">
      <c r="C722" s="33"/>
    </row>
    <row r="723">
      <c r="C723" s="33"/>
    </row>
    <row r="724">
      <c r="C724" s="33"/>
    </row>
    <row r="725">
      <c r="C725" s="33"/>
    </row>
    <row r="726">
      <c r="C726" s="33"/>
    </row>
    <row r="727">
      <c r="C727" s="33"/>
    </row>
    <row r="728">
      <c r="C728" s="33"/>
    </row>
    <row r="729">
      <c r="C729" s="33"/>
    </row>
    <row r="730">
      <c r="C730" s="33"/>
    </row>
    <row r="731">
      <c r="C731" s="33"/>
    </row>
    <row r="732">
      <c r="C732" s="33"/>
    </row>
    <row r="733">
      <c r="C733" s="33"/>
    </row>
    <row r="734">
      <c r="C734" s="33"/>
    </row>
    <row r="735">
      <c r="C735" s="33"/>
    </row>
    <row r="736">
      <c r="C736" s="33"/>
    </row>
    <row r="737">
      <c r="C737" s="33"/>
    </row>
    <row r="738">
      <c r="C738" s="33"/>
    </row>
    <row r="739">
      <c r="C739" s="33"/>
    </row>
    <row r="740">
      <c r="C740" s="33"/>
    </row>
    <row r="741">
      <c r="C741" s="33"/>
    </row>
    <row r="742">
      <c r="C742" s="33"/>
    </row>
    <row r="743">
      <c r="C743" s="33"/>
    </row>
    <row r="744">
      <c r="C744" s="33"/>
    </row>
    <row r="745">
      <c r="C745" s="33"/>
    </row>
    <row r="746">
      <c r="C746" s="33"/>
    </row>
    <row r="747">
      <c r="C747" s="33"/>
    </row>
    <row r="748">
      <c r="C748" s="33"/>
    </row>
    <row r="749">
      <c r="C749" s="33"/>
    </row>
    <row r="750">
      <c r="C750" s="33"/>
    </row>
    <row r="751">
      <c r="C751" s="33"/>
    </row>
    <row r="752">
      <c r="C752" s="33"/>
    </row>
    <row r="753">
      <c r="C753" s="33"/>
    </row>
    <row r="754">
      <c r="C754" s="33"/>
    </row>
    <row r="755">
      <c r="C755" s="33"/>
    </row>
    <row r="756">
      <c r="C756" s="33"/>
    </row>
    <row r="757">
      <c r="C757" s="33"/>
    </row>
    <row r="758">
      <c r="C758" s="33"/>
    </row>
    <row r="759">
      <c r="C759" s="33"/>
    </row>
    <row r="760">
      <c r="C760" s="33"/>
    </row>
    <row r="761">
      <c r="C761" s="33"/>
    </row>
    <row r="762">
      <c r="C762" s="33"/>
    </row>
    <row r="763">
      <c r="C763" s="33"/>
    </row>
    <row r="764">
      <c r="C764" s="33"/>
    </row>
    <row r="765">
      <c r="C765" s="33"/>
    </row>
    <row r="766">
      <c r="C766" s="33"/>
    </row>
    <row r="767">
      <c r="C767" s="33"/>
    </row>
    <row r="768">
      <c r="C768" s="33"/>
    </row>
    <row r="769">
      <c r="C769" s="33"/>
    </row>
    <row r="770">
      <c r="C770" s="33"/>
    </row>
    <row r="771">
      <c r="C771" s="33"/>
    </row>
    <row r="772">
      <c r="C772" s="33"/>
    </row>
    <row r="773">
      <c r="C773" s="33"/>
    </row>
    <row r="774">
      <c r="C774" s="33"/>
    </row>
    <row r="775">
      <c r="C775" s="33"/>
    </row>
    <row r="776">
      <c r="C776" s="33"/>
    </row>
    <row r="777">
      <c r="C777" s="33"/>
    </row>
    <row r="778">
      <c r="C778" s="33"/>
    </row>
    <row r="779">
      <c r="C779" s="33"/>
    </row>
    <row r="780">
      <c r="C780" s="33"/>
    </row>
    <row r="781">
      <c r="C781" s="33"/>
    </row>
    <row r="782">
      <c r="C782" s="33"/>
    </row>
    <row r="783">
      <c r="C783" s="33"/>
    </row>
    <row r="784">
      <c r="C784" s="33"/>
    </row>
    <row r="785">
      <c r="C785" s="33"/>
    </row>
    <row r="786">
      <c r="C786" s="33"/>
    </row>
    <row r="787">
      <c r="C787" s="33"/>
    </row>
    <row r="788">
      <c r="C788" s="33"/>
    </row>
    <row r="789">
      <c r="C789" s="33"/>
    </row>
    <row r="790">
      <c r="C790" s="33"/>
    </row>
    <row r="791">
      <c r="C791" s="33"/>
    </row>
    <row r="792">
      <c r="C792" s="33"/>
    </row>
    <row r="793">
      <c r="C793" s="33"/>
    </row>
    <row r="794">
      <c r="C794" s="33"/>
    </row>
    <row r="795">
      <c r="C795" s="33"/>
    </row>
    <row r="796">
      <c r="C796" s="33"/>
    </row>
    <row r="797">
      <c r="C797" s="33"/>
    </row>
    <row r="798">
      <c r="C798" s="33"/>
    </row>
    <row r="799">
      <c r="C799" s="33"/>
    </row>
    <row r="800">
      <c r="C800" s="33"/>
    </row>
    <row r="801">
      <c r="C801" s="33"/>
    </row>
    <row r="802">
      <c r="C802" s="33"/>
    </row>
    <row r="803">
      <c r="C803" s="33"/>
    </row>
    <row r="804">
      <c r="C804" s="33"/>
    </row>
    <row r="805">
      <c r="C805" s="33"/>
    </row>
    <row r="806">
      <c r="C806" s="33"/>
    </row>
    <row r="807">
      <c r="C807" s="33"/>
    </row>
    <row r="808">
      <c r="C808" s="33"/>
    </row>
    <row r="809">
      <c r="C809" s="33"/>
    </row>
    <row r="810">
      <c r="C810" s="33"/>
    </row>
    <row r="811">
      <c r="C811" s="33"/>
    </row>
    <row r="812">
      <c r="C812" s="33"/>
    </row>
    <row r="813">
      <c r="C813" s="33"/>
    </row>
    <row r="814">
      <c r="C814" s="33"/>
    </row>
    <row r="815">
      <c r="C815" s="33"/>
    </row>
    <row r="816">
      <c r="C816" s="33"/>
    </row>
    <row r="817">
      <c r="C817" s="33"/>
    </row>
    <row r="818">
      <c r="C818" s="33"/>
    </row>
    <row r="819">
      <c r="C819" s="33"/>
    </row>
    <row r="820">
      <c r="C820" s="33"/>
    </row>
    <row r="821">
      <c r="C821" s="33"/>
    </row>
    <row r="822">
      <c r="C822" s="33"/>
    </row>
    <row r="823">
      <c r="C823" s="33"/>
    </row>
    <row r="824">
      <c r="C824" s="33"/>
    </row>
    <row r="825">
      <c r="C825" s="33"/>
    </row>
    <row r="826">
      <c r="C826" s="33"/>
    </row>
    <row r="827">
      <c r="C827" s="33"/>
    </row>
    <row r="828">
      <c r="C828" s="33"/>
    </row>
    <row r="829">
      <c r="C829" s="33"/>
    </row>
    <row r="830">
      <c r="C830" s="33"/>
    </row>
    <row r="831">
      <c r="C831" s="33"/>
    </row>
    <row r="832">
      <c r="C832" s="33"/>
    </row>
    <row r="833">
      <c r="C833" s="33"/>
    </row>
    <row r="834">
      <c r="C834" s="33"/>
    </row>
    <row r="835">
      <c r="C835" s="33"/>
    </row>
    <row r="836">
      <c r="C836" s="33"/>
    </row>
    <row r="837">
      <c r="C837" s="33"/>
    </row>
    <row r="838">
      <c r="C838" s="33"/>
    </row>
    <row r="839">
      <c r="C839" s="33"/>
    </row>
    <row r="840">
      <c r="C840" s="33"/>
    </row>
    <row r="841">
      <c r="C841" s="33"/>
    </row>
    <row r="842">
      <c r="C842" s="33"/>
    </row>
    <row r="843">
      <c r="C843" s="33"/>
    </row>
    <row r="844">
      <c r="C844" s="33"/>
    </row>
    <row r="845">
      <c r="C845" s="33"/>
    </row>
    <row r="846">
      <c r="C846" s="33"/>
    </row>
    <row r="847">
      <c r="C847" s="33"/>
    </row>
    <row r="848">
      <c r="C848" s="33"/>
    </row>
    <row r="849">
      <c r="C849" s="33"/>
    </row>
    <row r="850">
      <c r="C850" s="33"/>
    </row>
    <row r="851">
      <c r="C851" s="33"/>
    </row>
    <row r="852">
      <c r="C852" s="33"/>
    </row>
    <row r="853">
      <c r="C853" s="33"/>
    </row>
    <row r="854">
      <c r="C854" s="33"/>
    </row>
    <row r="855">
      <c r="C855" s="33"/>
    </row>
    <row r="856">
      <c r="C856" s="33"/>
    </row>
    <row r="857">
      <c r="C857" s="33"/>
    </row>
    <row r="858">
      <c r="C858" s="33"/>
    </row>
    <row r="859">
      <c r="C859" s="33"/>
    </row>
    <row r="860">
      <c r="C860" s="33"/>
    </row>
    <row r="861">
      <c r="C861" s="33"/>
    </row>
    <row r="862">
      <c r="C862" s="33"/>
    </row>
    <row r="863">
      <c r="C863" s="33"/>
    </row>
    <row r="864">
      <c r="C864" s="33"/>
    </row>
    <row r="865">
      <c r="C865" s="33"/>
    </row>
    <row r="866">
      <c r="C866" s="33"/>
    </row>
    <row r="867">
      <c r="C867" s="33"/>
    </row>
    <row r="868">
      <c r="C868" s="33"/>
    </row>
    <row r="869">
      <c r="C869" s="33"/>
    </row>
    <row r="870">
      <c r="C870" s="33"/>
    </row>
    <row r="871">
      <c r="C871" s="33"/>
    </row>
    <row r="872">
      <c r="C872" s="33"/>
    </row>
    <row r="873">
      <c r="C873" s="33"/>
    </row>
    <row r="874">
      <c r="C874" s="33"/>
    </row>
    <row r="875">
      <c r="C875" s="33"/>
    </row>
    <row r="876">
      <c r="C876" s="33"/>
    </row>
    <row r="877">
      <c r="C877" s="33"/>
    </row>
    <row r="878">
      <c r="C878" s="33"/>
    </row>
    <row r="879">
      <c r="C879" s="33"/>
    </row>
    <row r="880">
      <c r="C880" s="33"/>
    </row>
    <row r="881">
      <c r="C881" s="33"/>
    </row>
    <row r="882">
      <c r="C882" s="33"/>
    </row>
    <row r="883">
      <c r="C883" s="33"/>
    </row>
    <row r="884">
      <c r="C884" s="33"/>
    </row>
    <row r="885">
      <c r="C885" s="33"/>
    </row>
    <row r="886">
      <c r="C886" s="33"/>
    </row>
    <row r="887">
      <c r="C887" s="33"/>
    </row>
    <row r="888">
      <c r="C888" s="33"/>
    </row>
    <row r="889">
      <c r="C889" s="33"/>
    </row>
    <row r="890">
      <c r="C890" s="33"/>
    </row>
    <row r="891">
      <c r="C891" s="33"/>
    </row>
    <row r="892">
      <c r="C892" s="33"/>
    </row>
    <row r="893">
      <c r="C893" s="33"/>
    </row>
    <row r="894">
      <c r="C894" s="33"/>
    </row>
    <row r="895">
      <c r="C895" s="33"/>
    </row>
    <row r="896">
      <c r="C896" s="33"/>
    </row>
    <row r="897">
      <c r="C897" s="33"/>
    </row>
    <row r="898">
      <c r="C898" s="33"/>
    </row>
    <row r="899">
      <c r="C899" s="33"/>
    </row>
    <row r="900">
      <c r="C900" s="33"/>
    </row>
    <row r="901">
      <c r="C901" s="33"/>
    </row>
    <row r="902">
      <c r="C902" s="33"/>
    </row>
    <row r="903">
      <c r="C903" s="33"/>
    </row>
    <row r="904">
      <c r="C904" s="33"/>
    </row>
    <row r="905">
      <c r="C905" s="33"/>
    </row>
    <row r="906">
      <c r="C906" s="33"/>
    </row>
    <row r="907">
      <c r="C907" s="33"/>
    </row>
    <row r="908">
      <c r="C908" s="33"/>
    </row>
    <row r="909">
      <c r="C909" s="33"/>
    </row>
    <row r="910">
      <c r="C910" s="33"/>
    </row>
    <row r="911">
      <c r="C911" s="33"/>
    </row>
    <row r="912">
      <c r="C912" s="33"/>
    </row>
    <row r="913">
      <c r="C913" s="33"/>
    </row>
    <row r="914">
      <c r="C914" s="33"/>
    </row>
    <row r="915">
      <c r="C915" s="33"/>
    </row>
    <row r="916">
      <c r="C916" s="33"/>
    </row>
    <row r="917">
      <c r="C917" s="33"/>
    </row>
    <row r="918">
      <c r="C918" s="33"/>
    </row>
    <row r="919">
      <c r="C919" s="33"/>
    </row>
    <row r="920">
      <c r="C920" s="33"/>
    </row>
    <row r="921">
      <c r="C921" s="33"/>
    </row>
    <row r="922">
      <c r="C922" s="33"/>
    </row>
    <row r="923">
      <c r="C923" s="33"/>
    </row>
    <row r="924">
      <c r="C924" s="33"/>
    </row>
    <row r="925">
      <c r="C925" s="33"/>
    </row>
    <row r="926">
      <c r="C926" s="33"/>
    </row>
    <row r="927">
      <c r="C927" s="33"/>
    </row>
    <row r="928">
      <c r="C928" s="33"/>
    </row>
    <row r="929">
      <c r="C929" s="33"/>
    </row>
    <row r="930">
      <c r="C930" s="33"/>
    </row>
    <row r="931">
      <c r="C931" s="33"/>
    </row>
    <row r="932">
      <c r="C932" s="33"/>
    </row>
    <row r="933">
      <c r="C933" s="33"/>
    </row>
    <row r="934">
      <c r="C934" s="33"/>
    </row>
    <row r="935">
      <c r="C935" s="33"/>
    </row>
    <row r="936">
      <c r="C936" s="33"/>
    </row>
    <row r="937">
      <c r="C937" s="33"/>
    </row>
    <row r="938">
      <c r="C938" s="33"/>
    </row>
    <row r="939">
      <c r="C939" s="33"/>
    </row>
    <row r="940">
      <c r="C940" s="33"/>
    </row>
    <row r="941">
      <c r="C941" s="33"/>
    </row>
    <row r="942">
      <c r="C942" s="33"/>
    </row>
    <row r="943">
      <c r="C943" s="33"/>
    </row>
    <row r="944">
      <c r="C944" s="33"/>
    </row>
    <row r="945">
      <c r="C945" s="33"/>
    </row>
  </sheetData>
  <mergeCells count="20">
    <mergeCell ref="D13:D20"/>
    <mergeCell ref="D22:D29"/>
    <mergeCell ref="D40:D47"/>
    <mergeCell ref="D49:D56"/>
    <mergeCell ref="D58:D65"/>
    <mergeCell ref="D67:D74"/>
    <mergeCell ref="A22:A38"/>
    <mergeCell ref="A40:A56"/>
    <mergeCell ref="B40:B56"/>
    <mergeCell ref="C40:C56"/>
    <mergeCell ref="A58:A74"/>
    <mergeCell ref="B58:B74"/>
    <mergeCell ref="C58:C74"/>
    <mergeCell ref="A4:A20"/>
    <mergeCell ref="B4:B20"/>
    <mergeCell ref="C4:C20"/>
    <mergeCell ref="D4:D11"/>
    <mergeCell ref="B22:B38"/>
    <mergeCell ref="C22:C38"/>
    <mergeCell ref="D31:D38"/>
  </mergeCells>
  <conditionalFormatting sqref="I4:I11 I13:I20 I22:I29 I31:I38 I40:I47 I49:I56 I58:I65 I67:I74">
    <cfRule type="cellIs" dxfId="0" priority="1" operator="greaterThanOrEqual">
      <formula>"I2"</formula>
    </cfRule>
  </conditionalFormatting>
  <conditionalFormatting sqref="I4:I11 I13:I20 I22:I29 I31:I38 I40:I47 I49:I56 I58:I65 I67:I74">
    <cfRule type="cellIs" dxfId="0" priority="2" operator="greaterThanOrEqual">
      <formula>"I2"</formula>
    </cfRule>
  </conditionalFormatting>
  <conditionalFormatting sqref="J4:J11 J13:J20 J22:J29 J31:J38 J40:J47 J49:J56 J58:J65 J67:J74">
    <cfRule type="cellIs" dxfId="0" priority="3" operator="greaterThanOrEqual">
      <formula>"J2"</formula>
    </cfRule>
  </conditionalFormatting>
  <conditionalFormatting sqref="J3:J945">
    <cfRule type="cellIs" dxfId="0" priority="4" operator="greaterThan">
      <formula>0.684</formula>
    </cfRule>
  </conditionalFormatting>
  <conditionalFormatting sqref="N1:N945">
    <cfRule type="cellIs" dxfId="0" priority="5" operator="greaterThan">
      <formula>83</formula>
    </cfRule>
  </conditionalFormatting>
  <conditionalFormatting sqref="F1:F945">
    <cfRule type="cellIs" dxfId="0" priority="6" operator="greaterThan">
      <formula>0.652</formula>
    </cfRule>
  </conditionalFormatting>
  <conditionalFormatting sqref="P1:P945">
    <cfRule type="cellIs" dxfId="0" priority="7" operator="lessThan">
      <formula>81</formula>
    </cfRule>
  </conditionalFormatting>
  <conditionalFormatting sqref="I1:I945">
    <cfRule type="cellIs" dxfId="0" priority="8" operator="greaterThan">
      <formula>0.725</formula>
    </cfRule>
  </conditionalFormatting>
  <conditionalFormatting sqref="Q2:Q56 Q58:Q74">
    <cfRule type="cellIs" dxfId="0" priority="9" operator="greaterThan">
      <formula>367</formula>
    </cfRule>
  </conditionalFormatting>
  <conditionalFormatting sqref="G1:G945">
    <cfRule type="cellIs" dxfId="0" priority="10" operator="greaterThan">
      <formula>0.724</formula>
    </cfRule>
  </conditionalFormatting>
  <conditionalFormatting sqref="H1:H945">
    <cfRule type="cellIs" dxfId="0" priority="11" operator="greaterThan">
      <formula>0.727</formula>
    </cfRule>
  </conditionalFormatting>
  <conditionalFormatting sqref="I1:I945">
    <cfRule type="cellIs" dxfId="0" priority="12" operator="greaterThan">
      <formula>0.725</formula>
    </cfRule>
  </conditionalFormatting>
  <conditionalFormatting sqref="J1:J945">
    <cfRule type="cellIs" dxfId="0" priority="13" operator="greaterThanOrEqual">
      <formula>0.684</formula>
    </cfRule>
  </conditionalFormatting>
  <conditionalFormatting sqref="K1:K945">
    <cfRule type="cellIs" dxfId="0" priority="14" operator="greaterThan">
      <formula>0.309</formula>
    </cfRule>
  </conditionalFormatting>
  <conditionalFormatting sqref="L1:L945">
    <cfRule type="cellIs" dxfId="0" priority="15" operator="greaterThan">
      <formula>0.807</formula>
    </cfRule>
  </conditionalFormatting>
  <conditionalFormatting sqref="M1:M945">
    <cfRule type="cellIs" dxfId="0" priority="16" operator="greaterThan">
      <formula>0.819</formula>
    </cfRule>
  </conditionalFormatting>
  <conditionalFormatting sqref="N1:N945">
    <cfRule type="cellIs" dxfId="0" priority="17" operator="greaterThan">
      <formula>83</formula>
    </cfRule>
  </conditionalFormatting>
  <conditionalFormatting sqref="O1:O945">
    <cfRule type="cellIs" dxfId="0" priority="18" operator="lessThan">
      <formula>88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14" max="14" width="13.25"/>
    <col customWidth="1" min="15" max="15" width="19.0"/>
    <col customWidth="1" min="16" max="16" width="26.88"/>
  </cols>
  <sheetData>
    <row r="1">
      <c r="A1" s="34"/>
      <c r="B1" s="35" t="s">
        <v>3</v>
      </c>
      <c r="C1" s="35" t="s">
        <v>4</v>
      </c>
      <c r="D1" s="35" t="s">
        <v>5</v>
      </c>
      <c r="E1" s="35" t="s">
        <v>6</v>
      </c>
      <c r="F1" s="35" t="s">
        <v>59</v>
      </c>
      <c r="G1" s="35" t="s">
        <v>7</v>
      </c>
      <c r="H1" s="35" t="s">
        <v>8</v>
      </c>
      <c r="I1" s="35" t="s">
        <v>9</v>
      </c>
      <c r="J1" s="35" t="s">
        <v>10</v>
      </c>
      <c r="K1" s="35" t="s">
        <v>60</v>
      </c>
      <c r="L1" s="35" t="s">
        <v>12</v>
      </c>
      <c r="M1" s="35" t="s">
        <v>13</v>
      </c>
      <c r="N1" s="35" t="s">
        <v>61</v>
      </c>
      <c r="O1" s="35" t="s">
        <v>15</v>
      </c>
      <c r="P1" s="35" t="s">
        <v>16</v>
      </c>
      <c r="Q1" s="35" t="s">
        <v>17</v>
      </c>
    </row>
    <row r="2">
      <c r="A2" s="36" t="s">
        <v>62</v>
      </c>
      <c r="B2" s="37">
        <v>0.674</v>
      </c>
      <c r="C2" s="37">
        <v>0.741</v>
      </c>
      <c r="D2" s="37">
        <v>0.743</v>
      </c>
      <c r="E2" s="37">
        <v>0.742</v>
      </c>
      <c r="F2" s="12" t="s">
        <v>63</v>
      </c>
      <c r="G2" s="37">
        <v>0.761</v>
      </c>
      <c r="H2" s="37">
        <v>0.352</v>
      </c>
      <c r="I2" s="37">
        <v>0.819</v>
      </c>
      <c r="J2" s="37">
        <v>0.828</v>
      </c>
      <c r="K2" s="37">
        <v>89.0</v>
      </c>
      <c r="L2" s="37">
        <v>82.0</v>
      </c>
      <c r="M2" s="37">
        <v>77.0</v>
      </c>
      <c r="N2" s="37">
        <v>371.0</v>
      </c>
      <c r="O2" s="30" t="s">
        <v>37</v>
      </c>
      <c r="P2" s="37" t="s">
        <v>58</v>
      </c>
      <c r="Q2" s="38"/>
      <c r="R2" s="11"/>
      <c r="S2" s="11"/>
      <c r="T2" s="11"/>
      <c r="U2" s="11"/>
      <c r="V2" s="11"/>
      <c r="W2" s="11"/>
      <c r="X2" s="11"/>
      <c r="Y2" s="11"/>
      <c r="Z2" s="11"/>
    </row>
    <row r="3">
      <c r="A3" s="39" t="s">
        <v>64</v>
      </c>
      <c r="B3" s="22">
        <v>0.671</v>
      </c>
      <c r="C3" s="22">
        <v>0.738</v>
      </c>
      <c r="D3" s="22">
        <v>0.741</v>
      </c>
      <c r="E3" s="22">
        <v>0.74</v>
      </c>
      <c r="F3" s="22">
        <v>0.673</v>
      </c>
      <c r="G3" s="22">
        <v>0.76</v>
      </c>
      <c r="H3" s="22">
        <v>0.346</v>
      </c>
      <c r="I3" s="22">
        <v>0.817</v>
      </c>
      <c r="J3" s="22">
        <v>0.828</v>
      </c>
      <c r="K3" s="22">
        <v>88.0</v>
      </c>
      <c r="L3" s="22">
        <v>83.0</v>
      </c>
      <c r="M3" s="22">
        <v>77.0</v>
      </c>
      <c r="N3" s="22">
        <v>371.0</v>
      </c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</sheetData>
  <conditionalFormatting sqref="F2">
    <cfRule type="cellIs" dxfId="0" priority="1" operator="greaterThan">
      <formula>0.654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7.75"/>
    <col customWidth="1" min="6" max="6" width="36.38"/>
    <col customWidth="1" min="7" max="7" width="21.75"/>
  </cols>
  <sheetData>
    <row r="1">
      <c r="A1" s="40" t="s">
        <v>65</v>
      </c>
      <c r="B1" s="41" t="s">
        <v>66</v>
      </c>
      <c r="C1" s="17" t="s">
        <v>67</v>
      </c>
      <c r="D1" s="18" t="s">
        <v>68</v>
      </c>
      <c r="F1" s="15" t="s">
        <v>69</v>
      </c>
    </row>
    <row r="2">
      <c r="A2" s="42" t="s">
        <v>70</v>
      </c>
      <c r="B2" s="43" t="s">
        <v>71</v>
      </c>
      <c r="C2" s="44">
        <v>29.0</v>
      </c>
      <c r="D2" s="45">
        <f t="shared" ref="D2:D93" si="1"> (C2*100)/30</f>
        <v>96.66666667</v>
      </c>
      <c r="F2" s="42" t="s">
        <v>72</v>
      </c>
      <c r="G2" s="46" t="s">
        <v>73</v>
      </c>
    </row>
    <row r="3">
      <c r="A3" s="42" t="s">
        <v>74</v>
      </c>
      <c r="B3" s="47" t="s">
        <v>75</v>
      </c>
      <c r="C3" s="44">
        <v>29.0</v>
      </c>
      <c r="D3" s="45">
        <f t="shared" si="1"/>
        <v>96.66666667</v>
      </c>
      <c r="F3" s="42" t="s">
        <v>76</v>
      </c>
      <c r="G3" s="42" t="s">
        <v>77</v>
      </c>
    </row>
    <row r="4">
      <c r="A4" s="42" t="s">
        <v>78</v>
      </c>
      <c r="B4" s="48" t="s">
        <v>79</v>
      </c>
      <c r="C4" s="44">
        <v>29.0</v>
      </c>
      <c r="D4" s="45">
        <f t="shared" si="1"/>
        <v>96.66666667</v>
      </c>
      <c r="F4" s="42" t="s">
        <v>80</v>
      </c>
      <c r="G4" s="42" t="s">
        <v>81</v>
      </c>
    </row>
    <row r="5">
      <c r="A5" s="42" t="s">
        <v>82</v>
      </c>
      <c r="B5" s="49" t="s">
        <v>83</v>
      </c>
      <c r="C5" s="44">
        <v>29.0</v>
      </c>
      <c r="D5" s="45">
        <f t="shared" si="1"/>
        <v>96.66666667</v>
      </c>
      <c r="F5" s="15" t="s">
        <v>84</v>
      </c>
      <c r="G5" s="42" t="s">
        <v>80</v>
      </c>
    </row>
    <row r="6">
      <c r="A6" s="42" t="s">
        <v>85</v>
      </c>
      <c r="B6" s="47" t="s">
        <v>86</v>
      </c>
      <c r="C6" s="44">
        <v>28.0</v>
      </c>
      <c r="D6" s="45">
        <f t="shared" si="1"/>
        <v>93.33333333</v>
      </c>
      <c r="F6" s="15" t="s">
        <v>87</v>
      </c>
      <c r="G6" s="42" t="s">
        <v>88</v>
      </c>
    </row>
    <row r="7">
      <c r="A7" s="42" t="s">
        <v>89</v>
      </c>
      <c r="B7" s="43" t="s">
        <v>90</v>
      </c>
      <c r="C7" s="44">
        <v>28.0</v>
      </c>
      <c r="D7" s="45">
        <f t="shared" si="1"/>
        <v>93.33333333</v>
      </c>
      <c r="F7" s="42" t="s">
        <v>91</v>
      </c>
      <c r="G7" s="42" t="s">
        <v>92</v>
      </c>
    </row>
    <row r="8">
      <c r="A8" s="15" t="s">
        <v>93</v>
      </c>
      <c r="B8" s="41" t="s">
        <v>94</v>
      </c>
      <c r="C8" s="17">
        <v>28.0</v>
      </c>
      <c r="D8" s="50">
        <f t="shared" si="1"/>
        <v>93.33333333</v>
      </c>
      <c r="F8" s="42" t="s">
        <v>95</v>
      </c>
      <c r="G8" s="15" t="s">
        <v>96</v>
      </c>
    </row>
    <row r="9">
      <c r="A9" s="42" t="s">
        <v>97</v>
      </c>
      <c r="B9" s="43" t="s">
        <v>98</v>
      </c>
      <c r="C9" s="44">
        <v>28.0</v>
      </c>
      <c r="D9" s="45">
        <f t="shared" si="1"/>
        <v>93.33333333</v>
      </c>
      <c r="F9" s="42" t="s">
        <v>99</v>
      </c>
      <c r="G9" s="42" t="s">
        <v>100</v>
      </c>
    </row>
    <row r="10">
      <c r="A10" s="42" t="s">
        <v>101</v>
      </c>
      <c r="B10" s="43" t="s">
        <v>102</v>
      </c>
      <c r="C10" s="44">
        <v>27.0</v>
      </c>
      <c r="D10" s="45">
        <f t="shared" si="1"/>
        <v>90</v>
      </c>
      <c r="F10" s="42" t="s">
        <v>88</v>
      </c>
      <c r="G10" s="15" t="s">
        <v>103</v>
      </c>
    </row>
    <row r="11">
      <c r="A11" s="15" t="s">
        <v>104</v>
      </c>
      <c r="B11" s="15" t="s">
        <v>105</v>
      </c>
      <c r="C11" s="17">
        <v>27.0</v>
      </c>
      <c r="D11" s="50">
        <f t="shared" si="1"/>
        <v>90</v>
      </c>
      <c r="F11" s="15" t="s">
        <v>106</v>
      </c>
      <c r="G11" s="42" t="s">
        <v>107</v>
      </c>
    </row>
    <row r="12">
      <c r="A12" s="42" t="s">
        <v>108</v>
      </c>
      <c r="B12" s="43" t="s">
        <v>109</v>
      </c>
      <c r="C12" s="44">
        <v>27.0</v>
      </c>
      <c r="D12" s="45">
        <f t="shared" si="1"/>
        <v>90</v>
      </c>
      <c r="F12" s="42" t="s">
        <v>110</v>
      </c>
      <c r="G12" s="15" t="s">
        <v>111</v>
      </c>
    </row>
    <row r="13">
      <c r="A13" s="42" t="s">
        <v>112</v>
      </c>
      <c r="B13" s="43" t="s">
        <v>113</v>
      </c>
      <c r="C13" s="44">
        <v>27.0</v>
      </c>
      <c r="D13" s="45">
        <f t="shared" si="1"/>
        <v>90</v>
      </c>
      <c r="F13" s="42" t="s">
        <v>73</v>
      </c>
      <c r="G13" s="15" t="s">
        <v>114</v>
      </c>
    </row>
    <row r="14">
      <c r="A14" s="15" t="s">
        <v>115</v>
      </c>
      <c r="B14" s="41" t="s">
        <v>116</v>
      </c>
      <c r="C14" s="17">
        <v>27.0</v>
      </c>
      <c r="D14" s="50">
        <f t="shared" si="1"/>
        <v>90</v>
      </c>
      <c r="F14" s="42" t="s">
        <v>117</v>
      </c>
      <c r="G14" s="42" t="s">
        <v>118</v>
      </c>
    </row>
    <row r="15">
      <c r="A15" s="15" t="s">
        <v>119</v>
      </c>
      <c r="B15" s="41"/>
      <c r="C15" s="17">
        <v>27.0</v>
      </c>
      <c r="D15" s="50">
        <f t="shared" si="1"/>
        <v>90</v>
      </c>
      <c r="F15" s="42" t="s">
        <v>120</v>
      </c>
      <c r="G15" s="42" t="s">
        <v>121</v>
      </c>
    </row>
    <row r="16">
      <c r="A16" s="15" t="s">
        <v>122</v>
      </c>
      <c r="B16" s="15" t="s">
        <v>123</v>
      </c>
      <c r="C16" s="17">
        <v>27.0</v>
      </c>
      <c r="D16" s="50">
        <f t="shared" si="1"/>
        <v>90</v>
      </c>
      <c r="F16" s="42" t="s">
        <v>77</v>
      </c>
      <c r="G16" s="15" t="s">
        <v>124</v>
      </c>
    </row>
    <row r="17">
      <c r="A17" s="15" t="s">
        <v>125</v>
      </c>
      <c r="B17" s="41"/>
      <c r="C17" s="17">
        <v>27.0</v>
      </c>
      <c r="D17" s="50">
        <f t="shared" si="1"/>
        <v>90</v>
      </c>
      <c r="F17" s="42" t="s">
        <v>126</v>
      </c>
    </row>
    <row r="18">
      <c r="A18" s="15" t="s">
        <v>127</v>
      </c>
      <c r="B18" s="15" t="s">
        <v>128</v>
      </c>
      <c r="C18" s="17">
        <v>27.0</v>
      </c>
      <c r="D18" s="50">
        <f t="shared" si="1"/>
        <v>90</v>
      </c>
    </row>
    <row r="19">
      <c r="A19" s="15" t="s">
        <v>129</v>
      </c>
      <c r="B19" s="15" t="s">
        <v>130</v>
      </c>
      <c r="C19" s="17">
        <v>27.0</v>
      </c>
      <c r="D19" s="50">
        <f t="shared" si="1"/>
        <v>90</v>
      </c>
    </row>
    <row r="20">
      <c r="A20" s="15" t="s">
        <v>131</v>
      </c>
      <c r="B20" s="41"/>
      <c r="C20" s="17">
        <v>26.0</v>
      </c>
      <c r="D20" s="50">
        <f t="shared" si="1"/>
        <v>86.66666667</v>
      </c>
    </row>
    <row r="21">
      <c r="A21" s="42" t="s">
        <v>132</v>
      </c>
      <c r="B21" s="43" t="s">
        <v>133</v>
      </c>
      <c r="C21" s="17">
        <v>26.0</v>
      </c>
      <c r="D21" s="50">
        <f t="shared" si="1"/>
        <v>86.66666667</v>
      </c>
    </row>
    <row r="22">
      <c r="A22" s="15" t="s">
        <v>134</v>
      </c>
      <c r="B22" s="41"/>
      <c r="C22" s="17">
        <v>26.0</v>
      </c>
      <c r="D22" s="50">
        <f t="shared" si="1"/>
        <v>86.66666667</v>
      </c>
    </row>
    <row r="23">
      <c r="A23" s="42" t="s">
        <v>135</v>
      </c>
      <c r="B23" s="43" t="s">
        <v>136</v>
      </c>
      <c r="C23" s="17">
        <v>26.0</v>
      </c>
      <c r="D23" s="50">
        <f t="shared" si="1"/>
        <v>86.66666667</v>
      </c>
    </row>
    <row r="24">
      <c r="A24" s="42" t="s">
        <v>72</v>
      </c>
      <c r="B24" s="43" t="s">
        <v>72</v>
      </c>
      <c r="C24" s="17">
        <v>26.0</v>
      </c>
      <c r="D24" s="50">
        <f t="shared" si="1"/>
        <v>86.66666667</v>
      </c>
    </row>
    <row r="25">
      <c r="A25" s="15" t="s">
        <v>137</v>
      </c>
      <c r="B25" s="15" t="s">
        <v>138</v>
      </c>
      <c r="C25" s="17">
        <v>25.0</v>
      </c>
      <c r="D25" s="50">
        <f t="shared" si="1"/>
        <v>83.33333333</v>
      </c>
    </row>
    <row r="26">
      <c r="A26" s="42" t="s">
        <v>139</v>
      </c>
      <c r="B26" s="43" t="s">
        <v>140</v>
      </c>
      <c r="C26" s="17">
        <v>25.0</v>
      </c>
      <c r="D26" s="50">
        <f t="shared" si="1"/>
        <v>83.33333333</v>
      </c>
    </row>
    <row r="27">
      <c r="A27" s="15" t="s">
        <v>141</v>
      </c>
      <c r="B27" s="41"/>
      <c r="C27" s="17">
        <v>25.0</v>
      </c>
      <c r="D27" s="50">
        <f t="shared" si="1"/>
        <v>83.33333333</v>
      </c>
    </row>
    <row r="28">
      <c r="A28" s="15" t="s">
        <v>142</v>
      </c>
      <c r="B28" s="41"/>
      <c r="C28" s="17">
        <v>25.0</v>
      </c>
      <c r="D28" s="50">
        <f t="shared" si="1"/>
        <v>83.33333333</v>
      </c>
    </row>
    <row r="29">
      <c r="A29" s="42" t="s">
        <v>143</v>
      </c>
      <c r="B29" s="42" t="s">
        <v>144</v>
      </c>
      <c r="C29" s="17">
        <v>25.0</v>
      </c>
      <c r="D29" s="50">
        <f t="shared" si="1"/>
        <v>83.33333333</v>
      </c>
    </row>
    <row r="30">
      <c r="A30" s="42" t="s">
        <v>145</v>
      </c>
      <c r="B30" s="43" t="s">
        <v>146</v>
      </c>
      <c r="C30" s="17">
        <v>25.0</v>
      </c>
      <c r="D30" s="50">
        <f t="shared" si="1"/>
        <v>83.33333333</v>
      </c>
    </row>
    <row r="31">
      <c r="A31" s="15" t="s">
        <v>147</v>
      </c>
      <c r="B31" s="41"/>
      <c r="C31" s="17">
        <v>25.0</v>
      </c>
      <c r="D31" s="50">
        <f t="shared" si="1"/>
        <v>83.33333333</v>
      </c>
    </row>
    <row r="32">
      <c r="A32" s="15" t="s">
        <v>148</v>
      </c>
      <c r="B32" s="41"/>
      <c r="C32" s="17">
        <v>25.0</v>
      </c>
      <c r="D32" s="50">
        <f t="shared" si="1"/>
        <v>83.33333333</v>
      </c>
    </row>
    <row r="33">
      <c r="A33" s="15" t="s">
        <v>149</v>
      </c>
      <c r="B33" s="41"/>
      <c r="C33" s="17">
        <v>24.0</v>
      </c>
      <c r="D33" s="50">
        <f t="shared" si="1"/>
        <v>80</v>
      </c>
    </row>
    <row r="34">
      <c r="A34" s="15" t="s">
        <v>150</v>
      </c>
      <c r="B34" s="41"/>
      <c r="C34" s="17">
        <v>24.0</v>
      </c>
      <c r="D34" s="50">
        <f t="shared" si="1"/>
        <v>80</v>
      </c>
    </row>
    <row r="35">
      <c r="A35" s="15" t="s">
        <v>151</v>
      </c>
      <c r="B35" s="41"/>
      <c r="C35" s="17">
        <v>24.0</v>
      </c>
      <c r="D35" s="50">
        <f t="shared" si="1"/>
        <v>80</v>
      </c>
    </row>
    <row r="36">
      <c r="A36" s="15" t="s">
        <v>152</v>
      </c>
      <c r="B36" s="41"/>
      <c r="C36" s="17">
        <v>24.0</v>
      </c>
      <c r="D36" s="50">
        <f t="shared" si="1"/>
        <v>80</v>
      </c>
    </row>
    <row r="37">
      <c r="A37" s="15" t="s">
        <v>153</v>
      </c>
      <c r="B37" s="41"/>
      <c r="C37" s="17">
        <v>24.0</v>
      </c>
      <c r="D37" s="50">
        <f t="shared" si="1"/>
        <v>80</v>
      </c>
    </row>
    <row r="38">
      <c r="A38" s="15" t="s">
        <v>154</v>
      </c>
      <c r="B38" s="41"/>
      <c r="C38" s="17">
        <v>24.0</v>
      </c>
      <c r="D38" s="50">
        <f t="shared" si="1"/>
        <v>80</v>
      </c>
    </row>
    <row r="39">
      <c r="A39" s="15" t="s">
        <v>155</v>
      </c>
      <c r="B39" s="41"/>
      <c r="C39" s="17">
        <v>24.0</v>
      </c>
      <c r="D39" s="50">
        <f t="shared" si="1"/>
        <v>80</v>
      </c>
    </row>
    <row r="40">
      <c r="A40" s="15" t="s">
        <v>156</v>
      </c>
      <c r="B40" s="41"/>
      <c r="C40" s="17">
        <v>23.0</v>
      </c>
      <c r="D40" s="50">
        <f t="shared" si="1"/>
        <v>76.66666667</v>
      </c>
    </row>
    <row r="41">
      <c r="A41" s="15" t="s">
        <v>157</v>
      </c>
      <c r="B41" s="41"/>
      <c r="C41" s="17">
        <v>23.0</v>
      </c>
      <c r="D41" s="50">
        <f t="shared" si="1"/>
        <v>76.66666667</v>
      </c>
    </row>
    <row r="42">
      <c r="A42" s="15" t="s">
        <v>158</v>
      </c>
      <c r="B42" s="41"/>
      <c r="C42" s="17">
        <v>23.0</v>
      </c>
      <c r="D42" s="50">
        <f t="shared" si="1"/>
        <v>76.66666667</v>
      </c>
    </row>
    <row r="43">
      <c r="A43" s="15" t="s">
        <v>159</v>
      </c>
      <c r="B43" s="41"/>
      <c r="C43" s="17">
        <v>23.0</v>
      </c>
      <c r="D43" s="50">
        <f t="shared" si="1"/>
        <v>76.66666667</v>
      </c>
    </row>
    <row r="44">
      <c r="A44" s="15" t="s">
        <v>160</v>
      </c>
      <c r="B44" s="41"/>
      <c r="C44" s="17">
        <v>23.0</v>
      </c>
      <c r="D44" s="50">
        <f t="shared" si="1"/>
        <v>76.66666667</v>
      </c>
    </row>
    <row r="45">
      <c r="A45" s="15" t="s">
        <v>161</v>
      </c>
      <c r="B45" s="41"/>
      <c r="C45" s="17">
        <v>23.0</v>
      </c>
      <c r="D45" s="50">
        <f t="shared" si="1"/>
        <v>76.66666667</v>
      </c>
    </row>
    <row r="46">
      <c r="A46" s="15" t="s">
        <v>162</v>
      </c>
      <c r="B46" s="41"/>
      <c r="C46" s="17">
        <v>23.0</v>
      </c>
      <c r="D46" s="50">
        <f t="shared" si="1"/>
        <v>76.66666667</v>
      </c>
    </row>
    <row r="47">
      <c r="A47" s="15" t="s">
        <v>163</v>
      </c>
      <c r="B47" s="41"/>
      <c r="C47" s="17">
        <v>23.0</v>
      </c>
      <c r="D47" s="50">
        <f t="shared" si="1"/>
        <v>76.66666667</v>
      </c>
    </row>
    <row r="48">
      <c r="A48" s="15" t="s">
        <v>164</v>
      </c>
      <c r="B48" s="41"/>
      <c r="C48" s="17">
        <v>23.0</v>
      </c>
      <c r="D48" s="50">
        <f t="shared" si="1"/>
        <v>76.66666667</v>
      </c>
    </row>
    <row r="49">
      <c r="A49" s="15" t="s">
        <v>165</v>
      </c>
      <c r="B49" s="41"/>
      <c r="C49" s="17">
        <v>23.0</v>
      </c>
      <c r="D49" s="50">
        <f t="shared" si="1"/>
        <v>76.66666667</v>
      </c>
    </row>
    <row r="50">
      <c r="A50" s="15" t="s">
        <v>166</v>
      </c>
      <c r="B50" s="41"/>
      <c r="C50" s="17">
        <v>23.0</v>
      </c>
      <c r="D50" s="50">
        <f t="shared" si="1"/>
        <v>76.66666667</v>
      </c>
    </row>
    <row r="51">
      <c r="A51" s="15" t="s">
        <v>167</v>
      </c>
      <c r="B51" s="41"/>
      <c r="C51" s="17">
        <v>23.0</v>
      </c>
      <c r="D51" s="50">
        <f t="shared" si="1"/>
        <v>76.66666667</v>
      </c>
    </row>
    <row r="52">
      <c r="A52" s="15" t="s">
        <v>168</v>
      </c>
      <c r="B52" s="41"/>
      <c r="C52" s="17">
        <v>23.0</v>
      </c>
      <c r="D52" s="50">
        <f t="shared" si="1"/>
        <v>76.66666667</v>
      </c>
    </row>
    <row r="53">
      <c r="A53" s="15" t="s">
        <v>169</v>
      </c>
      <c r="B53" s="41"/>
      <c r="C53" s="17">
        <v>23.0</v>
      </c>
      <c r="D53" s="50">
        <f t="shared" si="1"/>
        <v>76.66666667</v>
      </c>
    </row>
    <row r="54">
      <c r="A54" s="15" t="s">
        <v>170</v>
      </c>
      <c r="B54" s="41"/>
      <c r="C54" s="17">
        <v>22.0</v>
      </c>
      <c r="D54" s="50">
        <f t="shared" si="1"/>
        <v>73.33333333</v>
      </c>
    </row>
    <row r="55">
      <c r="A55" s="15" t="s">
        <v>171</v>
      </c>
      <c r="B55" s="41"/>
      <c r="C55" s="17">
        <v>22.0</v>
      </c>
      <c r="D55" s="50">
        <f t="shared" si="1"/>
        <v>73.33333333</v>
      </c>
    </row>
    <row r="56">
      <c r="A56" s="15" t="s">
        <v>172</v>
      </c>
      <c r="B56" s="41"/>
      <c r="C56" s="17">
        <v>22.0</v>
      </c>
      <c r="D56" s="50">
        <f t="shared" si="1"/>
        <v>73.33333333</v>
      </c>
    </row>
    <row r="57">
      <c r="A57" s="15" t="s">
        <v>173</v>
      </c>
      <c r="B57" s="41"/>
      <c r="C57" s="17">
        <v>22.0</v>
      </c>
      <c r="D57" s="50">
        <f t="shared" si="1"/>
        <v>73.33333333</v>
      </c>
    </row>
    <row r="58">
      <c r="A58" s="15" t="s">
        <v>174</v>
      </c>
      <c r="B58" s="41"/>
      <c r="C58" s="17">
        <v>22.0</v>
      </c>
      <c r="D58" s="50">
        <f t="shared" si="1"/>
        <v>73.33333333</v>
      </c>
    </row>
    <row r="59">
      <c r="A59" s="15" t="s">
        <v>175</v>
      </c>
      <c r="B59" s="41"/>
      <c r="C59" s="17">
        <v>22.0</v>
      </c>
      <c r="D59" s="50">
        <f t="shared" si="1"/>
        <v>73.33333333</v>
      </c>
    </row>
    <row r="60">
      <c r="A60" s="15" t="s">
        <v>176</v>
      </c>
      <c r="B60" s="41"/>
      <c r="C60" s="17">
        <v>22.0</v>
      </c>
      <c r="D60" s="50">
        <f t="shared" si="1"/>
        <v>73.33333333</v>
      </c>
    </row>
    <row r="61">
      <c r="A61" s="15" t="s">
        <v>177</v>
      </c>
      <c r="B61" s="41"/>
      <c r="C61" s="17">
        <v>22.0</v>
      </c>
      <c r="D61" s="50">
        <f t="shared" si="1"/>
        <v>73.33333333</v>
      </c>
    </row>
    <row r="62">
      <c r="A62" s="15" t="s">
        <v>178</v>
      </c>
      <c r="B62" s="41"/>
      <c r="C62" s="17">
        <v>22.0</v>
      </c>
      <c r="D62" s="50">
        <f t="shared" si="1"/>
        <v>73.33333333</v>
      </c>
    </row>
    <row r="63">
      <c r="A63" s="15" t="s">
        <v>179</v>
      </c>
      <c r="B63" s="41"/>
      <c r="C63" s="17">
        <v>22.0</v>
      </c>
      <c r="D63" s="50">
        <f t="shared" si="1"/>
        <v>73.33333333</v>
      </c>
    </row>
    <row r="64">
      <c r="A64" s="15" t="s">
        <v>180</v>
      </c>
      <c r="B64" s="41"/>
      <c r="C64" s="17">
        <v>22.0</v>
      </c>
      <c r="D64" s="50">
        <f t="shared" si="1"/>
        <v>73.33333333</v>
      </c>
    </row>
    <row r="65">
      <c r="A65" s="15" t="s">
        <v>181</v>
      </c>
      <c r="B65" s="41"/>
      <c r="C65" s="17">
        <v>22.0</v>
      </c>
      <c r="D65" s="50">
        <f t="shared" si="1"/>
        <v>73.33333333</v>
      </c>
    </row>
    <row r="66">
      <c r="A66" s="15" t="s">
        <v>182</v>
      </c>
      <c r="B66" s="41"/>
      <c r="C66" s="17">
        <v>22.0</v>
      </c>
      <c r="D66" s="50">
        <f t="shared" si="1"/>
        <v>73.33333333</v>
      </c>
    </row>
    <row r="67">
      <c r="A67" s="15" t="s">
        <v>183</v>
      </c>
      <c r="B67" s="41"/>
      <c r="C67" s="17">
        <v>22.0</v>
      </c>
      <c r="D67" s="50">
        <f t="shared" si="1"/>
        <v>73.33333333</v>
      </c>
    </row>
    <row r="68">
      <c r="A68" s="15" t="s">
        <v>184</v>
      </c>
      <c r="B68" s="41"/>
      <c r="C68" s="17">
        <v>22.0</v>
      </c>
      <c r="D68" s="50">
        <f t="shared" si="1"/>
        <v>73.33333333</v>
      </c>
    </row>
    <row r="69">
      <c r="A69" s="15" t="s">
        <v>185</v>
      </c>
      <c r="B69" s="41"/>
      <c r="C69" s="17">
        <v>21.0</v>
      </c>
      <c r="D69" s="50">
        <f t="shared" si="1"/>
        <v>70</v>
      </c>
    </row>
    <row r="70">
      <c r="A70" s="15" t="s">
        <v>186</v>
      </c>
      <c r="B70" s="41"/>
      <c r="C70" s="17">
        <v>21.0</v>
      </c>
      <c r="D70" s="50">
        <f t="shared" si="1"/>
        <v>70</v>
      </c>
    </row>
    <row r="71">
      <c r="A71" s="15" t="s">
        <v>187</v>
      </c>
      <c r="B71" s="41"/>
      <c r="C71" s="17">
        <v>21.0</v>
      </c>
      <c r="D71" s="50">
        <f t="shared" si="1"/>
        <v>70</v>
      </c>
    </row>
    <row r="72">
      <c r="A72" s="15" t="s">
        <v>188</v>
      </c>
      <c r="B72" s="41"/>
      <c r="C72" s="17">
        <v>21.0</v>
      </c>
      <c r="D72" s="50">
        <f t="shared" si="1"/>
        <v>70</v>
      </c>
    </row>
    <row r="73">
      <c r="A73" s="15" t="s">
        <v>189</v>
      </c>
      <c r="B73" s="41"/>
      <c r="C73" s="17">
        <v>21.0</v>
      </c>
      <c r="D73" s="50">
        <f t="shared" si="1"/>
        <v>70</v>
      </c>
    </row>
    <row r="74">
      <c r="A74" s="15" t="s">
        <v>190</v>
      </c>
      <c r="B74" s="41"/>
      <c r="C74" s="17">
        <v>21.0</v>
      </c>
      <c r="D74" s="50">
        <f t="shared" si="1"/>
        <v>70</v>
      </c>
    </row>
    <row r="75">
      <c r="A75" s="15" t="s">
        <v>191</v>
      </c>
      <c r="B75" s="41"/>
      <c r="C75" s="17">
        <v>21.0</v>
      </c>
      <c r="D75" s="50">
        <f t="shared" si="1"/>
        <v>70</v>
      </c>
    </row>
    <row r="76">
      <c r="A76" s="15" t="s">
        <v>192</v>
      </c>
      <c r="B76" s="41"/>
      <c r="C76" s="17">
        <v>21.0</v>
      </c>
      <c r="D76" s="50">
        <f t="shared" si="1"/>
        <v>70</v>
      </c>
    </row>
    <row r="77">
      <c r="A77" s="15" t="s">
        <v>193</v>
      </c>
      <c r="B77" s="41"/>
      <c r="C77" s="17">
        <v>21.0</v>
      </c>
      <c r="D77" s="50">
        <f t="shared" si="1"/>
        <v>70</v>
      </c>
    </row>
    <row r="78">
      <c r="A78" s="15" t="s">
        <v>194</v>
      </c>
      <c r="B78" s="41"/>
      <c r="C78" s="17">
        <v>21.0</v>
      </c>
      <c r="D78" s="50">
        <f t="shared" si="1"/>
        <v>70</v>
      </c>
    </row>
    <row r="79">
      <c r="A79" s="15" t="s">
        <v>195</v>
      </c>
      <c r="B79" s="41"/>
      <c r="C79" s="17">
        <v>20.0</v>
      </c>
      <c r="D79" s="50">
        <f t="shared" si="1"/>
        <v>66.66666667</v>
      </c>
    </row>
    <row r="80">
      <c r="A80" s="15" t="s">
        <v>196</v>
      </c>
      <c r="B80" s="41"/>
      <c r="C80" s="17">
        <v>20.0</v>
      </c>
      <c r="D80" s="50">
        <f t="shared" si="1"/>
        <v>66.66666667</v>
      </c>
    </row>
    <row r="81">
      <c r="A81" s="15" t="s">
        <v>197</v>
      </c>
      <c r="B81" s="41"/>
      <c r="C81" s="17">
        <v>20.0</v>
      </c>
      <c r="D81" s="50">
        <f t="shared" si="1"/>
        <v>66.66666667</v>
      </c>
    </row>
    <row r="82">
      <c r="A82" s="15" t="s">
        <v>198</v>
      </c>
      <c r="B82" s="41"/>
      <c r="C82" s="17">
        <v>20.0</v>
      </c>
      <c r="D82" s="50">
        <f t="shared" si="1"/>
        <v>66.66666667</v>
      </c>
    </row>
    <row r="83">
      <c r="A83" s="15" t="s">
        <v>199</v>
      </c>
      <c r="B83" s="41"/>
      <c r="C83" s="17">
        <v>20.0</v>
      </c>
      <c r="D83" s="50">
        <f t="shared" si="1"/>
        <v>66.66666667</v>
      </c>
    </row>
    <row r="84">
      <c r="A84" s="15" t="s">
        <v>200</v>
      </c>
      <c r="B84" s="41"/>
      <c r="C84" s="17">
        <v>20.0</v>
      </c>
      <c r="D84" s="50">
        <f t="shared" si="1"/>
        <v>66.66666667</v>
      </c>
    </row>
    <row r="85">
      <c r="A85" s="15" t="s">
        <v>201</v>
      </c>
      <c r="B85" s="41"/>
      <c r="C85" s="17">
        <v>20.0</v>
      </c>
      <c r="D85" s="50">
        <f t="shared" si="1"/>
        <v>66.66666667</v>
      </c>
    </row>
    <row r="86">
      <c r="A86" s="15" t="s">
        <v>202</v>
      </c>
      <c r="B86" s="41"/>
      <c r="C86" s="17">
        <v>19.0</v>
      </c>
      <c r="D86" s="50">
        <f t="shared" si="1"/>
        <v>63.33333333</v>
      </c>
    </row>
    <row r="87">
      <c r="A87" s="15" t="s">
        <v>203</v>
      </c>
      <c r="B87" s="41"/>
      <c r="C87" s="17">
        <v>19.0</v>
      </c>
      <c r="D87" s="50">
        <f t="shared" si="1"/>
        <v>63.33333333</v>
      </c>
    </row>
    <row r="88">
      <c r="A88" s="15" t="s">
        <v>204</v>
      </c>
      <c r="B88" s="41"/>
      <c r="C88" s="17">
        <v>19.0</v>
      </c>
      <c r="D88" s="50">
        <f t="shared" si="1"/>
        <v>63.33333333</v>
      </c>
    </row>
    <row r="89">
      <c r="A89" s="15" t="s">
        <v>205</v>
      </c>
      <c r="B89" s="41"/>
      <c r="C89" s="17">
        <v>19.0</v>
      </c>
      <c r="D89" s="50">
        <f t="shared" si="1"/>
        <v>63.33333333</v>
      </c>
    </row>
    <row r="90">
      <c r="A90" s="15" t="s">
        <v>206</v>
      </c>
      <c r="B90" s="41"/>
      <c r="C90" s="17">
        <v>18.0</v>
      </c>
      <c r="D90" s="50">
        <f t="shared" si="1"/>
        <v>60</v>
      </c>
    </row>
    <row r="91">
      <c r="A91" s="15" t="s">
        <v>207</v>
      </c>
      <c r="B91" s="41"/>
      <c r="C91" s="17">
        <v>18.0</v>
      </c>
      <c r="D91" s="50">
        <f t="shared" si="1"/>
        <v>60</v>
      </c>
    </row>
    <row r="92">
      <c r="A92" s="15" t="s">
        <v>208</v>
      </c>
      <c r="B92" s="41"/>
      <c r="C92" s="17">
        <v>18.0</v>
      </c>
      <c r="D92" s="50">
        <f t="shared" si="1"/>
        <v>60</v>
      </c>
    </row>
    <row r="93">
      <c r="A93" s="15" t="s">
        <v>209</v>
      </c>
      <c r="B93" s="41"/>
      <c r="C93" s="17">
        <v>16.0</v>
      </c>
      <c r="D93" s="50">
        <f t="shared" si="1"/>
        <v>53.33333333</v>
      </c>
    </row>
    <row r="94">
      <c r="B94" s="51"/>
    </row>
    <row r="95">
      <c r="B95" s="51"/>
    </row>
    <row r="96">
      <c r="B96" s="51"/>
    </row>
    <row r="97">
      <c r="B97" s="51"/>
    </row>
    <row r="98">
      <c r="B98" s="51"/>
    </row>
    <row r="99">
      <c r="B99" s="51"/>
    </row>
    <row r="100">
      <c r="B100" s="51"/>
    </row>
    <row r="101">
      <c r="B101" s="51"/>
    </row>
    <row r="102">
      <c r="B102" s="51"/>
    </row>
    <row r="103">
      <c r="B103" s="51"/>
    </row>
    <row r="104">
      <c r="B104" s="51"/>
    </row>
    <row r="105">
      <c r="B105" s="51"/>
    </row>
    <row r="106">
      <c r="B106" s="51"/>
    </row>
    <row r="107">
      <c r="B107" s="51"/>
    </row>
    <row r="108">
      <c r="B108" s="51"/>
    </row>
    <row r="109">
      <c r="B109" s="51"/>
    </row>
    <row r="110">
      <c r="B110" s="51"/>
    </row>
    <row r="111">
      <c r="B111" s="51"/>
    </row>
    <row r="112">
      <c r="B112" s="51"/>
    </row>
    <row r="113">
      <c r="B113" s="51"/>
    </row>
    <row r="114">
      <c r="B114" s="51"/>
    </row>
    <row r="115">
      <c r="B115" s="51"/>
    </row>
    <row r="116">
      <c r="B116" s="51"/>
    </row>
    <row r="117">
      <c r="B117" s="51"/>
    </row>
    <row r="118">
      <c r="B118" s="51"/>
    </row>
    <row r="119">
      <c r="B119" s="51"/>
    </row>
    <row r="120">
      <c r="B120" s="51"/>
    </row>
    <row r="121">
      <c r="B121" s="51"/>
    </row>
    <row r="122">
      <c r="B122" s="51"/>
    </row>
    <row r="123">
      <c r="B123" s="51"/>
    </row>
    <row r="124">
      <c r="B124" s="51"/>
    </row>
    <row r="125">
      <c r="B125" s="51"/>
    </row>
    <row r="126">
      <c r="B126" s="51"/>
    </row>
    <row r="127">
      <c r="B127" s="51"/>
    </row>
    <row r="128">
      <c r="B128" s="51"/>
    </row>
    <row r="129">
      <c r="B129" s="51"/>
    </row>
    <row r="130">
      <c r="B130" s="51"/>
    </row>
    <row r="131">
      <c r="B131" s="51"/>
    </row>
    <row r="132">
      <c r="B132" s="51"/>
    </row>
    <row r="133">
      <c r="B133" s="51"/>
    </row>
    <row r="134">
      <c r="B134" s="51"/>
    </row>
    <row r="135">
      <c r="B135" s="51"/>
    </row>
    <row r="136">
      <c r="B136" s="51"/>
    </row>
    <row r="137">
      <c r="B137" s="51"/>
    </row>
    <row r="138">
      <c r="B138" s="51"/>
    </row>
    <row r="139">
      <c r="B139" s="51"/>
    </row>
    <row r="140">
      <c r="B140" s="51"/>
    </row>
    <row r="141">
      <c r="B141" s="51"/>
    </row>
    <row r="142">
      <c r="B142" s="51"/>
    </row>
    <row r="143">
      <c r="B143" s="51"/>
    </row>
    <row r="144">
      <c r="B144" s="51"/>
    </row>
    <row r="145">
      <c r="B145" s="51"/>
    </row>
    <row r="146">
      <c r="B146" s="51"/>
    </row>
    <row r="147">
      <c r="B147" s="51"/>
    </row>
    <row r="148">
      <c r="B148" s="51"/>
    </row>
    <row r="149">
      <c r="B149" s="51"/>
    </row>
    <row r="150">
      <c r="B150" s="51"/>
    </row>
    <row r="151">
      <c r="B151" s="51"/>
    </row>
    <row r="152">
      <c r="B152" s="51"/>
    </row>
    <row r="153">
      <c r="B153" s="51"/>
    </row>
    <row r="154">
      <c r="B154" s="51"/>
    </row>
    <row r="155">
      <c r="B155" s="51"/>
    </row>
    <row r="156">
      <c r="B156" s="51"/>
    </row>
    <row r="157">
      <c r="B157" s="51"/>
    </row>
    <row r="158">
      <c r="B158" s="51"/>
    </row>
    <row r="159">
      <c r="B159" s="51"/>
    </row>
    <row r="160">
      <c r="B160" s="51"/>
    </row>
    <row r="161">
      <c r="B161" s="51"/>
    </row>
    <row r="162">
      <c r="B162" s="51"/>
    </row>
    <row r="163">
      <c r="B163" s="51"/>
    </row>
    <row r="164">
      <c r="B164" s="51"/>
    </row>
    <row r="165">
      <c r="B165" s="51"/>
    </row>
    <row r="166">
      <c r="B166" s="51"/>
    </row>
    <row r="167">
      <c r="B167" s="51"/>
    </row>
    <row r="168">
      <c r="B168" s="51"/>
    </row>
    <row r="169">
      <c r="B169" s="51"/>
    </row>
    <row r="170">
      <c r="B170" s="51"/>
    </row>
    <row r="171">
      <c r="B171" s="51"/>
    </row>
    <row r="172">
      <c r="B172" s="51"/>
    </row>
    <row r="173">
      <c r="B173" s="51"/>
    </row>
    <row r="174">
      <c r="B174" s="51"/>
    </row>
    <row r="175">
      <c r="B175" s="51"/>
    </row>
    <row r="176">
      <c r="B176" s="51"/>
    </row>
    <row r="177">
      <c r="B177" s="51"/>
    </row>
    <row r="178">
      <c r="B178" s="51"/>
    </row>
    <row r="179">
      <c r="B179" s="51"/>
    </row>
    <row r="180">
      <c r="B180" s="51"/>
    </row>
    <row r="181">
      <c r="B181" s="51"/>
    </row>
    <row r="182">
      <c r="B182" s="51"/>
    </row>
    <row r="183">
      <c r="B183" s="51"/>
    </row>
    <row r="184">
      <c r="B184" s="51"/>
    </row>
    <row r="185">
      <c r="B185" s="51"/>
    </row>
    <row r="186">
      <c r="B186" s="51"/>
    </row>
    <row r="187">
      <c r="B187" s="51"/>
    </row>
    <row r="188">
      <c r="B188" s="51"/>
    </row>
    <row r="189">
      <c r="B189" s="51"/>
    </row>
    <row r="190">
      <c r="B190" s="51"/>
    </row>
    <row r="191">
      <c r="B191" s="51"/>
    </row>
    <row r="192">
      <c r="B192" s="51"/>
    </row>
    <row r="193">
      <c r="B193" s="51"/>
    </row>
    <row r="194">
      <c r="B194" s="51"/>
    </row>
    <row r="195">
      <c r="B195" s="51"/>
    </row>
    <row r="196">
      <c r="B196" s="51"/>
    </row>
    <row r="197">
      <c r="B197" s="51"/>
    </row>
    <row r="198">
      <c r="B198" s="51"/>
    </row>
    <row r="199">
      <c r="B199" s="51"/>
    </row>
    <row r="200">
      <c r="B200" s="51"/>
    </row>
    <row r="201">
      <c r="B201" s="51"/>
    </row>
    <row r="202">
      <c r="B202" s="51"/>
    </row>
    <row r="203">
      <c r="B203" s="51"/>
    </row>
    <row r="204">
      <c r="B204" s="51"/>
    </row>
    <row r="205">
      <c r="B205" s="51"/>
    </row>
    <row r="206">
      <c r="B206" s="51"/>
    </row>
    <row r="207">
      <c r="B207" s="51"/>
    </row>
    <row r="208">
      <c r="B208" s="51"/>
    </row>
    <row r="209">
      <c r="B209" s="51"/>
    </row>
    <row r="210">
      <c r="B210" s="51"/>
    </row>
    <row r="211">
      <c r="B211" s="51"/>
    </row>
    <row r="212">
      <c r="B212" s="51"/>
    </row>
    <row r="213">
      <c r="B213" s="51"/>
    </row>
    <row r="214">
      <c r="B214" s="51"/>
    </row>
    <row r="215">
      <c r="B215" s="51"/>
    </row>
    <row r="216">
      <c r="B216" s="51"/>
    </row>
    <row r="217">
      <c r="B217" s="51"/>
    </row>
    <row r="218">
      <c r="B218" s="51"/>
    </row>
    <row r="219">
      <c r="B219" s="51"/>
    </row>
    <row r="220">
      <c r="B220" s="51"/>
    </row>
    <row r="221">
      <c r="B221" s="51"/>
    </row>
    <row r="222">
      <c r="B222" s="51"/>
    </row>
    <row r="223">
      <c r="B223" s="51"/>
    </row>
    <row r="224">
      <c r="B224" s="51"/>
    </row>
    <row r="225">
      <c r="B225" s="51"/>
    </row>
    <row r="226">
      <c r="B226" s="51"/>
    </row>
    <row r="227">
      <c r="B227" s="51"/>
    </row>
    <row r="228">
      <c r="B228" s="51"/>
    </row>
    <row r="229">
      <c r="B229" s="51"/>
    </row>
    <row r="230">
      <c r="B230" s="51"/>
    </row>
    <row r="231">
      <c r="B231" s="51"/>
    </row>
    <row r="232">
      <c r="B232" s="51"/>
    </row>
    <row r="233">
      <c r="B233" s="51"/>
    </row>
    <row r="234">
      <c r="B234" s="51"/>
    </row>
    <row r="235">
      <c r="B235" s="51"/>
    </row>
    <row r="236">
      <c r="B236" s="51"/>
    </row>
    <row r="237">
      <c r="B237" s="51"/>
    </row>
    <row r="238">
      <c r="B238" s="51"/>
    </row>
    <row r="239">
      <c r="B239" s="51"/>
    </row>
    <row r="240">
      <c r="B240" s="51"/>
    </row>
    <row r="241">
      <c r="B241" s="51"/>
    </row>
    <row r="242">
      <c r="B242" s="51"/>
    </row>
    <row r="243">
      <c r="B243" s="51"/>
    </row>
    <row r="244">
      <c r="B244" s="51"/>
    </row>
    <row r="245">
      <c r="B245" s="51"/>
    </row>
    <row r="246">
      <c r="B246" s="51"/>
    </row>
    <row r="247">
      <c r="B247" s="51"/>
    </row>
    <row r="248">
      <c r="B248" s="51"/>
    </row>
    <row r="249">
      <c r="B249" s="51"/>
    </row>
    <row r="250">
      <c r="B250" s="51"/>
    </row>
    <row r="251">
      <c r="B251" s="51"/>
    </row>
    <row r="252">
      <c r="B252" s="51"/>
    </row>
    <row r="253">
      <c r="B253" s="51"/>
    </row>
    <row r="254">
      <c r="B254" s="51"/>
    </row>
    <row r="255">
      <c r="B255" s="51"/>
    </row>
    <row r="256">
      <c r="B256" s="51"/>
    </row>
    <row r="257">
      <c r="B257" s="51"/>
    </row>
    <row r="258">
      <c r="B258" s="51"/>
    </row>
    <row r="259">
      <c r="B259" s="51"/>
    </row>
    <row r="260">
      <c r="B260" s="51"/>
    </row>
    <row r="261">
      <c r="B261" s="51"/>
    </row>
    <row r="262">
      <c r="B262" s="51"/>
    </row>
    <row r="263">
      <c r="B263" s="51"/>
    </row>
    <row r="264">
      <c r="B264" s="51"/>
    </row>
    <row r="265">
      <c r="B265" s="51"/>
    </row>
    <row r="266">
      <c r="B266" s="51"/>
    </row>
    <row r="267">
      <c r="B267" s="51"/>
    </row>
    <row r="268">
      <c r="B268" s="51"/>
    </row>
    <row r="269">
      <c r="B269" s="51"/>
    </row>
    <row r="270">
      <c r="B270" s="51"/>
    </row>
    <row r="271">
      <c r="B271" s="51"/>
    </row>
    <row r="272">
      <c r="B272" s="51"/>
    </row>
    <row r="273">
      <c r="B273" s="51"/>
    </row>
    <row r="274">
      <c r="B274" s="51"/>
    </row>
    <row r="275">
      <c r="B275" s="51"/>
    </row>
    <row r="276">
      <c r="B276" s="51"/>
    </row>
    <row r="277">
      <c r="B277" s="51"/>
    </row>
    <row r="278">
      <c r="B278" s="51"/>
    </row>
    <row r="279">
      <c r="B279" s="51"/>
    </row>
    <row r="280">
      <c r="B280" s="51"/>
    </row>
    <row r="281">
      <c r="B281" s="51"/>
    </row>
    <row r="282">
      <c r="B282" s="51"/>
    </row>
    <row r="283">
      <c r="B283" s="51"/>
    </row>
    <row r="284">
      <c r="B284" s="51"/>
    </row>
    <row r="285">
      <c r="B285" s="51"/>
    </row>
    <row r="286">
      <c r="B286" s="51"/>
    </row>
    <row r="287">
      <c r="B287" s="51"/>
    </row>
    <row r="288">
      <c r="B288" s="51"/>
    </row>
    <row r="289">
      <c r="B289" s="51"/>
    </row>
    <row r="290">
      <c r="B290" s="51"/>
    </row>
    <row r="291">
      <c r="B291" s="51"/>
    </row>
    <row r="292">
      <c r="B292" s="51"/>
    </row>
    <row r="293">
      <c r="B293" s="51"/>
    </row>
    <row r="294">
      <c r="B294" s="51"/>
    </row>
    <row r="295">
      <c r="B295" s="51"/>
    </row>
    <row r="296">
      <c r="B296" s="51"/>
    </row>
    <row r="297">
      <c r="B297" s="51"/>
    </row>
    <row r="298">
      <c r="B298" s="51"/>
    </row>
    <row r="299">
      <c r="B299" s="51"/>
    </row>
    <row r="300">
      <c r="B300" s="51"/>
    </row>
    <row r="301">
      <c r="B301" s="51"/>
    </row>
    <row r="302">
      <c r="B302" s="51"/>
    </row>
    <row r="303">
      <c r="B303" s="51"/>
    </row>
    <row r="304">
      <c r="B304" s="51"/>
    </row>
    <row r="305">
      <c r="B305" s="51"/>
    </row>
    <row r="306">
      <c r="B306" s="51"/>
    </row>
    <row r="307">
      <c r="B307" s="51"/>
    </row>
    <row r="308">
      <c r="B308" s="51"/>
    </row>
    <row r="309">
      <c r="B309" s="51"/>
    </row>
    <row r="310">
      <c r="B310" s="51"/>
    </row>
    <row r="311">
      <c r="B311" s="51"/>
    </row>
    <row r="312">
      <c r="B312" s="51"/>
    </row>
    <row r="313">
      <c r="B313" s="51"/>
    </row>
    <row r="314">
      <c r="B314" s="51"/>
    </row>
    <row r="315">
      <c r="B315" s="51"/>
    </row>
    <row r="316">
      <c r="B316" s="51"/>
    </row>
    <row r="317">
      <c r="B317" s="51"/>
    </row>
    <row r="318">
      <c r="B318" s="51"/>
    </row>
    <row r="319">
      <c r="B319" s="51"/>
    </row>
    <row r="320">
      <c r="B320" s="51"/>
    </row>
    <row r="321">
      <c r="B321" s="51"/>
    </row>
    <row r="322">
      <c r="B322" s="51"/>
    </row>
    <row r="323">
      <c r="B323" s="51"/>
    </row>
    <row r="324">
      <c r="B324" s="51"/>
    </row>
    <row r="325">
      <c r="B325" s="51"/>
    </row>
    <row r="326">
      <c r="B326" s="51"/>
    </row>
    <row r="327">
      <c r="B327" s="51"/>
    </row>
    <row r="328">
      <c r="B328" s="51"/>
    </row>
    <row r="329">
      <c r="B329" s="51"/>
    </row>
    <row r="330">
      <c r="B330" s="51"/>
    </row>
    <row r="331">
      <c r="B331" s="51"/>
    </row>
    <row r="332">
      <c r="B332" s="51"/>
    </row>
    <row r="333">
      <c r="B333" s="51"/>
    </row>
    <row r="334">
      <c r="B334" s="51"/>
    </row>
    <row r="335">
      <c r="B335" s="51"/>
    </row>
    <row r="336">
      <c r="B336" s="51"/>
    </row>
    <row r="337">
      <c r="B337" s="51"/>
    </row>
    <row r="338">
      <c r="B338" s="51"/>
    </row>
    <row r="339">
      <c r="B339" s="51"/>
    </row>
    <row r="340">
      <c r="B340" s="51"/>
    </row>
    <row r="341">
      <c r="B341" s="51"/>
    </row>
    <row r="342">
      <c r="B342" s="51"/>
    </row>
    <row r="343">
      <c r="B343" s="51"/>
    </row>
    <row r="344">
      <c r="B344" s="51"/>
    </row>
    <row r="345">
      <c r="B345" s="51"/>
    </row>
    <row r="346">
      <c r="B346" s="51"/>
    </row>
    <row r="347">
      <c r="B347" s="51"/>
    </row>
    <row r="348">
      <c r="B348" s="51"/>
    </row>
    <row r="349">
      <c r="B349" s="51"/>
    </row>
    <row r="350">
      <c r="B350" s="51"/>
    </row>
    <row r="351">
      <c r="B351" s="51"/>
    </row>
    <row r="352">
      <c r="B352" s="51"/>
    </row>
    <row r="353">
      <c r="B353" s="51"/>
    </row>
    <row r="354">
      <c r="B354" s="51"/>
    </row>
    <row r="355">
      <c r="B355" s="51"/>
    </row>
    <row r="356">
      <c r="B356" s="51"/>
    </row>
    <row r="357">
      <c r="B357" s="51"/>
    </row>
    <row r="358">
      <c r="B358" s="51"/>
    </row>
    <row r="359">
      <c r="B359" s="51"/>
    </row>
    <row r="360">
      <c r="B360" s="51"/>
    </row>
    <row r="361">
      <c r="B361" s="51"/>
    </row>
    <row r="362">
      <c r="B362" s="51"/>
    </row>
    <row r="363">
      <c r="B363" s="51"/>
    </row>
    <row r="364">
      <c r="B364" s="51"/>
    </row>
    <row r="365">
      <c r="B365" s="51"/>
    </row>
    <row r="366">
      <c r="B366" s="51"/>
    </row>
    <row r="367">
      <c r="B367" s="51"/>
    </row>
    <row r="368">
      <c r="B368" s="51"/>
    </row>
    <row r="369">
      <c r="B369" s="51"/>
    </row>
    <row r="370">
      <c r="B370" s="51"/>
    </row>
    <row r="371">
      <c r="B371" s="51"/>
    </row>
    <row r="372">
      <c r="B372" s="51"/>
    </row>
    <row r="373">
      <c r="B373" s="51"/>
    </row>
    <row r="374">
      <c r="B374" s="51"/>
    </row>
    <row r="375">
      <c r="B375" s="51"/>
    </row>
    <row r="376">
      <c r="B376" s="51"/>
    </row>
    <row r="377">
      <c r="B377" s="51"/>
    </row>
    <row r="378">
      <c r="B378" s="51"/>
    </row>
    <row r="379">
      <c r="B379" s="51"/>
    </row>
    <row r="380">
      <c r="B380" s="51"/>
    </row>
    <row r="381">
      <c r="B381" s="51"/>
    </row>
    <row r="382">
      <c r="B382" s="51"/>
    </row>
    <row r="383">
      <c r="B383" s="51"/>
    </row>
    <row r="384">
      <c r="B384" s="51"/>
    </row>
    <row r="385">
      <c r="B385" s="51"/>
    </row>
    <row r="386">
      <c r="B386" s="51"/>
    </row>
    <row r="387">
      <c r="B387" s="51"/>
    </row>
    <row r="388">
      <c r="B388" s="51"/>
    </row>
    <row r="389">
      <c r="B389" s="51"/>
    </row>
    <row r="390">
      <c r="B390" s="51"/>
    </row>
    <row r="391">
      <c r="B391" s="51"/>
    </row>
    <row r="392">
      <c r="B392" s="51"/>
    </row>
    <row r="393">
      <c r="B393" s="51"/>
    </row>
    <row r="394">
      <c r="B394" s="51"/>
    </row>
    <row r="395">
      <c r="B395" s="51"/>
    </row>
    <row r="396">
      <c r="B396" s="51"/>
    </row>
    <row r="397">
      <c r="B397" s="51"/>
    </row>
    <row r="398">
      <c r="B398" s="51"/>
    </row>
    <row r="399">
      <c r="B399" s="51"/>
    </row>
    <row r="400">
      <c r="B400" s="51"/>
    </row>
    <row r="401">
      <c r="B401" s="51"/>
    </row>
    <row r="402">
      <c r="B402" s="51"/>
    </row>
    <row r="403">
      <c r="B403" s="51"/>
    </row>
    <row r="404">
      <c r="B404" s="51"/>
    </row>
    <row r="405">
      <c r="B405" s="51"/>
    </row>
    <row r="406">
      <c r="B406" s="51"/>
    </row>
    <row r="407">
      <c r="B407" s="51"/>
    </row>
    <row r="408">
      <c r="B408" s="51"/>
    </row>
    <row r="409">
      <c r="B409" s="51"/>
    </row>
    <row r="410">
      <c r="B410" s="51"/>
    </row>
    <row r="411">
      <c r="B411" s="51"/>
    </row>
    <row r="412">
      <c r="B412" s="51"/>
    </row>
    <row r="413">
      <c r="B413" s="51"/>
    </row>
    <row r="414">
      <c r="B414" s="51"/>
    </row>
    <row r="415">
      <c r="B415" s="51"/>
    </row>
    <row r="416">
      <c r="B416" s="51"/>
    </row>
    <row r="417">
      <c r="B417" s="51"/>
    </row>
    <row r="418">
      <c r="B418" s="51"/>
    </row>
    <row r="419">
      <c r="B419" s="51"/>
    </row>
    <row r="420">
      <c r="B420" s="51"/>
    </row>
    <row r="421">
      <c r="B421" s="51"/>
    </row>
    <row r="422">
      <c r="B422" s="51"/>
    </row>
    <row r="423">
      <c r="B423" s="51"/>
    </row>
    <row r="424">
      <c r="B424" s="51"/>
    </row>
    <row r="425">
      <c r="B425" s="51"/>
    </row>
    <row r="426">
      <c r="B426" s="51"/>
    </row>
    <row r="427">
      <c r="B427" s="51"/>
    </row>
    <row r="428">
      <c r="B428" s="51"/>
    </row>
    <row r="429">
      <c r="B429" s="51"/>
    </row>
    <row r="430">
      <c r="B430" s="51"/>
    </row>
    <row r="431">
      <c r="B431" s="51"/>
    </row>
    <row r="432">
      <c r="B432" s="51"/>
    </row>
    <row r="433">
      <c r="B433" s="51"/>
    </row>
    <row r="434">
      <c r="B434" s="51"/>
    </row>
    <row r="435">
      <c r="B435" s="51"/>
    </row>
    <row r="436">
      <c r="B436" s="51"/>
    </row>
    <row r="437">
      <c r="B437" s="51"/>
    </row>
    <row r="438">
      <c r="B438" s="51"/>
    </row>
    <row r="439">
      <c r="B439" s="51"/>
    </row>
    <row r="440">
      <c r="B440" s="51"/>
    </row>
    <row r="441">
      <c r="B441" s="51"/>
    </row>
    <row r="442">
      <c r="B442" s="51"/>
    </row>
    <row r="443">
      <c r="B443" s="51"/>
    </row>
    <row r="444">
      <c r="B444" s="51"/>
    </row>
    <row r="445">
      <c r="B445" s="51"/>
    </row>
    <row r="446">
      <c r="B446" s="51"/>
    </row>
    <row r="447">
      <c r="B447" s="51"/>
    </row>
    <row r="448">
      <c r="B448" s="51"/>
    </row>
    <row r="449">
      <c r="B449" s="51"/>
    </row>
    <row r="450">
      <c r="B450" s="51"/>
    </row>
    <row r="451">
      <c r="B451" s="51"/>
    </row>
    <row r="452">
      <c r="B452" s="51"/>
    </row>
    <row r="453">
      <c r="B453" s="51"/>
    </row>
    <row r="454">
      <c r="B454" s="51"/>
    </row>
    <row r="455">
      <c r="B455" s="51"/>
    </row>
    <row r="456">
      <c r="B456" s="51"/>
    </row>
    <row r="457">
      <c r="B457" s="51"/>
    </row>
    <row r="458">
      <c r="B458" s="51"/>
    </row>
    <row r="459">
      <c r="B459" s="51"/>
    </row>
    <row r="460">
      <c r="B460" s="51"/>
    </row>
    <row r="461">
      <c r="B461" s="51"/>
    </row>
    <row r="462">
      <c r="B462" s="51"/>
    </row>
    <row r="463">
      <c r="B463" s="51"/>
    </row>
    <row r="464">
      <c r="B464" s="51"/>
    </row>
    <row r="465">
      <c r="B465" s="51"/>
    </row>
    <row r="466">
      <c r="B466" s="51"/>
    </row>
    <row r="467">
      <c r="B467" s="51"/>
    </row>
    <row r="468">
      <c r="B468" s="51"/>
    </row>
    <row r="469">
      <c r="B469" s="51"/>
    </row>
    <row r="470">
      <c r="B470" s="51"/>
    </row>
    <row r="471">
      <c r="B471" s="51"/>
    </row>
    <row r="472">
      <c r="B472" s="51"/>
    </row>
    <row r="473">
      <c r="B473" s="51"/>
    </row>
    <row r="474">
      <c r="B474" s="51"/>
    </row>
    <row r="475">
      <c r="B475" s="51"/>
    </row>
    <row r="476">
      <c r="B476" s="51"/>
    </row>
    <row r="477">
      <c r="B477" s="51"/>
    </row>
    <row r="478">
      <c r="B478" s="51"/>
    </row>
    <row r="479">
      <c r="B479" s="51"/>
    </row>
    <row r="480">
      <c r="B480" s="51"/>
    </row>
    <row r="481">
      <c r="B481" s="51"/>
    </row>
    <row r="482">
      <c r="B482" s="51"/>
    </row>
    <row r="483">
      <c r="B483" s="51"/>
    </row>
    <row r="484">
      <c r="B484" s="51"/>
    </row>
    <row r="485">
      <c r="B485" s="51"/>
    </row>
    <row r="486">
      <c r="B486" s="51"/>
    </row>
    <row r="487">
      <c r="B487" s="51"/>
    </row>
    <row r="488">
      <c r="B488" s="51"/>
    </row>
    <row r="489">
      <c r="B489" s="51"/>
    </row>
    <row r="490">
      <c r="B490" s="51"/>
    </row>
    <row r="491">
      <c r="B491" s="51"/>
    </row>
    <row r="492">
      <c r="B492" s="51"/>
    </row>
    <row r="493">
      <c r="B493" s="51"/>
    </row>
    <row r="494">
      <c r="B494" s="51"/>
    </row>
    <row r="495">
      <c r="B495" s="51"/>
    </row>
    <row r="496">
      <c r="B496" s="51"/>
    </row>
    <row r="497">
      <c r="B497" s="51"/>
    </row>
    <row r="498">
      <c r="B498" s="51"/>
    </row>
    <row r="499">
      <c r="B499" s="51"/>
    </row>
    <row r="500">
      <c r="B500" s="51"/>
    </row>
    <row r="501">
      <c r="B501" s="51"/>
    </row>
    <row r="502">
      <c r="B502" s="51"/>
    </row>
    <row r="503">
      <c r="B503" s="51"/>
    </row>
    <row r="504">
      <c r="B504" s="51"/>
    </row>
    <row r="505">
      <c r="B505" s="51"/>
    </row>
    <row r="506">
      <c r="B506" s="51"/>
    </row>
    <row r="507">
      <c r="B507" s="51"/>
    </row>
    <row r="508">
      <c r="B508" s="51"/>
    </row>
    <row r="509">
      <c r="B509" s="51"/>
    </row>
    <row r="510">
      <c r="B510" s="51"/>
    </row>
    <row r="511">
      <c r="B511" s="51"/>
    </row>
    <row r="512">
      <c r="B512" s="51"/>
    </row>
    <row r="513">
      <c r="B513" s="51"/>
    </row>
    <row r="514">
      <c r="B514" s="51"/>
    </row>
    <row r="515">
      <c r="B515" s="51"/>
    </row>
    <row r="516">
      <c r="B516" s="51"/>
    </row>
    <row r="517">
      <c r="B517" s="51"/>
    </row>
    <row r="518">
      <c r="B518" s="51"/>
    </row>
    <row r="519">
      <c r="B519" s="51"/>
    </row>
    <row r="520">
      <c r="B520" s="51"/>
    </row>
    <row r="521">
      <c r="B521" s="51"/>
    </row>
    <row r="522">
      <c r="B522" s="51"/>
    </row>
    <row r="523">
      <c r="B523" s="51"/>
    </row>
    <row r="524">
      <c r="B524" s="51"/>
    </row>
    <row r="525">
      <c r="B525" s="51"/>
    </row>
    <row r="526">
      <c r="B526" s="51"/>
    </row>
    <row r="527">
      <c r="B527" s="51"/>
    </row>
    <row r="528">
      <c r="B528" s="51"/>
    </row>
    <row r="529">
      <c r="B529" s="51"/>
    </row>
    <row r="530">
      <c r="B530" s="51"/>
    </row>
    <row r="531">
      <c r="B531" s="51"/>
    </row>
    <row r="532">
      <c r="B532" s="51"/>
    </row>
    <row r="533">
      <c r="B533" s="51"/>
    </row>
    <row r="534">
      <c r="B534" s="51"/>
    </row>
    <row r="535">
      <c r="B535" s="51"/>
    </row>
    <row r="536">
      <c r="B536" s="51"/>
    </row>
    <row r="537">
      <c r="B537" s="51"/>
    </row>
    <row r="538">
      <c r="B538" s="51"/>
    </row>
    <row r="539">
      <c r="B539" s="51"/>
    </row>
    <row r="540">
      <c r="B540" s="51"/>
    </row>
    <row r="541">
      <c r="B541" s="51"/>
    </row>
    <row r="542">
      <c r="B542" s="51"/>
    </row>
    <row r="543">
      <c r="B543" s="51"/>
    </row>
    <row r="544">
      <c r="B544" s="51"/>
    </row>
    <row r="545">
      <c r="B545" s="51"/>
    </row>
    <row r="546">
      <c r="B546" s="51"/>
    </row>
    <row r="547">
      <c r="B547" s="51"/>
    </row>
    <row r="548">
      <c r="B548" s="51"/>
    </row>
    <row r="549">
      <c r="B549" s="51"/>
    </row>
    <row r="550">
      <c r="B550" s="51"/>
    </row>
    <row r="551">
      <c r="B551" s="51"/>
    </row>
    <row r="552">
      <c r="B552" s="51"/>
    </row>
    <row r="553">
      <c r="B553" s="51"/>
    </row>
    <row r="554">
      <c r="B554" s="51"/>
    </row>
    <row r="555">
      <c r="B555" s="51"/>
    </row>
    <row r="556">
      <c r="B556" s="51"/>
    </row>
    <row r="557">
      <c r="B557" s="51"/>
    </row>
    <row r="558">
      <c r="B558" s="51"/>
    </row>
    <row r="559">
      <c r="B559" s="51"/>
    </row>
    <row r="560">
      <c r="B560" s="51"/>
    </row>
    <row r="561">
      <c r="B561" s="51"/>
    </row>
    <row r="562">
      <c r="B562" s="51"/>
    </row>
    <row r="563">
      <c r="B563" s="51"/>
    </row>
    <row r="564">
      <c r="B564" s="51"/>
    </row>
    <row r="565">
      <c r="B565" s="51"/>
    </row>
    <row r="566">
      <c r="B566" s="51"/>
    </row>
    <row r="567">
      <c r="B567" s="51"/>
    </row>
    <row r="568">
      <c r="B568" s="51"/>
    </row>
    <row r="569">
      <c r="B569" s="51"/>
    </row>
    <row r="570">
      <c r="B570" s="51"/>
    </row>
    <row r="571">
      <c r="B571" s="51"/>
    </row>
    <row r="572">
      <c r="B572" s="51"/>
    </row>
    <row r="573">
      <c r="B573" s="51"/>
    </row>
    <row r="574">
      <c r="B574" s="51"/>
    </row>
    <row r="575">
      <c r="B575" s="51"/>
    </row>
    <row r="576">
      <c r="B576" s="51"/>
    </row>
    <row r="577">
      <c r="B577" s="51"/>
    </row>
    <row r="578">
      <c r="B578" s="51"/>
    </row>
    <row r="579">
      <c r="B579" s="51"/>
    </row>
    <row r="580">
      <c r="B580" s="51"/>
    </row>
    <row r="581">
      <c r="B581" s="51"/>
    </row>
    <row r="582">
      <c r="B582" s="51"/>
    </row>
    <row r="583">
      <c r="B583" s="51"/>
    </row>
    <row r="584">
      <c r="B584" s="51"/>
    </row>
    <row r="585">
      <c r="B585" s="51"/>
    </row>
    <row r="586">
      <c r="B586" s="51"/>
    </row>
    <row r="587">
      <c r="B587" s="51"/>
    </row>
    <row r="588">
      <c r="B588" s="51"/>
    </row>
    <row r="589">
      <c r="B589" s="51"/>
    </row>
    <row r="590">
      <c r="B590" s="51"/>
    </row>
    <row r="591">
      <c r="B591" s="51"/>
    </row>
    <row r="592">
      <c r="B592" s="51"/>
    </row>
    <row r="593">
      <c r="B593" s="51"/>
    </row>
    <row r="594">
      <c r="B594" s="51"/>
    </row>
    <row r="595">
      <c r="B595" s="51"/>
    </row>
    <row r="596">
      <c r="B596" s="51"/>
    </row>
    <row r="597">
      <c r="B597" s="51"/>
    </row>
    <row r="598">
      <c r="B598" s="51"/>
    </row>
    <row r="599">
      <c r="B599" s="51"/>
    </row>
    <row r="600">
      <c r="B600" s="51"/>
    </row>
    <row r="601">
      <c r="B601" s="51"/>
    </row>
    <row r="602">
      <c r="B602" s="51"/>
    </row>
    <row r="603">
      <c r="B603" s="51"/>
    </row>
    <row r="604">
      <c r="B604" s="51"/>
    </row>
    <row r="605">
      <c r="B605" s="51"/>
    </row>
    <row r="606">
      <c r="B606" s="51"/>
    </row>
    <row r="607">
      <c r="B607" s="51"/>
    </row>
    <row r="608">
      <c r="B608" s="51"/>
    </row>
    <row r="609">
      <c r="B609" s="51"/>
    </row>
    <row r="610">
      <c r="B610" s="51"/>
    </row>
    <row r="611">
      <c r="B611" s="51"/>
    </row>
    <row r="612">
      <c r="B612" s="51"/>
    </row>
    <row r="613">
      <c r="B613" s="51"/>
    </row>
    <row r="614">
      <c r="B614" s="51"/>
    </row>
    <row r="615">
      <c r="B615" s="51"/>
    </row>
    <row r="616">
      <c r="B616" s="51"/>
    </row>
    <row r="617">
      <c r="B617" s="51"/>
    </row>
    <row r="618">
      <c r="B618" s="51"/>
    </row>
    <row r="619">
      <c r="B619" s="51"/>
    </row>
    <row r="620">
      <c r="B620" s="51"/>
    </row>
    <row r="621">
      <c r="B621" s="51"/>
    </row>
    <row r="622">
      <c r="B622" s="51"/>
    </row>
    <row r="623">
      <c r="B623" s="51"/>
    </row>
    <row r="624">
      <c r="B624" s="51"/>
    </row>
    <row r="625">
      <c r="B625" s="51"/>
    </row>
    <row r="626">
      <c r="B626" s="51"/>
    </row>
    <row r="627">
      <c r="B627" s="51"/>
    </row>
    <row r="628">
      <c r="B628" s="51"/>
    </row>
    <row r="629">
      <c r="B629" s="51"/>
    </row>
    <row r="630">
      <c r="B630" s="51"/>
    </row>
    <row r="631">
      <c r="B631" s="51"/>
    </row>
    <row r="632">
      <c r="B632" s="51"/>
    </row>
    <row r="633">
      <c r="B633" s="51"/>
    </row>
    <row r="634">
      <c r="B634" s="51"/>
    </row>
    <row r="635">
      <c r="B635" s="51"/>
    </row>
    <row r="636">
      <c r="B636" s="51"/>
    </row>
    <row r="637">
      <c r="B637" s="51"/>
    </row>
    <row r="638">
      <c r="B638" s="51"/>
    </row>
    <row r="639">
      <c r="B639" s="51"/>
    </row>
    <row r="640">
      <c r="B640" s="51"/>
    </row>
    <row r="641">
      <c r="B641" s="51"/>
    </row>
    <row r="642">
      <c r="B642" s="51"/>
    </row>
    <row r="643">
      <c r="B643" s="51"/>
    </row>
    <row r="644">
      <c r="B644" s="51"/>
    </row>
    <row r="645">
      <c r="B645" s="51"/>
    </row>
    <row r="646">
      <c r="B646" s="51"/>
    </row>
    <row r="647">
      <c r="B647" s="51"/>
    </row>
    <row r="648">
      <c r="B648" s="51"/>
    </row>
    <row r="649">
      <c r="B649" s="51"/>
    </row>
    <row r="650">
      <c r="B650" s="51"/>
    </row>
    <row r="651">
      <c r="B651" s="51"/>
    </row>
    <row r="652">
      <c r="B652" s="51"/>
    </row>
    <row r="653">
      <c r="B653" s="51"/>
    </row>
    <row r="654">
      <c r="B654" s="51"/>
    </row>
    <row r="655">
      <c r="B655" s="51"/>
    </row>
    <row r="656">
      <c r="B656" s="51"/>
    </row>
    <row r="657">
      <c r="B657" s="51"/>
    </row>
    <row r="658">
      <c r="B658" s="51"/>
    </row>
    <row r="659">
      <c r="B659" s="51"/>
    </row>
    <row r="660">
      <c r="B660" s="51"/>
    </row>
    <row r="661">
      <c r="B661" s="51"/>
    </row>
    <row r="662">
      <c r="B662" s="51"/>
    </row>
    <row r="663">
      <c r="B663" s="51"/>
    </row>
    <row r="664">
      <c r="B664" s="51"/>
    </row>
    <row r="665">
      <c r="B665" s="51"/>
    </row>
    <row r="666">
      <c r="B666" s="51"/>
    </row>
    <row r="667">
      <c r="B667" s="51"/>
    </row>
    <row r="668">
      <c r="B668" s="51"/>
    </row>
    <row r="669">
      <c r="B669" s="51"/>
    </row>
    <row r="670">
      <c r="B670" s="51"/>
    </row>
    <row r="671">
      <c r="B671" s="51"/>
    </row>
    <row r="672">
      <c r="B672" s="51"/>
    </row>
    <row r="673">
      <c r="B673" s="51"/>
    </row>
    <row r="674">
      <c r="B674" s="51"/>
    </row>
    <row r="675">
      <c r="B675" s="51"/>
    </row>
    <row r="676">
      <c r="B676" s="51"/>
    </row>
    <row r="677">
      <c r="B677" s="51"/>
    </row>
    <row r="678">
      <c r="B678" s="51"/>
    </row>
    <row r="679">
      <c r="B679" s="51"/>
    </row>
    <row r="680">
      <c r="B680" s="51"/>
    </row>
    <row r="681">
      <c r="B681" s="51"/>
    </row>
    <row r="682">
      <c r="B682" s="51"/>
    </row>
    <row r="683">
      <c r="B683" s="51"/>
    </row>
    <row r="684">
      <c r="B684" s="51"/>
    </row>
    <row r="685">
      <c r="B685" s="51"/>
    </row>
    <row r="686">
      <c r="B686" s="51"/>
    </row>
    <row r="687">
      <c r="B687" s="51"/>
    </row>
    <row r="688">
      <c r="B688" s="51"/>
    </row>
    <row r="689">
      <c r="B689" s="51"/>
    </row>
    <row r="690">
      <c r="B690" s="51"/>
    </row>
    <row r="691">
      <c r="B691" s="51"/>
    </row>
    <row r="692">
      <c r="B692" s="51"/>
    </row>
    <row r="693">
      <c r="B693" s="51"/>
    </row>
    <row r="694">
      <c r="B694" s="51"/>
    </row>
    <row r="695">
      <c r="B695" s="51"/>
    </row>
    <row r="696">
      <c r="B696" s="51"/>
    </row>
    <row r="697">
      <c r="B697" s="51"/>
    </row>
    <row r="698">
      <c r="B698" s="51"/>
    </row>
    <row r="699">
      <c r="B699" s="51"/>
    </row>
    <row r="700">
      <c r="B700" s="51"/>
    </row>
    <row r="701">
      <c r="B701" s="51"/>
    </row>
    <row r="702">
      <c r="B702" s="51"/>
    </row>
    <row r="703">
      <c r="B703" s="51"/>
    </row>
    <row r="704">
      <c r="B704" s="51"/>
    </row>
    <row r="705">
      <c r="B705" s="51"/>
    </row>
    <row r="706">
      <c r="B706" s="51"/>
    </row>
    <row r="707">
      <c r="B707" s="51"/>
    </row>
    <row r="708">
      <c r="B708" s="51"/>
    </row>
    <row r="709">
      <c r="B709" s="51"/>
    </row>
    <row r="710">
      <c r="B710" s="51"/>
    </row>
    <row r="711">
      <c r="B711" s="51"/>
    </row>
    <row r="712">
      <c r="B712" s="51"/>
    </row>
    <row r="713">
      <c r="B713" s="51"/>
    </row>
    <row r="714">
      <c r="B714" s="51"/>
    </row>
    <row r="715">
      <c r="B715" s="51"/>
    </row>
    <row r="716">
      <c r="B716" s="51"/>
    </row>
    <row r="717">
      <c r="B717" s="51"/>
    </row>
    <row r="718">
      <c r="B718" s="51"/>
    </row>
    <row r="719">
      <c r="B719" s="51"/>
    </row>
    <row r="720">
      <c r="B720" s="51"/>
    </row>
    <row r="721">
      <c r="B721" s="51"/>
    </row>
    <row r="722">
      <c r="B722" s="51"/>
    </row>
    <row r="723">
      <c r="B723" s="51"/>
    </row>
    <row r="724">
      <c r="B724" s="51"/>
    </row>
    <row r="725">
      <c r="B725" s="51"/>
    </row>
    <row r="726">
      <c r="B726" s="51"/>
    </row>
    <row r="727">
      <c r="B727" s="51"/>
    </row>
    <row r="728">
      <c r="B728" s="51"/>
    </row>
    <row r="729">
      <c r="B729" s="51"/>
    </row>
    <row r="730">
      <c r="B730" s="51"/>
    </row>
    <row r="731">
      <c r="B731" s="51"/>
    </row>
    <row r="732">
      <c r="B732" s="51"/>
    </row>
    <row r="733">
      <c r="B733" s="51"/>
    </row>
    <row r="734">
      <c r="B734" s="51"/>
    </row>
    <row r="735">
      <c r="B735" s="51"/>
    </row>
    <row r="736">
      <c r="B736" s="51"/>
    </row>
    <row r="737">
      <c r="B737" s="51"/>
    </row>
    <row r="738">
      <c r="B738" s="51"/>
    </row>
    <row r="739">
      <c r="B739" s="51"/>
    </row>
    <row r="740">
      <c r="B740" s="51"/>
    </row>
    <row r="741">
      <c r="B741" s="51"/>
    </row>
    <row r="742">
      <c r="B742" s="51"/>
    </row>
    <row r="743">
      <c r="B743" s="51"/>
    </row>
    <row r="744">
      <c r="B744" s="51"/>
    </row>
    <row r="745">
      <c r="B745" s="51"/>
    </row>
    <row r="746">
      <c r="B746" s="51"/>
    </row>
    <row r="747">
      <c r="B747" s="51"/>
    </row>
    <row r="748">
      <c r="B748" s="51"/>
    </row>
    <row r="749">
      <c r="B749" s="51"/>
    </row>
    <row r="750">
      <c r="B750" s="51"/>
    </row>
    <row r="751">
      <c r="B751" s="51"/>
    </row>
    <row r="752">
      <c r="B752" s="51"/>
    </row>
    <row r="753">
      <c r="B753" s="51"/>
    </row>
    <row r="754">
      <c r="B754" s="51"/>
    </row>
    <row r="755">
      <c r="B755" s="51"/>
    </row>
    <row r="756">
      <c r="B756" s="51"/>
    </row>
    <row r="757">
      <c r="B757" s="51"/>
    </row>
    <row r="758">
      <c r="B758" s="51"/>
    </row>
    <row r="759">
      <c r="B759" s="51"/>
    </row>
    <row r="760">
      <c r="B760" s="51"/>
    </row>
    <row r="761">
      <c r="B761" s="51"/>
    </row>
    <row r="762">
      <c r="B762" s="51"/>
    </row>
    <row r="763">
      <c r="B763" s="51"/>
    </row>
    <row r="764">
      <c r="B764" s="51"/>
    </row>
    <row r="765">
      <c r="B765" s="51"/>
    </row>
    <row r="766">
      <c r="B766" s="51"/>
    </row>
    <row r="767">
      <c r="B767" s="51"/>
    </row>
    <row r="768">
      <c r="B768" s="51"/>
    </row>
    <row r="769">
      <c r="B769" s="51"/>
    </row>
    <row r="770">
      <c r="B770" s="51"/>
    </row>
    <row r="771">
      <c r="B771" s="51"/>
    </row>
    <row r="772">
      <c r="B772" s="51"/>
    </row>
    <row r="773">
      <c r="B773" s="51"/>
    </row>
    <row r="774">
      <c r="B774" s="51"/>
    </row>
    <row r="775">
      <c r="B775" s="51"/>
    </row>
    <row r="776">
      <c r="B776" s="51"/>
    </row>
    <row r="777">
      <c r="B777" s="51"/>
    </row>
    <row r="778">
      <c r="B778" s="51"/>
    </row>
    <row r="779">
      <c r="B779" s="51"/>
    </row>
    <row r="780">
      <c r="B780" s="51"/>
    </row>
    <row r="781">
      <c r="B781" s="51"/>
    </row>
    <row r="782">
      <c r="B782" s="51"/>
    </row>
    <row r="783">
      <c r="B783" s="51"/>
    </row>
    <row r="784">
      <c r="B784" s="51"/>
    </row>
    <row r="785">
      <c r="B785" s="51"/>
    </row>
    <row r="786">
      <c r="B786" s="51"/>
    </row>
    <row r="787">
      <c r="B787" s="51"/>
    </row>
    <row r="788">
      <c r="B788" s="51"/>
    </row>
    <row r="789">
      <c r="B789" s="51"/>
    </row>
    <row r="790">
      <c r="B790" s="51"/>
    </row>
    <row r="791">
      <c r="B791" s="51"/>
    </row>
    <row r="792">
      <c r="B792" s="51"/>
    </row>
    <row r="793">
      <c r="B793" s="51"/>
    </row>
    <row r="794">
      <c r="B794" s="51"/>
    </row>
    <row r="795">
      <c r="B795" s="51"/>
    </row>
    <row r="796">
      <c r="B796" s="51"/>
    </row>
    <row r="797">
      <c r="B797" s="51"/>
    </row>
    <row r="798">
      <c r="B798" s="51"/>
    </row>
    <row r="799">
      <c r="B799" s="51"/>
    </row>
    <row r="800">
      <c r="B800" s="51"/>
    </row>
    <row r="801">
      <c r="B801" s="51"/>
    </row>
    <row r="802">
      <c r="B802" s="51"/>
    </row>
    <row r="803">
      <c r="B803" s="51"/>
    </row>
    <row r="804">
      <c r="B804" s="51"/>
    </row>
    <row r="805">
      <c r="B805" s="51"/>
    </row>
    <row r="806">
      <c r="B806" s="51"/>
    </row>
    <row r="807">
      <c r="B807" s="51"/>
    </row>
    <row r="808">
      <c r="B808" s="51"/>
    </row>
    <row r="809">
      <c r="B809" s="51"/>
    </row>
    <row r="810">
      <c r="B810" s="51"/>
    </row>
    <row r="811">
      <c r="B811" s="51"/>
    </row>
    <row r="812">
      <c r="B812" s="51"/>
    </row>
    <row r="813">
      <c r="B813" s="51"/>
    </row>
    <row r="814">
      <c r="B814" s="51"/>
    </row>
    <row r="815">
      <c r="B815" s="51"/>
    </row>
    <row r="816">
      <c r="B816" s="51"/>
    </row>
    <row r="817">
      <c r="B817" s="51"/>
    </row>
    <row r="818">
      <c r="B818" s="51"/>
    </row>
    <row r="819">
      <c r="B819" s="51"/>
    </row>
    <row r="820">
      <c r="B820" s="51"/>
    </row>
    <row r="821">
      <c r="B821" s="51"/>
    </row>
    <row r="822">
      <c r="B822" s="51"/>
    </row>
    <row r="823">
      <c r="B823" s="51"/>
    </row>
    <row r="824">
      <c r="B824" s="51"/>
    </row>
    <row r="825">
      <c r="B825" s="51"/>
    </row>
    <row r="826">
      <c r="B826" s="51"/>
    </row>
    <row r="827">
      <c r="B827" s="51"/>
    </row>
    <row r="828">
      <c r="B828" s="51"/>
    </row>
    <row r="829">
      <c r="B829" s="51"/>
    </row>
    <row r="830">
      <c r="B830" s="51"/>
    </row>
    <row r="831">
      <c r="B831" s="51"/>
    </row>
    <row r="832">
      <c r="B832" s="51"/>
    </row>
    <row r="833">
      <c r="B833" s="51"/>
    </row>
    <row r="834">
      <c r="B834" s="51"/>
    </row>
    <row r="835">
      <c r="B835" s="51"/>
    </row>
    <row r="836">
      <c r="B836" s="51"/>
    </row>
    <row r="837">
      <c r="B837" s="51"/>
    </row>
    <row r="838">
      <c r="B838" s="51"/>
    </row>
    <row r="839">
      <c r="B839" s="51"/>
    </row>
    <row r="840">
      <c r="B840" s="51"/>
    </row>
    <row r="841">
      <c r="B841" s="51"/>
    </row>
    <row r="842">
      <c r="B842" s="51"/>
    </row>
    <row r="843">
      <c r="B843" s="51"/>
    </row>
    <row r="844">
      <c r="B844" s="51"/>
    </row>
    <row r="845">
      <c r="B845" s="51"/>
    </row>
    <row r="846">
      <c r="B846" s="51"/>
    </row>
    <row r="847">
      <c r="B847" s="51"/>
    </row>
    <row r="848">
      <c r="B848" s="51"/>
    </row>
    <row r="849">
      <c r="B849" s="51"/>
    </row>
    <row r="850">
      <c r="B850" s="51"/>
    </row>
    <row r="851">
      <c r="B851" s="51"/>
    </row>
    <row r="852">
      <c r="B852" s="51"/>
    </row>
    <row r="853">
      <c r="B853" s="51"/>
    </row>
    <row r="854">
      <c r="B854" s="51"/>
    </row>
    <row r="855">
      <c r="B855" s="51"/>
    </row>
    <row r="856">
      <c r="B856" s="51"/>
    </row>
    <row r="857">
      <c r="B857" s="51"/>
    </row>
    <row r="858">
      <c r="B858" s="51"/>
    </row>
    <row r="859">
      <c r="B859" s="51"/>
    </row>
    <row r="860">
      <c r="B860" s="51"/>
    </row>
    <row r="861">
      <c r="B861" s="51"/>
    </row>
    <row r="862">
      <c r="B862" s="51"/>
    </row>
    <row r="863">
      <c r="B863" s="51"/>
    </row>
    <row r="864">
      <c r="B864" s="51"/>
    </row>
    <row r="865">
      <c r="B865" s="51"/>
    </row>
    <row r="866">
      <c r="B866" s="51"/>
    </row>
    <row r="867">
      <c r="B867" s="51"/>
    </row>
    <row r="868">
      <c r="B868" s="51"/>
    </row>
    <row r="869">
      <c r="B869" s="51"/>
    </row>
    <row r="870">
      <c r="B870" s="51"/>
    </row>
    <row r="871">
      <c r="B871" s="51"/>
    </row>
    <row r="872">
      <c r="B872" s="51"/>
    </row>
    <row r="873">
      <c r="B873" s="51"/>
    </row>
    <row r="874">
      <c r="B874" s="51"/>
    </row>
    <row r="875">
      <c r="B875" s="51"/>
    </row>
    <row r="876">
      <c r="B876" s="51"/>
    </row>
    <row r="877">
      <c r="B877" s="51"/>
    </row>
    <row r="878">
      <c r="B878" s="51"/>
    </row>
    <row r="879">
      <c r="B879" s="51"/>
    </row>
    <row r="880">
      <c r="B880" s="51"/>
    </row>
    <row r="881">
      <c r="B881" s="51"/>
    </row>
    <row r="882">
      <c r="B882" s="51"/>
    </row>
    <row r="883">
      <c r="B883" s="51"/>
    </row>
    <row r="884">
      <c r="B884" s="51"/>
    </row>
    <row r="885">
      <c r="B885" s="51"/>
    </row>
    <row r="886">
      <c r="B886" s="51"/>
    </row>
    <row r="887">
      <c r="B887" s="51"/>
    </row>
    <row r="888">
      <c r="B888" s="51"/>
    </row>
    <row r="889">
      <c r="B889" s="51"/>
    </row>
    <row r="890">
      <c r="B890" s="51"/>
    </row>
    <row r="891">
      <c r="B891" s="51"/>
    </row>
    <row r="892">
      <c r="B892" s="51"/>
    </row>
    <row r="893">
      <c r="B893" s="51"/>
    </row>
    <row r="894">
      <c r="B894" s="51"/>
    </row>
    <row r="895">
      <c r="B895" s="51"/>
    </row>
    <row r="896">
      <c r="B896" s="51"/>
    </row>
    <row r="897">
      <c r="B897" s="51"/>
    </row>
    <row r="898">
      <c r="B898" s="51"/>
    </row>
    <row r="899">
      <c r="B899" s="51"/>
    </row>
    <row r="900">
      <c r="B900" s="51"/>
    </row>
    <row r="901">
      <c r="B901" s="51"/>
    </row>
    <row r="902">
      <c r="B902" s="51"/>
    </row>
    <row r="903">
      <c r="B903" s="51"/>
    </row>
    <row r="904">
      <c r="B904" s="51"/>
    </row>
    <row r="905">
      <c r="B905" s="51"/>
    </row>
    <row r="906">
      <c r="B906" s="51"/>
    </row>
    <row r="907">
      <c r="B907" s="51"/>
    </row>
    <row r="908">
      <c r="B908" s="51"/>
    </row>
    <row r="909">
      <c r="B909" s="51"/>
    </row>
    <row r="910">
      <c r="B910" s="51"/>
    </row>
    <row r="911">
      <c r="B911" s="51"/>
    </row>
    <row r="912">
      <c r="B912" s="51"/>
    </row>
    <row r="913">
      <c r="B913" s="51"/>
    </row>
    <row r="914">
      <c r="B914" s="51"/>
    </row>
    <row r="915">
      <c r="B915" s="51"/>
    </row>
    <row r="916">
      <c r="B916" s="51"/>
    </row>
    <row r="917">
      <c r="B917" s="51"/>
    </row>
    <row r="918">
      <c r="B918" s="51"/>
    </row>
    <row r="919">
      <c r="B919" s="51"/>
    </row>
    <row r="920">
      <c r="B920" s="51"/>
    </row>
    <row r="921">
      <c r="B921" s="51"/>
    </row>
    <row r="922">
      <c r="B922" s="51"/>
    </row>
    <row r="923">
      <c r="B923" s="51"/>
    </row>
    <row r="924">
      <c r="B924" s="51"/>
    </row>
    <row r="925">
      <c r="B925" s="51"/>
    </row>
    <row r="926">
      <c r="B926" s="51"/>
    </row>
    <row r="927">
      <c r="B927" s="51"/>
    </row>
    <row r="928">
      <c r="B928" s="51"/>
    </row>
    <row r="929">
      <c r="B929" s="51"/>
    </row>
    <row r="930">
      <c r="B930" s="51"/>
    </row>
    <row r="931">
      <c r="B931" s="51"/>
    </row>
    <row r="932">
      <c r="B932" s="51"/>
    </row>
    <row r="933">
      <c r="B933" s="51"/>
    </row>
    <row r="934">
      <c r="B934" s="51"/>
    </row>
    <row r="935">
      <c r="B935" s="51"/>
    </row>
    <row r="936">
      <c r="B936" s="51"/>
    </row>
    <row r="937">
      <c r="B937" s="51"/>
    </row>
    <row r="938">
      <c r="B938" s="51"/>
    </row>
    <row r="939">
      <c r="B939" s="51"/>
    </row>
    <row r="940">
      <c r="B940" s="51"/>
    </row>
    <row r="941">
      <c r="B941" s="51"/>
    </row>
    <row r="942">
      <c r="B942" s="51"/>
    </row>
    <row r="943">
      <c r="B943" s="51"/>
    </row>
    <row r="944">
      <c r="B944" s="51"/>
    </row>
    <row r="945">
      <c r="B945" s="51"/>
    </row>
    <row r="946">
      <c r="B946" s="51"/>
    </row>
    <row r="947">
      <c r="B947" s="51"/>
    </row>
    <row r="948">
      <c r="B948" s="51"/>
    </row>
    <row r="949">
      <c r="B949" s="51"/>
    </row>
    <row r="950">
      <c r="B950" s="51"/>
    </row>
    <row r="951">
      <c r="B951" s="51"/>
    </row>
    <row r="952">
      <c r="B952" s="51"/>
    </row>
    <row r="953">
      <c r="B953" s="51"/>
    </row>
    <row r="954">
      <c r="B954" s="51"/>
    </row>
    <row r="955">
      <c r="B955" s="51"/>
    </row>
    <row r="956">
      <c r="B956" s="51"/>
    </row>
    <row r="957">
      <c r="B957" s="51"/>
    </row>
    <row r="958">
      <c r="B958" s="51"/>
    </row>
    <row r="959">
      <c r="B959" s="51"/>
    </row>
    <row r="960">
      <c r="B960" s="51"/>
    </row>
    <row r="961">
      <c r="B961" s="51"/>
    </row>
    <row r="962">
      <c r="B962" s="51"/>
    </row>
    <row r="963">
      <c r="B963" s="51"/>
    </row>
    <row r="964">
      <c r="B964" s="51"/>
    </row>
    <row r="965">
      <c r="B965" s="51"/>
    </row>
    <row r="966">
      <c r="B966" s="51"/>
    </row>
    <row r="967">
      <c r="B967" s="51"/>
    </row>
    <row r="968">
      <c r="B968" s="51"/>
    </row>
    <row r="969">
      <c r="B969" s="51"/>
    </row>
    <row r="970">
      <c r="B970" s="51"/>
    </row>
    <row r="971">
      <c r="B971" s="51"/>
    </row>
    <row r="972">
      <c r="B972" s="51"/>
    </row>
    <row r="973">
      <c r="B973" s="51"/>
    </row>
    <row r="974">
      <c r="B974" s="51"/>
    </row>
    <row r="975">
      <c r="B975" s="51"/>
    </row>
    <row r="976">
      <c r="B976" s="51"/>
    </row>
    <row r="977">
      <c r="B977" s="51"/>
    </row>
    <row r="978">
      <c r="B978" s="51"/>
    </row>
    <row r="979">
      <c r="B979" s="51"/>
    </row>
    <row r="980">
      <c r="B980" s="51"/>
    </row>
    <row r="981">
      <c r="B981" s="51"/>
    </row>
    <row r="982">
      <c r="B982" s="51"/>
    </row>
    <row r="983">
      <c r="B983" s="51"/>
    </row>
    <row r="984">
      <c r="B984" s="51"/>
    </row>
    <row r="985">
      <c r="B985" s="51"/>
    </row>
    <row r="986">
      <c r="B986" s="51"/>
    </row>
    <row r="987">
      <c r="B987" s="51"/>
    </row>
    <row r="988">
      <c r="B988" s="51"/>
    </row>
    <row r="989">
      <c r="B989" s="51"/>
    </row>
    <row r="990">
      <c r="B990" s="51"/>
    </row>
    <row r="991">
      <c r="B991" s="51"/>
    </row>
    <row r="992">
      <c r="B992" s="51"/>
    </row>
    <row r="993">
      <c r="B993" s="51"/>
    </row>
    <row r="994">
      <c r="B994" s="51"/>
    </row>
    <row r="995">
      <c r="B995" s="51"/>
    </row>
    <row r="996">
      <c r="B996" s="51"/>
    </row>
    <row r="997">
      <c r="B997" s="51"/>
    </row>
    <row r="998">
      <c r="B998" s="51"/>
    </row>
    <row r="999">
      <c r="B999" s="51"/>
    </row>
    <row r="1000">
      <c r="B1000" s="5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0.38"/>
    <col customWidth="1" min="2" max="2" width="14.75"/>
    <col customWidth="1" min="3" max="3" width="17.13"/>
    <col customWidth="1" min="14" max="14" width="19.5"/>
    <col customWidth="1" min="15" max="15" width="37.38"/>
    <col customWidth="1" min="16" max="16" width="19.5"/>
  </cols>
  <sheetData>
    <row r="1">
      <c r="A1" s="3" t="s">
        <v>2</v>
      </c>
      <c r="B1" s="4"/>
      <c r="C1" s="5"/>
      <c r="D1" s="6" t="s">
        <v>7</v>
      </c>
      <c r="E1" s="6" t="s">
        <v>6</v>
      </c>
      <c r="F1" s="7" t="s">
        <v>210</v>
      </c>
      <c r="G1" s="7" t="s">
        <v>211</v>
      </c>
      <c r="H1" s="7" t="s">
        <v>59</v>
      </c>
      <c r="I1" s="7" t="s">
        <v>212</v>
      </c>
      <c r="J1" s="6" t="s">
        <v>213</v>
      </c>
      <c r="K1" s="6" t="s">
        <v>12</v>
      </c>
      <c r="L1" s="6" t="s">
        <v>13</v>
      </c>
      <c r="M1" s="6" t="s">
        <v>214</v>
      </c>
      <c r="N1" s="7" t="s">
        <v>15</v>
      </c>
      <c r="O1" s="7" t="s">
        <v>16</v>
      </c>
      <c r="P1" s="7" t="s">
        <v>17</v>
      </c>
    </row>
    <row r="2" ht="28.5" customHeight="1">
      <c r="A2" s="10" t="s">
        <v>19</v>
      </c>
      <c r="B2" s="52"/>
      <c r="C2" s="11"/>
      <c r="D2" s="12">
        <v>0.684</v>
      </c>
      <c r="E2" s="12">
        <v>0.725</v>
      </c>
      <c r="F2" s="12">
        <f>(2*J2)/((2*J2) + K2 + L2)</f>
        <v>0.4955223881</v>
      </c>
      <c r="G2" s="12">
        <f>(2*M2)/((2*M2) + K2 + L2)</f>
        <v>0.8128460687</v>
      </c>
      <c r="H2" s="12">
        <f>MEDIAN(F2,G2)</f>
        <v>0.6541842284</v>
      </c>
      <c r="I2" s="12">
        <v>0.724</v>
      </c>
      <c r="J2" s="13">
        <v>83.0</v>
      </c>
      <c r="K2" s="13">
        <v>88.0</v>
      </c>
      <c r="L2" s="13">
        <v>81.0</v>
      </c>
      <c r="M2" s="14">
        <v>367.0</v>
      </c>
      <c r="N2" s="14"/>
      <c r="O2" s="14"/>
      <c r="P2" s="14"/>
    </row>
    <row r="3">
      <c r="A3" s="16"/>
      <c r="B3" s="17"/>
      <c r="C3" s="15"/>
      <c r="D3" s="18"/>
      <c r="E3" s="18"/>
      <c r="F3" s="12"/>
      <c r="G3" s="12"/>
      <c r="H3" s="12"/>
      <c r="I3" s="18"/>
      <c r="J3" s="18"/>
      <c r="K3" s="18"/>
      <c r="L3" s="18"/>
      <c r="M3" s="18"/>
      <c r="N3" s="18"/>
      <c r="O3" s="18"/>
      <c r="P3" s="18"/>
    </row>
    <row r="4">
      <c r="A4" s="20" t="s">
        <v>215</v>
      </c>
      <c r="B4" s="19" t="s">
        <v>23</v>
      </c>
      <c r="C4" s="24" t="s">
        <v>216</v>
      </c>
      <c r="D4" s="22">
        <v>0.692</v>
      </c>
      <c r="E4" s="22">
        <v>0.722</v>
      </c>
      <c r="F4" s="12">
        <f t="shared" ref="F4:F7" si="1">(2*J4)/((2*J4) + K4 + L4)</f>
        <v>0.4814108558</v>
      </c>
      <c r="G4" s="12">
        <f t="shared" ref="G4:G7" si="2">(2*M4)/((2*M4) + K4 + L4)</f>
        <v>0.8136733255</v>
      </c>
      <c r="H4" s="12">
        <f t="shared" ref="H4:H7" si="3">MEDIAN(F4,G4)</f>
        <v>0.6475420907</v>
      </c>
      <c r="I4" s="22">
        <v>0.719</v>
      </c>
      <c r="J4" s="22">
        <v>78.767</v>
      </c>
      <c r="K4" s="22">
        <v>92.233</v>
      </c>
      <c r="L4" s="22">
        <v>77.467</v>
      </c>
      <c r="M4" s="22">
        <v>370.533</v>
      </c>
      <c r="N4" s="22"/>
      <c r="O4" s="22"/>
      <c r="P4" s="22"/>
    </row>
    <row r="5">
      <c r="A5" s="23"/>
      <c r="B5" s="23"/>
      <c r="C5" s="24" t="s">
        <v>217</v>
      </c>
      <c r="D5" s="22">
        <v>0.688</v>
      </c>
      <c r="E5" s="22">
        <v>0.72</v>
      </c>
      <c r="F5" s="12">
        <f t="shared" si="1"/>
        <v>0.4768737682</v>
      </c>
      <c r="G5" s="12">
        <f t="shared" si="2"/>
        <v>0.8132123745</v>
      </c>
      <c r="H5" s="12">
        <f t="shared" si="3"/>
        <v>0.6450430713</v>
      </c>
      <c r="I5" s="22">
        <v>0.717</v>
      </c>
      <c r="J5" s="22">
        <v>77.667</v>
      </c>
      <c r="K5" s="22">
        <v>93.333</v>
      </c>
      <c r="L5" s="22">
        <v>77.067</v>
      </c>
      <c r="M5" s="22">
        <v>370.933</v>
      </c>
      <c r="N5" s="22"/>
      <c r="O5" s="22"/>
      <c r="P5" s="22"/>
    </row>
    <row r="6">
      <c r="A6" s="23"/>
      <c r="B6" s="23"/>
      <c r="C6" s="24" t="s">
        <v>218</v>
      </c>
      <c r="D6" s="22">
        <v>0.691</v>
      </c>
      <c r="E6" s="22">
        <v>0.721</v>
      </c>
      <c r="F6" s="12">
        <f t="shared" si="1"/>
        <v>0.4767843362</v>
      </c>
      <c r="G6" s="12">
        <f t="shared" si="2"/>
        <v>0.8135701663</v>
      </c>
      <c r="H6" s="12">
        <f t="shared" si="3"/>
        <v>0.6451772512</v>
      </c>
      <c r="I6" s="22">
        <v>0.717</v>
      </c>
      <c r="J6" s="22">
        <v>77.533</v>
      </c>
      <c r="K6" s="22">
        <v>93.467</v>
      </c>
      <c r="L6" s="22">
        <v>76.7</v>
      </c>
      <c r="M6" s="22">
        <v>371.3</v>
      </c>
      <c r="N6" s="22"/>
      <c r="O6" s="22"/>
      <c r="P6" s="22"/>
    </row>
    <row r="7">
      <c r="A7" s="23"/>
      <c r="B7" s="25"/>
      <c r="C7" s="24" t="s">
        <v>219</v>
      </c>
      <c r="D7" s="22">
        <v>0.689</v>
      </c>
      <c r="E7" s="22">
        <v>0.719</v>
      </c>
      <c r="F7" s="12">
        <f t="shared" si="1"/>
        <v>0.4722320776</v>
      </c>
      <c r="G7" s="12">
        <f t="shared" si="2"/>
        <v>0.8128097415</v>
      </c>
      <c r="H7" s="12">
        <f t="shared" si="3"/>
        <v>0.6425209095</v>
      </c>
      <c r="I7" s="22">
        <v>0.715</v>
      </c>
      <c r="J7" s="22">
        <v>76.533</v>
      </c>
      <c r="K7" s="22">
        <v>94.467</v>
      </c>
      <c r="L7" s="22">
        <v>76.6</v>
      </c>
      <c r="M7" s="22">
        <v>371.4</v>
      </c>
      <c r="N7" s="22"/>
      <c r="O7" s="22"/>
      <c r="P7" s="22"/>
    </row>
    <row r="8">
      <c r="A8" s="23"/>
      <c r="B8" s="26"/>
      <c r="C8" s="27"/>
      <c r="D8" s="27"/>
      <c r="E8" s="27"/>
      <c r="F8" s="12"/>
      <c r="G8" s="12"/>
      <c r="H8" s="12"/>
      <c r="I8" s="27"/>
      <c r="J8" s="27"/>
      <c r="K8" s="27"/>
      <c r="L8" s="27"/>
      <c r="M8" s="28"/>
    </row>
    <row r="9">
      <c r="A9" s="23"/>
      <c r="B9" s="19" t="s">
        <v>32</v>
      </c>
      <c r="C9" s="24" t="s">
        <v>216</v>
      </c>
      <c r="D9" s="22">
        <v>0.687</v>
      </c>
      <c r="E9" s="22">
        <v>0.732</v>
      </c>
      <c r="F9" s="12">
        <f t="shared" ref="F9:F12" si="4">(2*J9)/((2*J9) + K9 + L9)</f>
        <v>0.4984615385</v>
      </c>
      <c r="G9" s="12">
        <f t="shared" ref="G9:G12" si="5">(2*M9)/((2*M9) + K9 + L9)</f>
        <v>0.8214676889</v>
      </c>
      <c r="H9" s="12">
        <f t="shared" ref="H9:H12" si="6">MEDIAN(F9,G9)</f>
        <v>0.6599646137</v>
      </c>
      <c r="I9" s="22">
        <v>0.729</v>
      </c>
      <c r="J9" s="22">
        <v>81.0</v>
      </c>
      <c r="K9" s="22">
        <v>90.0</v>
      </c>
      <c r="L9" s="22">
        <v>73.0</v>
      </c>
      <c r="M9" s="22">
        <v>375.0</v>
      </c>
      <c r="N9" s="22" t="s">
        <v>33</v>
      </c>
      <c r="O9" s="29" t="s">
        <v>34</v>
      </c>
      <c r="P9" s="22"/>
    </row>
    <row r="10">
      <c r="A10" s="23"/>
      <c r="B10" s="23"/>
      <c r="C10" s="24" t="s">
        <v>217</v>
      </c>
      <c r="D10" s="22">
        <v>0.684</v>
      </c>
      <c r="E10" s="22">
        <v>0.74</v>
      </c>
      <c r="F10" s="12">
        <f t="shared" si="4"/>
        <v>0.5167173252</v>
      </c>
      <c r="G10" s="12">
        <f t="shared" si="5"/>
        <v>0.8250825083</v>
      </c>
      <c r="H10" s="12">
        <f t="shared" si="6"/>
        <v>0.6708999167</v>
      </c>
      <c r="I10" s="22">
        <v>0.737</v>
      </c>
      <c r="J10" s="22">
        <v>85.0</v>
      </c>
      <c r="K10" s="22">
        <v>86.0</v>
      </c>
      <c r="L10" s="22">
        <v>73.0</v>
      </c>
      <c r="M10" s="22">
        <v>375.0</v>
      </c>
      <c r="N10" s="22" t="s">
        <v>35</v>
      </c>
      <c r="O10" s="29" t="s">
        <v>36</v>
      </c>
      <c r="P10" s="22"/>
    </row>
    <row r="11">
      <c r="A11" s="23"/>
      <c r="B11" s="23"/>
      <c r="C11" s="24" t="s">
        <v>218</v>
      </c>
      <c r="D11" s="22">
        <v>0.697</v>
      </c>
      <c r="E11" s="22">
        <v>0.731</v>
      </c>
      <c r="F11" s="12">
        <f t="shared" si="4"/>
        <v>0.4969325153</v>
      </c>
      <c r="G11" s="12">
        <f t="shared" si="5"/>
        <v>0.8201754386</v>
      </c>
      <c r="H11" s="12">
        <f t="shared" si="6"/>
        <v>0.658553977</v>
      </c>
      <c r="I11" s="22">
        <v>0.728</v>
      </c>
      <c r="J11" s="22">
        <v>81.0</v>
      </c>
      <c r="K11" s="22">
        <v>90.0</v>
      </c>
      <c r="L11" s="22">
        <v>74.0</v>
      </c>
      <c r="M11" s="22">
        <v>374.0</v>
      </c>
      <c r="N11" s="22" t="s">
        <v>33</v>
      </c>
      <c r="O11" s="29" t="s">
        <v>34</v>
      </c>
      <c r="P11" s="22"/>
    </row>
    <row r="12">
      <c r="A12" s="25"/>
      <c r="B12" s="25"/>
      <c r="C12" s="24" t="s">
        <v>219</v>
      </c>
      <c r="D12" s="22">
        <v>0.675</v>
      </c>
      <c r="E12" s="22">
        <v>0.729</v>
      </c>
      <c r="F12" s="12">
        <f t="shared" si="4"/>
        <v>0.4923076923</v>
      </c>
      <c r="G12" s="12">
        <f t="shared" si="5"/>
        <v>0.8192771084</v>
      </c>
      <c r="H12" s="12">
        <f t="shared" si="6"/>
        <v>0.6557924004</v>
      </c>
      <c r="I12" s="32">
        <v>0.726</v>
      </c>
      <c r="J12" s="22">
        <v>80.0</v>
      </c>
      <c r="K12" s="22">
        <v>91.0</v>
      </c>
      <c r="L12" s="22">
        <v>74.0</v>
      </c>
      <c r="M12" s="22">
        <v>374.0</v>
      </c>
      <c r="N12" s="22" t="s">
        <v>37</v>
      </c>
      <c r="O12" s="29" t="s">
        <v>38</v>
      </c>
      <c r="P12" s="22"/>
    </row>
    <row r="13">
      <c r="A13" s="33"/>
      <c r="F13" s="12"/>
      <c r="G13" s="12"/>
      <c r="H13" s="12"/>
    </row>
    <row r="14">
      <c r="A14" s="20" t="s">
        <v>19</v>
      </c>
      <c r="B14" s="19" t="s">
        <v>23</v>
      </c>
      <c r="C14" s="24" t="s">
        <v>216</v>
      </c>
      <c r="D14" s="22">
        <v>0.678</v>
      </c>
      <c r="E14" s="22">
        <v>0.717</v>
      </c>
      <c r="F14" s="12">
        <f t="shared" ref="F14:F17" si="7">(2*J14)/((2*J14) + K14 + L14)</f>
        <v>0.4674594232</v>
      </c>
      <c r="G14" s="12">
        <f t="shared" ref="G14:G17" si="8">(2*M14)/((2*M14) + K14 + L14)</f>
        <v>0.8126656279</v>
      </c>
      <c r="H14" s="12">
        <f t="shared" ref="H14:H17" si="9">MEDIAN(F14,G14)</f>
        <v>0.6400625256</v>
      </c>
      <c r="I14" s="22">
        <v>0.713</v>
      </c>
      <c r="J14" s="22">
        <v>75.3</v>
      </c>
      <c r="K14" s="22">
        <v>95.7</v>
      </c>
      <c r="L14" s="22">
        <v>75.867</v>
      </c>
      <c r="M14" s="22">
        <v>372.133</v>
      </c>
      <c r="N14" s="22"/>
      <c r="O14" s="22"/>
      <c r="P14" s="22"/>
    </row>
    <row r="15">
      <c r="A15" s="23"/>
      <c r="B15" s="23"/>
      <c r="C15" s="24" t="s">
        <v>217</v>
      </c>
      <c r="D15" s="22">
        <v>0.673</v>
      </c>
      <c r="E15" s="22">
        <v>0.717</v>
      </c>
      <c r="F15" s="12">
        <f t="shared" si="7"/>
        <v>0.4676421249</v>
      </c>
      <c r="G15" s="12">
        <f t="shared" si="8"/>
        <v>0.8129396354</v>
      </c>
      <c r="H15" s="12">
        <f t="shared" si="9"/>
        <v>0.6402908801</v>
      </c>
      <c r="I15" s="22">
        <v>0.714</v>
      </c>
      <c r="J15" s="22">
        <v>75.267</v>
      </c>
      <c r="K15" s="22">
        <v>95.733</v>
      </c>
      <c r="L15" s="22">
        <v>75.633</v>
      </c>
      <c r="M15" s="22">
        <v>372.367</v>
      </c>
      <c r="N15" s="22"/>
      <c r="O15" s="22"/>
      <c r="P15" s="22"/>
    </row>
    <row r="16">
      <c r="A16" s="23"/>
      <c r="B16" s="23"/>
      <c r="C16" s="24" t="s">
        <v>218</v>
      </c>
      <c r="D16" s="22">
        <v>0.677</v>
      </c>
      <c r="E16" s="22">
        <v>0.718</v>
      </c>
      <c r="F16" s="12">
        <f t="shared" si="7"/>
        <v>0.4692032468</v>
      </c>
      <c r="G16" s="12">
        <f t="shared" si="8"/>
        <v>0.8129914164</v>
      </c>
      <c r="H16" s="12">
        <f t="shared" si="9"/>
        <v>0.6410973316</v>
      </c>
      <c r="I16" s="22">
        <v>0.714</v>
      </c>
      <c r="J16" s="22">
        <v>75.667</v>
      </c>
      <c r="K16" s="22">
        <v>95.333</v>
      </c>
      <c r="L16" s="22">
        <v>75.867</v>
      </c>
      <c r="M16" s="22">
        <v>372.133</v>
      </c>
      <c r="N16" s="22"/>
      <c r="O16" s="22"/>
      <c r="P16" s="22"/>
    </row>
    <row r="17">
      <c r="A17" s="23"/>
      <c r="B17" s="25"/>
      <c r="C17" s="24" t="s">
        <v>219</v>
      </c>
      <c r="D17" s="22">
        <v>0.672</v>
      </c>
      <c r="E17" s="22">
        <v>0.717</v>
      </c>
      <c r="F17" s="12">
        <f t="shared" si="7"/>
        <v>0.4672857143</v>
      </c>
      <c r="G17" s="12">
        <f t="shared" si="8"/>
        <v>0.8127358079</v>
      </c>
      <c r="H17" s="12">
        <f t="shared" si="9"/>
        <v>0.6400107611</v>
      </c>
      <c r="I17" s="22">
        <v>0.713</v>
      </c>
      <c r="J17" s="22">
        <v>75.233</v>
      </c>
      <c r="K17" s="22">
        <v>95.767</v>
      </c>
      <c r="L17" s="22">
        <v>75.767</v>
      </c>
      <c r="M17" s="22">
        <v>372.233</v>
      </c>
      <c r="N17" s="22"/>
      <c r="O17" s="22"/>
      <c r="P17" s="22"/>
    </row>
    <row r="18">
      <c r="A18" s="23"/>
      <c r="B18" s="26"/>
      <c r="C18" s="27"/>
      <c r="D18" s="27"/>
      <c r="E18" s="27"/>
      <c r="F18" s="12"/>
      <c r="G18" s="12"/>
      <c r="H18" s="12"/>
      <c r="I18" s="27"/>
      <c r="J18" s="27"/>
      <c r="K18" s="27"/>
      <c r="L18" s="27"/>
      <c r="M18" s="28"/>
    </row>
    <row r="19">
      <c r="A19" s="23"/>
      <c r="B19" s="19" t="s">
        <v>32</v>
      </c>
      <c r="C19" s="24" t="s">
        <v>216</v>
      </c>
      <c r="D19" s="31">
        <v>0.695</v>
      </c>
      <c r="E19" s="30">
        <v>0.724</v>
      </c>
      <c r="F19" s="12">
        <f t="shared" ref="F19:F22" si="10">(2*J19)/((2*J19) + K19 + L19)</f>
        <v>0.4764890282</v>
      </c>
      <c r="G19" s="12">
        <f t="shared" ref="G19:G22" si="11">(2*M19)/((2*M19) + K19 + L19)</f>
        <v>0.8182807399</v>
      </c>
      <c r="H19" s="12">
        <f t="shared" ref="H19:H22" si="12">MEDIAN(F19,G19)</f>
        <v>0.6473848841</v>
      </c>
      <c r="I19" s="30">
        <v>0.72</v>
      </c>
      <c r="J19" s="30">
        <v>76.0</v>
      </c>
      <c r="K19" s="30">
        <v>95.0</v>
      </c>
      <c r="L19" s="31">
        <v>72.0</v>
      </c>
      <c r="M19" s="31">
        <v>376.0</v>
      </c>
      <c r="N19" s="30" t="s">
        <v>42</v>
      </c>
      <c r="O19" s="32" t="s">
        <v>43</v>
      </c>
      <c r="P19" s="22"/>
    </row>
    <row r="20">
      <c r="A20" s="23"/>
      <c r="B20" s="23"/>
      <c r="C20" s="24" t="s">
        <v>217</v>
      </c>
      <c r="D20" s="22">
        <v>0.676</v>
      </c>
      <c r="E20" s="22">
        <v>0.729</v>
      </c>
      <c r="F20" s="12">
        <f t="shared" si="10"/>
        <v>0.4923076923</v>
      </c>
      <c r="G20" s="12">
        <f t="shared" si="11"/>
        <v>0.8192771084</v>
      </c>
      <c r="H20" s="12">
        <f t="shared" si="12"/>
        <v>0.6557924004</v>
      </c>
      <c r="I20" s="22">
        <v>0.726</v>
      </c>
      <c r="J20" s="22">
        <v>80.0</v>
      </c>
      <c r="K20" s="22">
        <v>91.0</v>
      </c>
      <c r="L20" s="22">
        <v>74.0</v>
      </c>
      <c r="M20" s="22">
        <v>374.0</v>
      </c>
      <c r="N20" s="30" t="s">
        <v>33</v>
      </c>
      <c r="O20" s="29" t="s">
        <v>44</v>
      </c>
      <c r="P20" s="22"/>
    </row>
    <row r="21">
      <c r="A21" s="23"/>
      <c r="B21" s="23"/>
      <c r="C21" s="24" t="s">
        <v>218</v>
      </c>
      <c r="D21" s="22">
        <v>0.689</v>
      </c>
      <c r="E21" s="22">
        <v>0.728</v>
      </c>
      <c r="F21" s="12">
        <f t="shared" si="10"/>
        <v>0.493902439</v>
      </c>
      <c r="G21" s="12">
        <f t="shared" si="11"/>
        <v>0.8175824176</v>
      </c>
      <c r="H21" s="12">
        <f t="shared" si="12"/>
        <v>0.6557424283</v>
      </c>
      <c r="I21" s="22">
        <v>0.725</v>
      </c>
      <c r="J21" s="22">
        <v>81.0</v>
      </c>
      <c r="K21" s="22">
        <v>90.0</v>
      </c>
      <c r="L21" s="22">
        <v>76.0</v>
      </c>
      <c r="M21" s="22">
        <v>372.0</v>
      </c>
      <c r="N21" s="30" t="s">
        <v>42</v>
      </c>
      <c r="O21" s="29" t="s">
        <v>45</v>
      </c>
      <c r="P21" s="22"/>
    </row>
    <row r="22">
      <c r="A22" s="25"/>
      <c r="B22" s="25"/>
      <c r="C22" s="24" t="s">
        <v>219</v>
      </c>
      <c r="D22" s="22">
        <v>0.689</v>
      </c>
      <c r="E22" s="22">
        <v>0.728</v>
      </c>
      <c r="F22" s="12">
        <f t="shared" si="10"/>
        <v>0.5101449275</v>
      </c>
      <c r="G22" s="12">
        <f t="shared" si="11"/>
        <v>0.81075028</v>
      </c>
      <c r="H22" s="12">
        <f t="shared" si="12"/>
        <v>0.6604476037</v>
      </c>
      <c r="I22" s="22">
        <v>0.728</v>
      </c>
      <c r="J22" s="22">
        <v>88.0</v>
      </c>
      <c r="K22" s="22">
        <v>83.0</v>
      </c>
      <c r="L22" s="22">
        <v>86.0</v>
      </c>
      <c r="M22" s="22">
        <v>362.0</v>
      </c>
      <c r="N22" s="30" t="s">
        <v>37</v>
      </c>
      <c r="O22" s="29" t="s">
        <v>46</v>
      </c>
      <c r="P22" s="22"/>
    </row>
    <row r="23">
      <c r="A23" s="33"/>
      <c r="F23" s="12"/>
      <c r="G23" s="12"/>
      <c r="H23" s="12"/>
    </row>
    <row r="24">
      <c r="A24" s="20" t="s">
        <v>48</v>
      </c>
      <c r="B24" s="19" t="s">
        <v>23</v>
      </c>
      <c r="C24" s="24" t="s">
        <v>216</v>
      </c>
      <c r="D24" s="22">
        <v>0.72</v>
      </c>
      <c r="E24" s="22">
        <v>0.709</v>
      </c>
      <c r="F24" s="12">
        <f t="shared" ref="F24:F27" si="13">(2*J24)/((2*J24) + K24 + L24)</f>
        <v>0.4038386541</v>
      </c>
      <c r="G24" s="12">
        <f t="shared" ref="G24:G27" si="14">(2*M24)/((2*M24) + K24 + L24)</f>
        <v>0.8302600679</v>
      </c>
      <c r="H24" s="12">
        <f t="shared" ref="H24:H27" si="15">MEDIAN(F24,G24)</f>
        <v>0.617049361</v>
      </c>
      <c r="I24" s="22">
        <v>0.718</v>
      </c>
      <c r="J24" s="22">
        <v>55.4</v>
      </c>
      <c r="K24" s="22">
        <v>115.6</v>
      </c>
      <c r="L24" s="22">
        <v>47.967</v>
      </c>
      <c r="M24" s="22">
        <v>400.033</v>
      </c>
      <c r="N24" s="22"/>
      <c r="O24" s="22"/>
      <c r="P24" s="22"/>
    </row>
    <row r="25">
      <c r="A25" s="23"/>
      <c r="B25" s="23"/>
      <c r="C25" s="24" t="s">
        <v>217</v>
      </c>
      <c r="D25" s="22">
        <v>0.71</v>
      </c>
      <c r="E25" s="22">
        <v>0.707</v>
      </c>
      <c r="F25" s="12">
        <f t="shared" si="13"/>
        <v>0.4043770082</v>
      </c>
      <c r="G25" s="12">
        <f t="shared" si="14"/>
        <v>0.8258335943</v>
      </c>
      <c r="H25" s="12">
        <f t="shared" si="15"/>
        <v>0.6151053013</v>
      </c>
      <c r="I25" s="22">
        <v>0.712</v>
      </c>
      <c r="J25" s="22">
        <v>56.633</v>
      </c>
      <c r="K25" s="22">
        <v>114.367</v>
      </c>
      <c r="L25" s="22">
        <v>52.467</v>
      </c>
      <c r="M25" s="22">
        <v>395.533</v>
      </c>
      <c r="N25" s="22"/>
      <c r="O25" s="22"/>
      <c r="P25" s="22"/>
    </row>
    <row r="26">
      <c r="A26" s="23"/>
      <c r="B26" s="23"/>
      <c r="C26" s="24" t="s">
        <v>218</v>
      </c>
      <c r="D26" s="22">
        <v>0.723</v>
      </c>
      <c r="E26" s="22">
        <v>0.711</v>
      </c>
      <c r="F26" s="12">
        <f t="shared" si="13"/>
        <v>0.3964961158</v>
      </c>
      <c r="G26" s="12">
        <f t="shared" si="14"/>
        <v>0.8345801597</v>
      </c>
      <c r="H26" s="12">
        <f t="shared" si="15"/>
        <v>0.6155381377</v>
      </c>
      <c r="I26" s="22">
        <v>0.719</v>
      </c>
      <c r="J26" s="22">
        <v>52.8</v>
      </c>
      <c r="K26" s="22">
        <v>118.2</v>
      </c>
      <c r="L26" s="22">
        <v>42.533</v>
      </c>
      <c r="M26" s="22">
        <v>405.467</v>
      </c>
      <c r="N26" s="22"/>
      <c r="O26" s="22"/>
      <c r="P26" s="22"/>
    </row>
    <row r="27">
      <c r="A27" s="23"/>
      <c r="B27" s="25"/>
      <c r="C27" s="24" t="s">
        <v>219</v>
      </c>
      <c r="D27" s="22">
        <v>0.715</v>
      </c>
      <c r="E27" s="22">
        <v>0.706</v>
      </c>
      <c r="F27" s="12">
        <f t="shared" si="13"/>
        <v>0.3945845497</v>
      </c>
      <c r="G27" s="12">
        <f t="shared" si="14"/>
        <v>0.8284323381</v>
      </c>
      <c r="H27" s="12">
        <f t="shared" si="15"/>
        <v>0.6115084439</v>
      </c>
      <c r="I27" s="22">
        <v>0.712</v>
      </c>
      <c r="J27" s="22">
        <v>53.933</v>
      </c>
      <c r="K27" s="22">
        <v>117.067</v>
      </c>
      <c r="L27" s="22">
        <v>48.433</v>
      </c>
      <c r="M27" s="22">
        <v>399.567</v>
      </c>
      <c r="N27" s="22"/>
      <c r="O27" s="22"/>
      <c r="P27" s="22"/>
    </row>
    <row r="28">
      <c r="A28" s="23"/>
      <c r="B28" s="26"/>
      <c r="C28" s="27"/>
      <c r="D28" s="27"/>
      <c r="E28" s="27"/>
      <c r="F28" s="12"/>
      <c r="G28" s="12"/>
      <c r="H28" s="12"/>
      <c r="I28" s="27"/>
      <c r="J28" s="27"/>
      <c r="K28" s="27"/>
      <c r="L28" s="27"/>
      <c r="M28" s="28"/>
    </row>
    <row r="29">
      <c r="A29" s="23"/>
      <c r="B29" s="19" t="s">
        <v>32</v>
      </c>
      <c r="C29" s="24" t="s">
        <v>216</v>
      </c>
      <c r="D29" s="22">
        <v>0.753</v>
      </c>
      <c r="E29" s="22">
        <v>0.741</v>
      </c>
      <c r="F29" s="12">
        <f t="shared" ref="F29:F32" si="16">(2*J29)/((2*J29) + K29 + L29)</f>
        <v>0.4637681159</v>
      </c>
      <c r="G29" s="12">
        <f t="shared" ref="G29:G32" si="17">(2*M29)/((2*M29) + K29 + L29)</f>
        <v>0.8461538462</v>
      </c>
      <c r="H29" s="12">
        <f t="shared" ref="H29:H32" si="18">MEDIAN(F29,G29)</f>
        <v>0.654960981</v>
      </c>
      <c r="I29" s="22">
        <v>0.741</v>
      </c>
      <c r="J29" s="22">
        <v>64.0</v>
      </c>
      <c r="K29" s="22">
        <v>107.0</v>
      </c>
      <c r="L29" s="22">
        <v>41.0</v>
      </c>
      <c r="M29" s="22">
        <v>407.0</v>
      </c>
      <c r="N29" s="30" t="s">
        <v>49</v>
      </c>
      <c r="O29" s="32" t="s">
        <v>50</v>
      </c>
      <c r="P29" s="22"/>
    </row>
    <row r="30">
      <c r="A30" s="23"/>
      <c r="B30" s="23"/>
      <c r="C30" s="24" t="s">
        <v>217</v>
      </c>
      <c r="D30" s="22">
        <v>0.736</v>
      </c>
      <c r="E30" s="22">
        <v>0.727</v>
      </c>
      <c r="F30" s="12">
        <f t="shared" si="16"/>
        <v>0.4226415094</v>
      </c>
      <c r="G30" s="12">
        <f t="shared" si="17"/>
        <v>0.8427543679</v>
      </c>
      <c r="H30" s="12">
        <f t="shared" si="18"/>
        <v>0.6326979387</v>
      </c>
      <c r="I30" s="22">
        <v>0.73</v>
      </c>
      <c r="J30" s="22">
        <v>56.0</v>
      </c>
      <c r="K30" s="22">
        <v>115.0</v>
      </c>
      <c r="L30" s="22">
        <v>38.0</v>
      </c>
      <c r="M30" s="22">
        <v>410.0</v>
      </c>
      <c r="N30" s="30" t="s">
        <v>37</v>
      </c>
      <c r="O30" s="29" t="s">
        <v>51</v>
      </c>
      <c r="P30" s="22"/>
    </row>
    <row r="31">
      <c r="A31" s="23"/>
      <c r="B31" s="23"/>
      <c r="C31" s="24" t="s">
        <v>218</v>
      </c>
      <c r="D31" s="22">
        <v>0.715</v>
      </c>
      <c r="E31" s="22">
        <v>0.745</v>
      </c>
      <c r="F31" s="12">
        <f t="shared" si="16"/>
        <v>0.4861111111</v>
      </c>
      <c r="G31" s="12">
        <f t="shared" si="17"/>
        <v>0.8442105263</v>
      </c>
      <c r="H31" s="12">
        <f t="shared" si="18"/>
        <v>0.6651608187</v>
      </c>
      <c r="I31" s="22">
        <v>0.743</v>
      </c>
      <c r="J31" s="22">
        <v>70.0</v>
      </c>
      <c r="K31" s="22">
        <v>101.0</v>
      </c>
      <c r="L31" s="22">
        <v>47.0</v>
      </c>
      <c r="M31" s="22">
        <v>401.0</v>
      </c>
      <c r="N31" s="30" t="s">
        <v>49</v>
      </c>
      <c r="O31" s="29" t="s">
        <v>50</v>
      </c>
      <c r="P31" s="22"/>
    </row>
    <row r="32">
      <c r="A32" s="25"/>
      <c r="B32" s="25"/>
      <c r="C32" s="24" t="s">
        <v>219</v>
      </c>
      <c r="D32" s="22">
        <v>0.728</v>
      </c>
      <c r="E32" s="22">
        <v>0.729</v>
      </c>
      <c r="F32" s="12">
        <f t="shared" si="16"/>
        <v>0.4258555133</v>
      </c>
      <c r="G32" s="12">
        <f t="shared" si="17"/>
        <v>0.8451282051</v>
      </c>
      <c r="H32" s="12">
        <f t="shared" si="18"/>
        <v>0.6354918592</v>
      </c>
      <c r="I32" s="22">
        <v>0.734</v>
      </c>
      <c r="J32" s="22">
        <v>56.0</v>
      </c>
      <c r="K32" s="22">
        <v>115.0</v>
      </c>
      <c r="L32" s="22">
        <v>36.0</v>
      </c>
      <c r="M32" s="22">
        <v>412.0</v>
      </c>
      <c r="N32" s="30" t="s">
        <v>37</v>
      </c>
      <c r="O32" s="29" t="s">
        <v>52</v>
      </c>
      <c r="P32" s="22"/>
    </row>
    <row r="33">
      <c r="A33" s="16"/>
      <c r="B33" s="17"/>
      <c r="C33" s="15"/>
      <c r="D33" s="18"/>
      <c r="E33" s="18"/>
      <c r="F33" s="12"/>
      <c r="G33" s="12"/>
      <c r="H33" s="12"/>
      <c r="I33" s="18"/>
      <c r="J33" s="18"/>
      <c r="K33" s="18"/>
      <c r="L33" s="18"/>
      <c r="M33" s="18"/>
      <c r="N33" s="18"/>
      <c r="O33" s="18"/>
      <c r="P33" s="18"/>
    </row>
    <row r="34">
      <c r="A34" s="53" t="s">
        <v>54</v>
      </c>
      <c r="B34" s="19" t="s">
        <v>23</v>
      </c>
      <c r="C34" s="24" t="s">
        <v>216</v>
      </c>
      <c r="D34" s="31">
        <v>0.738</v>
      </c>
      <c r="E34" s="30">
        <v>0.709</v>
      </c>
      <c r="F34" s="12">
        <f t="shared" ref="F34:F37" si="19">(2*J34)/((2*J34) + K34 + L34)</f>
        <v>0.3890918551</v>
      </c>
      <c r="G34" s="12">
        <f t="shared" ref="G34:G37" si="20">(2*M34)/((2*M34) + K34 + L34)</f>
        <v>0.8334308216</v>
      </c>
      <c r="H34" s="12">
        <f t="shared" ref="H34:H37" si="21">MEDIAN(F34,G34)</f>
        <v>0.6112613383</v>
      </c>
      <c r="I34" s="30">
        <v>0.713</v>
      </c>
      <c r="J34" s="30">
        <v>51.6</v>
      </c>
      <c r="K34" s="30">
        <v>119.4</v>
      </c>
      <c r="L34" s="31">
        <v>42.633</v>
      </c>
      <c r="M34" s="31">
        <v>405.367</v>
      </c>
      <c r="N34" s="22"/>
      <c r="O34" s="22"/>
      <c r="P34" s="22"/>
    </row>
    <row r="35">
      <c r="A35" s="23"/>
      <c r="B35" s="23"/>
      <c r="C35" s="24" t="s">
        <v>217</v>
      </c>
      <c r="D35" s="31">
        <v>0.723</v>
      </c>
      <c r="E35" s="30">
        <v>0.711</v>
      </c>
      <c r="F35" s="12">
        <f t="shared" si="19"/>
        <v>0.4088061379</v>
      </c>
      <c r="G35" s="12">
        <f t="shared" si="20"/>
        <v>0.8283765883</v>
      </c>
      <c r="H35" s="12">
        <f t="shared" si="21"/>
        <v>0.6185913631</v>
      </c>
      <c r="I35" s="30">
        <v>0.712</v>
      </c>
      <c r="J35" s="30">
        <v>56.933</v>
      </c>
      <c r="K35" s="30">
        <v>114.067</v>
      </c>
      <c r="L35" s="31">
        <v>50.6</v>
      </c>
      <c r="M35" s="31">
        <v>397.4</v>
      </c>
      <c r="N35" s="22"/>
      <c r="O35" s="22"/>
      <c r="P35" s="22"/>
    </row>
    <row r="36">
      <c r="A36" s="23"/>
      <c r="B36" s="23"/>
      <c r="C36" s="24" t="s">
        <v>218</v>
      </c>
      <c r="D36" s="31">
        <v>0.734</v>
      </c>
      <c r="E36" s="30">
        <v>0.708</v>
      </c>
      <c r="F36" s="12">
        <f t="shared" si="19"/>
        <v>0.3892939839</v>
      </c>
      <c r="G36" s="12">
        <f t="shared" si="20"/>
        <v>0.8324987417</v>
      </c>
      <c r="H36" s="12">
        <f t="shared" si="21"/>
        <v>0.6108963628</v>
      </c>
      <c r="I36" s="30">
        <v>0.714</v>
      </c>
      <c r="J36" s="30">
        <v>51.867</v>
      </c>
      <c r="K36" s="30">
        <v>119.133</v>
      </c>
      <c r="L36" s="31">
        <v>43.6</v>
      </c>
      <c r="M36" s="31">
        <v>404.4</v>
      </c>
      <c r="N36" s="22"/>
      <c r="O36" s="22"/>
      <c r="P36" s="22"/>
    </row>
    <row r="37">
      <c r="A37" s="23"/>
      <c r="B37" s="25"/>
      <c r="C37" s="24" t="s">
        <v>219</v>
      </c>
      <c r="D37" s="31">
        <v>0.726</v>
      </c>
      <c r="E37" s="30">
        <v>0.71</v>
      </c>
      <c r="F37" s="12">
        <f t="shared" si="19"/>
        <v>0.414084507</v>
      </c>
      <c r="G37" s="12">
        <f t="shared" si="20"/>
        <v>0.8255765199</v>
      </c>
      <c r="H37" s="12">
        <f t="shared" si="21"/>
        <v>0.6198305135</v>
      </c>
      <c r="I37" s="30">
        <v>0.712</v>
      </c>
      <c r="J37" s="30">
        <v>58.8</v>
      </c>
      <c r="K37" s="30">
        <v>112.2</v>
      </c>
      <c r="L37" s="31">
        <v>54.2</v>
      </c>
      <c r="M37" s="31">
        <v>393.8</v>
      </c>
      <c r="N37" s="22"/>
      <c r="O37" s="22"/>
      <c r="P37" s="22"/>
    </row>
    <row r="38">
      <c r="A38" s="23"/>
      <c r="B38" s="26"/>
      <c r="C38" s="27"/>
      <c r="D38" s="54"/>
      <c r="E38" s="54"/>
      <c r="F38" s="12"/>
      <c r="G38" s="12"/>
      <c r="H38" s="12"/>
      <c r="I38" s="54"/>
      <c r="J38" s="54"/>
      <c r="K38" s="54"/>
      <c r="L38" s="54"/>
      <c r="M38" s="55"/>
    </row>
    <row r="39">
      <c r="A39" s="23"/>
      <c r="B39" s="19" t="s">
        <v>32</v>
      </c>
      <c r="C39" s="24" t="s">
        <v>216</v>
      </c>
      <c r="D39" s="31">
        <v>0.755</v>
      </c>
      <c r="E39" s="31">
        <v>0.73</v>
      </c>
      <c r="F39" s="12">
        <f t="shared" ref="F39:F42" si="22">(2*J39)/((2*J39) + K39 + L39)</f>
        <v>0.4444444444</v>
      </c>
      <c r="G39" s="12">
        <f t="shared" ref="G39:G42" si="23">(2*M39)/((2*M39) + K39 + L39)</f>
        <v>0.8383733055</v>
      </c>
      <c r="H39" s="12">
        <f t="shared" ref="H39:H42" si="24">MEDIAN(F39,G39)</f>
        <v>0.641408875</v>
      </c>
      <c r="I39" s="31">
        <v>0.728</v>
      </c>
      <c r="J39" s="30">
        <v>62.0</v>
      </c>
      <c r="K39" s="30">
        <v>109.0</v>
      </c>
      <c r="L39" s="31">
        <v>46.0</v>
      </c>
      <c r="M39" s="31">
        <v>402.0</v>
      </c>
      <c r="N39" s="30"/>
      <c r="O39" s="32"/>
      <c r="P39" s="22"/>
    </row>
    <row r="40">
      <c r="A40" s="23"/>
      <c r="B40" s="23"/>
      <c r="C40" s="24" t="s">
        <v>217</v>
      </c>
      <c r="D40" s="31">
        <v>0.771</v>
      </c>
      <c r="E40" s="31">
        <v>0.741</v>
      </c>
      <c r="F40" s="12">
        <f t="shared" si="22"/>
        <v>0.4676258993</v>
      </c>
      <c r="G40" s="12">
        <f t="shared" si="23"/>
        <v>0.8458333333</v>
      </c>
      <c r="H40" s="12">
        <f t="shared" si="24"/>
        <v>0.6567296163</v>
      </c>
      <c r="I40" s="31">
        <v>0.742</v>
      </c>
      <c r="J40" s="30">
        <v>65.0</v>
      </c>
      <c r="K40" s="30">
        <v>106.0</v>
      </c>
      <c r="L40" s="31">
        <v>42.0</v>
      </c>
      <c r="M40" s="31">
        <v>406.0</v>
      </c>
      <c r="N40" s="30"/>
      <c r="O40" s="29"/>
      <c r="P40" s="22"/>
    </row>
    <row r="41">
      <c r="A41" s="23"/>
      <c r="B41" s="23"/>
      <c r="C41" s="24" t="s">
        <v>218</v>
      </c>
      <c r="D41" s="31">
        <v>0.752</v>
      </c>
      <c r="E41" s="31">
        <v>0.727</v>
      </c>
      <c r="F41" s="12">
        <f t="shared" si="22"/>
        <v>0.406374502</v>
      </c>
      <c r="G41" s="12">
        <f t="shared" si="23"/>
        <v>0.8490374873</v>
      </c>
      <c r="H41" s="12">
        <f t="shared" si="24"/>
        <v>0.6277059947</v>
      </c>
      <c r="I41" s="31">
        <v>0.739</v>
      </c>
      <c r="J41" s="30">
        <v>51.0</v>
      </c>
      <c r="K41" s="30">
        <v>120.0</v>
      </c>
      <c r="L41" s="31">
        <v>29.0</v>
      </c>
      <c r="M41" s="31">
        <v>419.0</v>
      </c>
      <c r="N41" s="30"/>
      <c r="O41" s="29"/>
      <c r="P41" s="22"/>
    </row>
    <row r="42">
      <c r="A42" s="25"/>
      <c r="B42" s="25"/>
      <c r="C42" s="24" t="s">
        <v>219</v>
      </c>
      <c r="D42" s="31">
        <v>0.761</v>
      </c>
      <c r="E42" s="31">
        <v>0.742</v>
      </c>
      <c r="F42" s="12">
        <f t="shared" si="22"/>
        <v>0.528189911</v>
      </c>
      <c r="G42" s="12">
        <f t="shared" si="23"/>
        <v>0.8235294118</v>
      </c>
      <c r="H42" s="12">
        <f t="shared" si="24"/>
        <v>0.6758596614</v>
      </c>
      <c r="I42" s="31">
        <v>0.741</v>
      </c>
      <c r="J42" s="31">
        <v>89.0</v>
      </c>
      <c r="K42" s="31">
        <v>82.0</v>
      </c>
      <c r="L42" s="31">
        <v>77.0</v>
      </c>
      <c r="M42" s="31">
        <v>371.0</v>
      </c>
      <c r="N42" s="30"/>
      <c r="O42" s="29"/>
      <c r="P42" s="22"/>
    </row>
    <row r="43">
      <c r="A43" s="16"/>
      <c r="F43" s="12"/>
      <c r="G43" s="12"/>
      <c r="H43" s="12"/>
    </row>
    <row r="44">
      <c r="A44" s="33"/>
      <c r="F44" s="12"/>
      <c r="G44" s="12"/>
      <c r="H44" s="12"/>
    </row>
    <row r="45">
      <c r="A45" s="20" t="s">
        <v>220</v>
      </c>
      <c r="B45" s="19" t="s">
        <v>32</v>
      </c>
      <c r="C45" s="21" t="s">
        <v>24</v>
      </c>
      <c r="D45" s="22">
        <v>0.687</v>
      </c>
      <c r="E45" s="22">
        <v>0.732</v>
      </c>
      <c r="F45" s="12">
        <f t="shared" ref="F45:F52" si="25">(2*J45)/((2*J45) + K45 + L45)</f>
        <v>0.4984615385</v>
      </c>
      <c r="G45" s="12">
        <f t="shared" ref="G45:G52" si="26">(2*M45)/((2*M45) + K45 + L45)</f>
        <v>0.8214676889</v>
      </c>
      <c r="H45" s="12">
        <f t="shared" ref="H45:H52" si="27">MEDIAN(F45,G45)</f>
        <v>0.6599646137</v>
      </c>
      <c r="I45" s="22">
        <v>0.729</v>
      </c>
      <c r="J45" s="22">
        <v>81.0</v>
      </c>
      <c r="K45" s="22">
        <v>90.0</v>
      </c>
      <c r="L45" s="22">
        <v>73.0</v>
      </c>
      <c r="M45" s="22">
        <v>375.0</v>
      </c>
    </row>
    <row r="46">
      <c r="A46" s="23"/>
      <c r="B46" s="23"/>
      <c r="C46" s="21" t="s">
        <v>25</v>
      </c>
      <c r="D46" s="22">
        <v>0.684</v>
      </c>
      <c r="E46" s="22">
        <v>0.74</v>
      </c>
      <c r="F46" s="12">
        <f t="shared" si="25"/>
        <v>0.5167173252</v>
      </c>
      <c r="G46" s="12">
        <f t="shared" si="26"/>
        <v>0.8250825083</v>
      </c>
      <c r="H46" s="12">
        <f t="shared" si="27"/>
        <v>0.6708999167</v>
      </c>
      <c r="I46" s="22">
        <v>0.737</v>
      </c>
      <c r="J46" s="22">
        <v>85.0</v>
      </c>
      <c r="K46" s="22">
        <v>86.0</v>
      </c>
      <c r="L46" s="22">
        <v>73.0</v>
      </c>
      <c r="M46" s="22">
        <v>375.0</v>
      </c>
    </row>
    <row r="47">
      <c r="A47" s="23"/>
      <c r="B47" s="23"/>
      <c r="C47" s="21" t="s">
        <v>26</v>
      </c>
      <c r="D47" s="22">
        <v>0.697</v>
      </c>
      <c r="E47" s="22">
        <v>0.731</v>
      </c>
      <c r="F47" s="12">
        <f t="shared" si="25"/>
        <v>0.4969325153</v>
      </c>
      <c r="G47" s="12">
        <f t="shared" si="26"/>
        <v>0.8201754386</v>
      </c>
      <c r="H47" s="12">
        <f t="shared" si="27"/>
        <v>0.658553977</v>
      </c>
      <c r="I47" s="22">
        <v>0.728</v>
      </c>
      <c r="J47" s="22">
        <v>81.0</v>
      </c>
      <c r="K47" s="22">
        <v>90.0</v>
      </c>
      <c r="L47" s="22">
        <v>74.0</v>
      </c>
      <c r="M47" s="22">
        <v>374.0</v>
      </c>
    </row>
    <row r="48">
      <c r="A48" s="23"/>
      <c r="B48" s="23"/>
      <c r="C48" s="24" t="s">
        <v>27</v>
      </c>
      <c r="D48" s="30">
        <v>0.691</v>
      </c>
      <c r="E48" s="31">
        <v>0.728</v>
      </c>
      <c r="F48" s="12">
        <f t="shared" si="25"/>
        <v>0.493902439</v>
      </c>
      <c r="G48" s="12">
        <f t="shared" si="26"/>
        <v>0.8175824176</v>
      </c>
      <c r="H48" s="12">
        <f t="shared" si="27"/>
        <v>0.6557424283</v>
      </c>
      <c r="I48" s="30">
        <v>0.725</v>
      </c>
      <c r="J48" s="30">
        <v>81.0</v>
      </c>
      <c r="K48" s="30">
        <v>90.0</v>
      </c>
      <c r="L48" s="30">
        <v>76.0</v>
      </c>
      <c r="M48" s="30">
        <v>372.0</v>
      </c>
    </row>
    <row r="49">
      <c r="A49" s="23"/>
      <c r="B49" s="23"/>
      <c r="C49" s="24" t="s">
        <v>28</v>
      </c>
      <c r="D49" s="30">
        <v>0.681</v>
      </c>
      <c r="E49" s="31">
        <v>0.731</v>
      </c>
      <c r="F49" s="12">
        <f t="shared" si="25"/>
        <v>0.5</v>
      </c>
      <c r="G49" s="12">
        <f t="shared" si="26"/>
        <v>0.8197802198</v>
      </c>
      <c r="H49" s="12">
        <f t="shared" si="27"/>
        <v>0.6598901099</v>
      </c>
      <c r="I49" s="30">
        <v>0.729</v>
      </c>
      <c r="J49" s="30">
        <v>82.0</v>
      </c>
      <c r="K49" s="30">
        <v>89.0</v>
      </c>
      <c r="L49" s="30">
        <v>75.0</v>
      </c>
      <c r="M49" s="30">
        <v>373.0</v>
      </c>
    </row>
    <row r="50">
      <c r="A50" s="23"/>
      <c r="B50" s="23"/>
      <c r="C50" s="24" t="s">
        <v>29</v>
      </c>
      <c r="D50" s="30">
        <v>0.517</v>
      </c>
      <c r="E50" s="30">
        <v>0.645</v>
      </c>
      <c r="F50" s="12">
        <f t="shared" si="25"/>
        <v>0.1929824561</v>
      </c>
      <c r="G50" s="12">
        <f t="shared" si="26"/>
        <v>0.8178217822</v>
      </c>
      <c r="H50" s="12">
        <f t="shared" si="27"/>
        <v>0.5054021192</v>
      </c>
      <c r="I50" s="30">
        <v>0.638</v>
      </c>
      <c r="J50" s="30">
        <v>22.0</v>
      </c>
      <c r="K50" s="30">
        <v>149.0</v>
      </c>
      <c r="L50" s="30">
        <v>35.0</v>
      </c>
      <c r="M50" s="30">
        <v>413.0</v>
      </c>
    </row>
    <row r="51">
      <c r="A51" s="23"/>
      <c r="B51" s="23"/>
      <c r="C51" s="24" t="s">
        <v>30</v>
      </c>
      <c r="D51" s="30">
        <v>0.506</v>
      </c>
      <c r="E51" s="30">
        <v>0.644</v>
      </c>
      <c r="F51" s="12">
        <f t="shared" si="25"/>
        <v>0.2292490119</v>
      </c>
      <c r="G51" s="12">
        <f t="shared" si="26"/>
        <v>0.8020304569</v>
      </c>
      <c r="H51" s="12">
        <f t="shared" si="27"/>
        <v>0.5156397344</v>
      </c>
      <c r="I51" s="30">
        <v>0.63</v>
      </c>
      <c r="J51" s="30">
        <v>29.0</v>
      </c>
      <c r="K51" s="30">
        <v>142.0</v>
      </c>
      <c r="L51" s="30">
        <v>53.0</v>
      </c>
      <c r="M51" s="30">
        <v>395.0</v>
      </c>
    </row>
    <row r="52">
      <c r="A52" s="25"/>
      <c r="B52" s="25"/>
      <c r="C52" s="21" t="s">
        <v>31</v>
      </c>
      <c r="D52" s="22">
        <v>0.675</v>
      </c>
      <c r="E52" s="22">
        <v>0.729</v>
      </c>
      <c r="F52" s="12">
        <f t="shared" si="25"/>
        <v>0.4923076923</v>
      </c>
      <c r="G52" s="12">
        <f t="shared" si="26"/>
        <v>0.8192771084</v>
      </c>
      <c r="H52" s="12">
        <f t="shared" si="27"/>
        <v>0.6557924004</v>
      </c>
      <c r="I52" s="32">
        <v>0.726</v>
      </c>
      <c r="J52" s="22">
        <v>80.0</v>
      </c>
      <c r="K52" s="22">
        <v>91.0</v>
      </c>
      <c r="L52" s="22">
        <v>74.0</v>
      </c>
      <c r="M52" s="22">
        <v>374.0</v>
      </c>
    </row>
    <row r="53">
      <c r="A53" s="16"/>
      <c r="B53" s="17"/>
      <c r="C53" s="15"/>
      <c r="D53" s="18"/>
      <c r="E53" s="18"/>
      <c r="F53" s="12"/>
      <c r="G53" s="12"/>
      <c r="H53" s="12"/>
      <c r="I53" s="18"/>
      <c r="J53" s="18"/>
      <c r="K53" s="18"/>
      <c r="L53" s="18"/>
      <c r="M53" s="18"/>
    </row>
    <row r="54">
      <c r="A54" s="56" t="s">
        <v>221</v>
      </c>
      <c r="B54" s="19" t="s">
        <v>32</v>
      </c>
      <c r="C54" s="21" t="s">
        <v>216</v>
      </c>
      <c r="D54" s="31">
        <v>0.695</v>
      </c>
      <c r="E54" s="30">
        <v>0.724</v>
      </c>
      <c r="F54" s="12">
        <f t="shared" ref="F54:F61" si="28">(2*J54)/((2*J54) + K54 + L54)</f>
        <v>0.4764890282</v>
      </c>
      <c r="G54" s="12">
        <f t="shared" ref="G54:G61" si="29">(2*M54)/((2*M54) + K54 + L54)</f>
        <v>0.8182807399</v>
      </c>
      <c r="H54" s="12">
        <f t="shared" ref="H54:H61" si="30">MEDIAN(F54,G54)</f>
        <v>0.6473848841</v>
      </c>
      <c r="I54" s="30">
        <v>0.72</v>
      </c>
      <c r="J54" s="30">
        <v>76.0</v>
      </c>
      <c r="K54" s="30">
        <v>95.0</v>
      </c>
      <c r="L54" s="31">
        <v>72.0</v>
      </c>
      <c r="M54" s="31">
        <v>376.0</v>
      </c>
    </row>
    <row r="55">
      <c r="A55" s="23"/>
      <c r="B55" s="23"/>
      <c r="C55" s="21" t="s">
        <v>217</v>
      </c>
      <c r="D55" s="22">
        <v>0.676</v>
      </c>
      <c r="E55" s="22">
        <v>0.729</v>
      </c>
      <c r="F55" s="12">
        <f t="shared" si="28"/>
        <v>0.4923076923</v>
      </c>
      <c r="G55" s="12">
        <f t="shared" si="29"/>
        <v>0.8192771084</v>
      </c>
      <c r="H55" s="12">
        <f t="shared" si="30"/>
        <v>0.6557924004</v>
      </c>
      <c r="I55" s="22">
        <v>0.726</v>
      </c>
      <c r="J55" s="22">
        <v>80.0</v>
      </c>
      <c r="K55" s="22">
        <v>91.0</v>
      </c>
      <c r="L55" s="22">
        <v>74.0</v>
      </c>
      <c r="M55" s="22">
        <v>374.0</v>
      </c>
    </row>
    <row r="56">
      <c r="A56" s="23"/>
      <c r="B56" s="23"/>
      <c r="C56" s="21" t="s">
        <v>218</v>
      </c>
      <c r="D56" s="22">
        <v>0.689</v>
      </c>
      <c r="E56" s="22">
        <v>0.728</v>
      </c>
      <c r="F56" s="12">
        <f t="shared" si="28"/>
        <v>0.493902439</v>
      </c>
      <c r="G56" s="12">
        <f t="shared" si="29"/>
        <v>0.8175824176</v>
      </c>
      <c r="H56" s="12">
        <f t="shared" si="30"/>
        <v>0.6557424283</v>
      </c>
      <c r="I56" s="22">
        <v>0.725</v>
      </c>
      <c r="J56" s="22">
        <v>81.0</v>
      </c>
      <c r="K56" s="22">
        <v>90.0</v>
      </c>
      <c r="L56" s="22">
        <v>76.0</v>
      </c>
      <c r="M56" s="22">
        <v>372.0</v>
      </c>
    </row>
    <row r="57">
      <c r="A57" s="23"/>
      <c r="B57" s="23"/>
      <c r="C57" s="24" t="s">
        <v>27</v>
      </c>
      <c r="D57" s="30">
        <v>0.68</v>
      </c>
      <c r="E57" s="30">
        <v>0.725</v>
      </c>
      <c r="F57" s="12">
        <f t="shared" si="28"/>
        <v>0.4829721362</v>
      </c>
      <c r="G57" s="12">
        <f t="shared" si="29"/>
        <v>0.8174863388</v>
      </c>
      <c r="H57" s="12">
        <f t="shared" si="30"/>
        <v>0.6502292375</v>
      </c>
      <c r="I57" s="30">
        <v>0.721</v>
      </c>
      <c r="J57" s="30">
        <v>78.0</v>
      </c>
      <c r="K57" s="30">
        <v>93.0</v>
      </c>
      <c r="L57" s="30">
        <v>74.0</v>
      </c>
      <c r="M57" s="30">
        <v>374.0</v>
      </c>
    </row>
    <row r="58">
      <c r="A58" s="23"/>
      <c r="B58" s="23"/>
      <c r="C58" s="24" t="s">
        <v>28</v>
      </c>
      <c r="D58" s="30">
        <v>0.679</v>
      </c>
      <c r="E58" s="31">
        <v>0.726</v>
      </c>
      <c r="F58" s="12">
        <f t="shared" si="28"/>
        <v>0.4844720497</v>
      </c>
      <c r="G58" s="12">
        <f t="shared" si="29"/>
        <v>0.8187772926</v>
      </c>
      <c r="H58" s="12">
        <f t="shared" si="30"/>
        <v>0.6516246711</v>
      </c>
      <c r="I58" s="30">
        <v>0.723</v>
      </c>
      <c r="J58" s="30">
        <v>78.0</v>
      </c>
      <c r="K58" s="30">
        <v>93.0</v>
      </c>
      <c r="L58" s="30">
        <v>73.0</v>
      </c>
      <c r="M58" s="30">
        <v>375.0</v>
      </c>
    </row>
    <row r="59">
      <c r="A59" s="23"/>
      <c r="B59" s="23"/>
      <c r="C59" s="24" t="s">
        <v>29</v>
      </c>
      <c r="D59" s="30">
        <v>0.525</v>
      </c>
      <c r="E59" s="30">
        <v>0.64</v>
      </c>
      <c r="F59" s="12">
        <f t="shared" si="28"/>
        <v>0.2633451957</v>
      </c>
      <c r="G59" s="12">
        <f t="shared" si="29"/>
        <v>0.7836990596</v>
      </c>
      <c r="H59" s="12">
        <f t="shared" si="30"/>
        <v>0.5235221276</v>
      </c>
      <c r="I59" s="30">
        <v>0.626</v>
      </c>
      <c r="J59" s="30">
        <v>37.0</v>
      </c>
      <c r="K59" s="30">
        <v>134.0</v>
      </c>
      <c r="L59" s="30">
        <v>73.0</v>
      </c>
      <c r="M59" s="30">
        <v>375.0</v>
      </c>
    </row>
    <row r="60">
      <c r="A60" s="23"/>
      <c r="B60" s="23"/>
      <c r="C60" s="24" t="s">
        <v>30</v>
      </c>
      <c r="D60" s="30">
        <v>0.507</v>
      </c>
      <c r="E60" s="30">
        <v>0.644</v>
      </c>
      <c r="F60" s="12">
        <f t="shared" si="28"/>
        <v>0.2195121951</v>
      </c>
      <c r="G60" s="12">
        <f t="shared" si="29"/>
        <v>0.8064516129</v>
      </c>
      <c r="H60" s="12">
        <f t="shared" si="30"/>
        <v>0.512981904</v>
      </c>
      <c r="I60" s="30">
        <v>0.632</v>
      </c>
      <c r="J60" s="30">
        <v>27.0</v>
      </c>
      <c r="K60" s="30">
        <v>144.0</v>
      </c>
      <c r="L60" s="30">
        <v>48.0</v>
      </c>
      <c r="M60" s="30">
        <v>400.0</v>
      </c>
    </row>
    <row r="61">
      <c r="A61" s="25"/>
      <c r="B61" s="25"/>
      <c r="C61" s="21" t="s">
        <v>222</v>
      </c>
      <c r="D61" s="22">
        <v>0.689</v>
      </c>
      <c r="E61" s="22">
        <v>0.728</v>
      </c>
      <c r="F61" s="12">
        <f t="shared" si="28"/>
        <v>0.5101449275</v>
      </c>
      <c r="G61" s="12">
        <f t="shared" si="29"/>
        <v>0.81075028</v>
      </c>
      <c r="H61" s="12">
        <f t="shared" si="30"/>
        <v>0.6604476037</v>
      </c>
      <c r="I61" s="22">
        <v>0.728</v>
      </c>
      <c r="J61" s="22">
        <v>88.0</v>
      </c>
      <c r="K61" s="22">
        <v>83.0</v>
      </c>
      <c r="L61" s="22">
        <v>86.0</v>
      </c>
      <c r="M61" s="22">
        <v>362.0</v>
      </c>
    </row>
    <row r="62">
      <c r="A62" s="33"/>
      <c r="F62" s="12"/>
      <c r="G62" s="12"/>
      <c r="H62" s="12"/>
    </row>
    <row r="63">
      <c r="A63" s="20" t="s">
        <v>223</v>
      </c>
      <c r="B63" s="19" t="s">
        <v>32</v>
      </c>
      <c r="C63" s="21" t="s">
        <v>24</v>
      </c>
      <c r="D63" s="22">
        <v>0.753</v>
      </c>
      <c r="E63" s="22">
        <v>0.741</v>
      </c>
      <c r="F63" s="12">
        <f t="shared" ref="F63:F70" si="31">(2*J63)/((2*J63) + K63 + L63)</f>
        <v>0.4637681159</v>
      </c>
      <c r="G63" s="12">
        <f t="shared" ref="G63:G70" si="32">(2*M63)/((2*M63) + K63 + L63)</f>
        <v>0.8461538462</v>
      </c>
      <c r="H63" s="12">
        <f t="shared" ref="H63:H70" si="33">MEDIAN(F63,G63)</f>
        <v>0.654960981</v>
      </c>
      <c r="I63" s="22">
        <v>0.741</v>
      </c>
      <c r="J63" s="22">
        <v>64.0</v>
      </c>
      <c r="K63" s="22">
        <v>107.0</v>
      </c>
      <c r="L63" s="22">
        <v>41.0</v>
      </c>
      <c r="M63" s="22">
        <v>407.0</v>
      </c>
    </row>
    <row r="64">
      <c r="A64" s="23"/>
      <c r="B64" s="23"/>
      <c r="C64" s="21" t="s">
        <v>25</v>
      </c>
      <c r="D64" s="22">
        <v>0.736</v>
      </c>
      <c r="E64" s="22">
        <v>0.727</v>
      </c>
      <c r="F64" s="12">
        <f t="shared" si="31"/>
        <v>0.4226415094</v>
      </c>
      <c r="G64" s="12">
        <f t="shared" si="32"/>
        <v>0.8427543679</v>
      </c>
      <c r="H64" s="12">
        <f t="shared" si="33"/>
        <v>0.6326979387</v>
      </c>
      <c r="I64" s="22">
        <v>0.73</v>
      </c>
      <c r="J64" s="22">
        <v>56.0</v>
      </c>
      <c r="K64" s="22">
        <v>115.0</v>
      </c>
      <c r="L64" s="22">
        <v>38.0</v>
      </c>
      <c r="M64" s="22">
        <v>410.0</v>
      </c>
    </row>
    <row r="65">
      <c r="A65" s="23"/>
      <c r="B65" s="23"/>
      <c r="C65" s="21" t="s">
        <v>26</v>
      </c>
      <c r="D65" s="22">
        <v>0.715</v>
      </c>
      <c r="E65" s="22">
        <v>0.745</v>
      </c>
      <c r="F65" s="12">
        <f t="shared" si="31"/>
        <v>0.4861111111</v>
      </c>
      <c r="G65" s="12">
        <f t="shared" si="32"/>
        <v>0.8442105263</v>
      </c>
      <c r="H65" s="12">
        <f t="shared" si="33"/>
        <v>0.6651608187</v>
      </c>
      <c r="I65" s="22">
        <v>0.743</v>
      </c>
      <c r="J65" s="22">
        <v>70.0</v>
      </c>
      <c r="K65" s="22">
        <v>101.0</v>
      </c>
      <c r="L65" s="22">
        <v>47.0</v>
      </c>
      <c r="M65" s="22">
        <v>401.0</v>
      </c>
    </row>
    <row r="66">
      <c r="A66" s="23"/>
      <c r="B66" s="23"/>
      <c r="C66" s="24" t="s">
        <v>27</v>
      </c>
      <c r="D66" s="30">
        <v>0.74</v>
      </c>
      <c r="E66" s="31">
        <v>0.729</v>
      </c>
      <c r="F66" s="12">
        <f t="shared" si="31"/>
        <v>0.4551724138</v>
      </c>
      <c r="G66" s="12">
        <f t="shared" si="32"/>
        <v>0.8333333333</v>
      </c>
      <c r="H66" s="12">
        <f t="shared" si="33"/>
        <v>0.6442528736</v>
      </c>
      <c r="I66" s="30">
        <v>0.725</v>
      </c>
      <c r="J66" s="30">
        <v>66.0</v>
      </c>
      <c r="K66" s="30">
        <v>105.0</v>
      </c>
      <c r="L66" s="30">
        <v>53.0</v>
      </c>
      <c r="M66" s="30">
        <v>395.0</v>
      </c>
    </row>
    <row r="67">
      <c r="A67" s="23"/>
      <c r="B67" s="23"/>
      <c r="C67" s="24" t="s">
        <v>28</v>
      </c>
      <c r="D67" s="30">
        <v>0.743</v>
      </c>
      <c r="E67" s="31">
        <v>0.741</v>
      </c>
      <c r="F67" s="12">
        <f t="shared" si="31"/>
        <v>0.4775086505</v>
      </c>
      <c r="G67" s="12">
        <f t="shared" si="32"/>
        <v>0.8408851423</v>
      </c>
      <c r="H67" s="12">
        <f t="shared" si="33"/>
        <v>0.6591968964</v>
      </c>
      <c r="I67" s="30">
        <v>0.738</v>
      </c>
      <c r="J67" s="30">
        <v>69.0</v>
      </c>
      <c r="K67" s="30">
        <v>102.0</v>
      </c>
      <c r="L67" s="30">
        <v>49.0</v>
      </c>
      <c r="M67" s="30">
        <v>399.0</v>
      </c>
    </row>
    <row r="68">
      <c r="A68" s="23"/>
      <c r="B68" s="23"/>
      <c r="C68" s="24" t="s">
        <v>29</v>
      </c>
      <c r="D68" s="30">
        <v>0.51</v>
      </c>
      <c r="E68" s="30">
        <v>0.643</v>
      </c>
      <c r="F68" s="12">
        <f t="shared" si="31"/>
        <v>0.2787456446</v>
      </c>
      <c r="G68" s="12">
        <f t="shared" si="32"/>
        <v>0.7823343849</v>
      </c>
      <c r="H68" s="12">
        <f t="shared" si="33"/>
        <v>0.5305400147</v>
      </c>
      <c r="I68" s="30">
        <v>0.631</v>
      </c>
      <c r="J68" s="30">
        <v>40.0</v>
      </c>
      <c r="K68" s="30">
        <v>131.0</v>
      </c>
      <c r="L68" s="30">
        <v>76.0</v>
      </c>
      <c r="M68" s="30">
        <v>372.0</v>
      </c>
    </row>
    <row r="69">
      <c r="A69" s="23"/>
      <c r="B69" s="23"/>
      <c r="C69" s="24" t="s">
        <v>30</v>
      </c>
      <c r="D69" s="30">
        <v>0.531</v>
      </c>
      <c r="E69" s="30">
        <v>0.641</v>
      </c>
      <c r="F69" s="12">
        <f t="shared" si="31"/>
        <v>0.2685512367</v>
      </c>
      <c r="G69" s="12">
        <f t="shared" si="32"/>
        <v>0.7832460733</v>
      </c>
      <c r="H69" s="12">
        <f t="shared" si="33"/>
        <v>0.525898655</v>
      </c>
      <c r="I69" s="30">
        <v>0.628</v>
      </c>
      <c r="J69" s="30">
        <v>38.0</v>
      </c>
      <c r="K69" s="30">
        <v>133.0</v>
      </c>
      <c r="L69" s="30">
        <v>74.0</v>
      </c>
      <c r="M69" s="30">
        <v>374.0</v>
      </c>
    </row>
    <row r="70">
      <c r="A70" s="25"/>
      <c r="B70" s="25"/>
      <c r="C70" s="21" t="s">
        <v>31</v>
      </c>
      <c r="D70" s="22">
        <v>0.728</v>
      </c>
      <c r="E70" s="22">
        <v>0.729</v>
      </c>
      <c r="F70" s="12">
        <f t="shared" si="31"/>
        <v>0.4258555133</v>
      </c>
      <c r="G70" s="12">
        <f t="shared" si="32"/>
        <v>0.8451282051</v>
      </c>
      <c r="H70" s="12">
        <f t="shared" si="33"/>
        <v>0.6354918592</v>
      </c>
      <c r="I70" s="22">
        <v>0.734</v>
      </c>
      <c r="J70" s="22">
        <v>56.0</v>
      </c>
      <c r="K70" s="22">
        <v>115.0</v>
      </c>
      <c r="L70" s="22">
        <v>36.0</v>
      </c>
      <c r="M70" s="22">
        <v>412.0</v>
      </c>
    </row>
    <row r="71">
      <c r="A71" s="16"/>
      <c r="B71" s="17"/>
      <c r="C71" s="15"/>
      <c r="D71" s="18"/>
      <c r="E71" s="18"/>
      <c r="F71" s="12"/>
      <c r="G71" s="12"/>
      <c r="H71" s="12"/>
      <c r="I71" s="18"/>
      <c r="J71" s="18"/>
      <c r="K71" s="18"/>
      <c r="L71" s="18"/>
      <c r="M71" s="18"/>
    </row>
    <row r="72">
      <c r="A72" s="56" t="s">
        <v>224</v>
      </c>
      <c r="B72" s="19" t="s">
        <v>32</v>
      </c>
      <c r="C72" s="21" t="s">
        <v>216</v>
      </c>
      <c r="D72" s="22">
        <v>0.755</v>
      </c>
      <c r="E72" s="22">
        <v>0.73</v>
      </c>
      <c r="F72" s="12">
        <f t="shared" ref="F72:F79" si="34">(2*J72)/((2*J72) + K72 + L72)</f>
        <v>0.4444444444</v>
      </c>
      <c r="G72" s="12">
        <f t="shared" ref="G72:G79" si="35">(2*M72)/((2*M72) + K72 + L72)</f>
        <v>0.8383733055</v>
      </c>
      <c r="H72" s="12">
        <f t="shared" ref="H72:H79" si="36">MEDIAN(F72,G72)</f>
        <v>0.641408875</v>
      </c>
      <c r="I72" s="22">
        <v>0.728</v>
      </c>
      <c r="J72" s="22">
        <v>62.0</v>
      </c>
      <c r="K72" s="22">
        <v>109.0</v>
      </c>
      <c r="L72" s="22">
        <v>46.0</v>
      </c>
      <c r="M72" s="22">
        <v>402.0</v>
      </c>
    </row>
    <row r="73">
      <c r="A73" s="23"/>
      <c r="B73" s="23"/>
      <c r="C73" s="21" t="s">
        <v>217</v>
      </c>
      <c r="D73" s="22">
        <v>0.771</v>
      </c>
      <c r="E73" s="22">
        <v>0.741</v>
      </c>
      <c r="F73" s="12">
        <f t="shared" si="34"/>
        <v>0.4676258993</v>
      </c>
      <c r="G73" s="12">
        <f t="shared" si="35"/>
        <v>0.8458333333</v>
      </c>
      <c r="H73" s="12">
        <f t="shared" si="36"/>
        <v>0.6567296163</v>
      </c>
      <c r="I73" s="22">
        <v>0.742</v>
      </c>
      <c r="J73" s="22">
        <v>65.0</v>
      </c>
      <c r="K73" s="22">
        <v>106.0</v>
      </c>
      <c r="L73" s="22">
        <v>42.0</v>
      </c>
      <c r="M73" s="22">
        <v>406.0</v>
      </c>
    </row>
    <row r="74">
      <c r="A74" s="23"/>
      <c r="B74" s="23"/>
      <c r="C74" s="21" t="s">
        <v>218</v>
      </c>
      <c r="D74" s="22">
        <v>0.752</v>
      </c>
      <c r="E74" s="22">
        <v>0.727</v>
      </c>
      <c r="F74" s="12">
        <f t="shared" si="34"/>
        <v>0.406374502</v>
      </c>
      <c r="G74" s="12">
        <f t="shared" si="35"/>
        <v>0.8490374873</v>
      </c>
      <c r="H74" s="12">
        <f t="shared" si="36"/>
        <v>0.6277059947</v>
      </c>
      <c r="I74" s="22">
        <v>0.739</v>
      </c>
      <c r="J74" s="22">
        <v>51.0</v>
      </c>
      <c r="K74" s="22">
        <v>120.0</v>
      </c>
      <c r="L74" s="22">
        <v>29.0</v>
      </c>
      <c r="M74" s="22">
        <v>419.0</v>
      </c>
    </row>
    <row r="75">
      <c r="A75" s="23"/>
      <c r="B75" s="23"/>
      <c r="C75" s="24" t="s">
        <v>27</v>
      </c>
      <c r="D75" s="30">
        <v>0.767</v>
      </c>
      <c r="E75" s="31">
        <v>0.73</v>
      </c>
      <c r="F75" s="12">
        <f t="shared" si="34"/>
        <v>0.406504065</v>
      </c>
      <c r="G75" s="12">
        <f t="shared" si="35"/>
        <v>0.8528225806</v>
      </c>
      <c r="H75" s="12">
        <f t="shared" si="36"/>
        <v>0.6296633228</v>
      </c>
      <c r="I75" s="30">
        <v>0.747</v>
      </c>
      <c r="J75" s="30">
        <v>50.0</v>
      </c>
      <c r="K75" s="30">
        <v>121.0</v>
      </c>
      <c r="L75" s="30">
        <v>25.0</v>
      </c>
      <c r="M75" s="30">
        <v>423.0</v>
      </c>
    </row>
    <row r="76">
      <c r="A76" s="23"/>
      <c r="B76" s="23"/>
      <c r="C76" s="24" t="s">
        <v>28</v>
      </c>
      <c r="D76" s="30">
        <v>0.752</v>
      </c>
      <c r="E76" s="31">
        <v>0.728</v>
      </c>
      <c r="F76" s="12">
        <f t="shared" si="34"/>
        <v>0.4048582996</v>
      </c>
      <c r="G76" s="12">
        <f t="shared" si="35"/>
        <v>0.8516649849</v>
      </c>
      <c r="H76" s="12">
        <f t="shared" si="36"/>
        <v>0.6282616422</v>
      </c>
      <c r="I76" s="30">
        <v>0.744</v>
      </c>
      <c r="J76" s="30">
        <v>50.0</v>
      </c>
      <c r="K76" s="30">
        <v>121.0</v>
      </c>
      <c r="L76" s="30">
        <v>26.0</v>
      </c>
      <c r="M76" s="30">
        <v>422.0</v>
      </c>
    </row>
    <row r="77">
      <c r="A77" s="23"/>
      <c r="B77" s="23"/>
      <c r="C77" s="24" t="s">
        <v>29</v>
      </c>
      <c r="D77" s="30">
        <v>0.524</v>
      </c>
      <c r="E77" s="30">
        <v>0.632</v>
      </c>
      <c r="F77" s="12">
        <f t="shared" si="34"/>
        <v>0.1262135922</v>
      </c>
      <c r="G77" s="12">
        <f t="shared" si="35"/>
        <v>0.8255813953</v>
      </c>
      <c r="H77" s="12">
        <f t="shared" si="36"/>
        <v>0.4758974938</v>
      </c>
      <c r="I77" s="30">
        <v>0.631</v>
      </c>
      <c r="J77" s="30">
        <v>13.0</v>
      </c>
      <c r="K77" s="30">
        <v>158.0</v>
      </c>
      <c r="L77" s="30">
        <v>22.0</v>
      </c>
      <c r="M77" s="30">
        <v>426.0</v>
      </c>
    </row>
    <row r="78">
      <c r="A78" s="23"/>
      <c r="B78" s="23"/>
      <c r="C78" s="24" t="s">
        <v>30</v>
      </c>
      <c r="D78" s="30">
        <v>0.561</v>
      </c>
      <c r="E78" s="30">
        <v>0.632</v>
      </c>
      <c r="F78" s="12">
        <f t="shared" si="34"/>
        <v>0.1333333333</v>
      </c>
      <c r="G78" s="12">
        <f t="shared" si="35"/>
        <v>0.8229571984</v>
      </c>
      <c r="H78" s="12">
        <f t="shared" si="36"/>
        <v>0.4781452659</v>
      </c>
      <c r="I78" s="30">
        <v>0.627</v>
      </c>
      <c r="J78" s="30">
        <v>14.0</v>
      </c>
      <c r="K78" s="30">
        <v>157.0</v>
      </c>
      <c r="L78" s="30">
        <v>25.0</v>
      </c>
      <c r="M78" s="30">
        <v>423.0</v>
      </c>
    </row>
    <row r="79">
      <c r="A79" s="25"/>
      <c r="B79" s="25"/>
      <c r="C79" s="21" t="s">
        <v>222</v>
      </c>
      <c r="D79" s="22">
        <v>0.761</v>
      </c>
      <c r="E79" s="22">
        <v>0.742</v>
      </c>
      <c r="F79" s="12">
        <f t="shared" si="34"/>
        <v>0.528189911</v>
      </c>
      <c r="G79" s="12">
        <f t="shared" si="35"/>
        <v>0.8235294118</v>
      </c>
      <c r="H79" s="12">
        <f t="shared" si="36"/>
        <v>0.6758596614</v>
      </c>
      <c r="I79" s="22">
        <v>0.741</v>
      </c>
      <c r="J79" s="22">
        <v>89.0</v>
      </c>
      <c r="K79" s="22">
        <v>82.0</v>
      </c>
      <c r="L79" s="22">
        <v>77.0</v>
      </c>
      <c r="M79" s="22">
        <v>371.0</v>
      </c>
    </row>
    <row r="80">
      <c r="A80" s="33"/>
    </row>
    <row r="81">
      <c r="A81" s="33"/>
    </row>
    <row r="82">
      <c r="A82" s="33"/>
    </row>
    <row r="83">
      <c r="A83" s="33"/>
    </row>
    <row r="84">
      <c r="A84" s="33"/>
    </row>
    <row r="85">
      <c r="A85" s="33"/>
    </row>
    <row r="86">
      <c r="A86" s="33"/>
    </row>
    <row r="87">
      <c r="A87" s="33"/>
    </row>
    <row r="88">
      <c r="A88" s="33"/>
    </row>
    <row r="89">
      <c r="A89" s="33"/>
    </row>
    <row r="90">
      <c r="A90" s="33"/>
    </row>
    <row r="91">
      <c r="A91" s="33"/>
    </row>
    <row r="92">
      <c r="A92" s="33"/>
    </row>
    <row r="93">
      <c r="A93" s="33"/>
    </row>
    <row r="94">
      <c r="A94" s="33"/>
    </row>
    <row r="95">
      <c r="A95" s="33"/>
    </row>
    <row r="96">
      <c r="A96" s="33"/>
    </row>
    <row r="97">
      <c r="A97" s="33"/>
    </row>
    <row r="98">
      <c r="A98" s="33"/>
    </row>
    <row r="99">
      <c r="A99" s="33"/>
    </row>
    <row r="100">
      <c r="A100" s="33"/>
    </row>
    <row r="101">
      <c r="A101" s="33"/>
    </row>
    <row r="102">
      <c r="A102" s="33"/>
    </row>
    <row r="103">
      <c r="A103" s="33"/>
    </row>
    <row r="104">
      <c r="A104" s="33"/>
    </row>
    <row r="105">
      <c r="A105" s="33"/>
    </row>
    <row r="106">
      <c r="A106" s="33"/>
    </row>
    <row r="107">
      <c r="A107" s="33"/>
    </row>
    <row r="108">
      <c r="A108" s="33"/>
    </row>
    <row r="109">
      <c r="A109" s="33"/>
    </row>
    <row r="110">
      <c r="A110" s="33"/>
    </row>
    <row r="111">
      <c r="A111" s="33"/>
    </row>
    <row r="112">
      <c r="A112" s="33"/>
    </row>
    <row r="113">
      <c r="A113" s="33"/>
    </row>
    <row r="114">
      <c r="A114" s="33"/>
    </row>
    <row r="115">
      <c r="A115" s="33"/>
    </row>
    <row r="116">
      <c r="A116" s="33"/>
    </row>
    <row r="117">
      <c r="A117" s="33"/>
    </row>
    <row r="118">
      <c r="A118" s="33"/>
    </row>
    <row r="119">
      <c r="A119" s="33"/>
    </row>
    <row r="120">
      <c r="A120" s="33"/>
    </row>
    <row r="121">
      <c r="A121" s="33"/>
    </row>
    <row r="122">
      <c r="A122" s="33"/>
    </row>
    <row r="123">
      <c r="A123" s="33"/>
    </row>
    <row r="124">
      <c r="A124" s="33"/>
    </row>
    <row r="125">
      <c r="A125" s="33"/>
    </row>
    <row r="126">
      <c r="A126" s="33"/>
    </row>
    <row r="127">
      <c r="A127" s="33"/>
    </row>
    <row r="128">
      <c r="A128" s="33"/>
    </row>
    <row r="129">
      <c r="A129" s="33"/>
    </row>
    <row r="130">
      <c r="A130" s="33"/>
    </row>
    <row r="131">
      <c r="A131" s="33"/>
    </row>
    <row r="132">
      <c r="A132" s="33"/>
    </row>
    <row r="133">
      <c r="A133" s="33"/>
    </row>
    <row r="134">
      <c r="A134" s="33"/>
    </row>
    <row r="135">
      <c r="A135" s="33"/>
    </row>
    <row r="136">
      <c r="A136" s="33"/>
    </row>
    <row r="137">
      <c r="A137" s="33"/>
    </row>
    <row r="138">
      <c r="A138" s="33"/>
    </row>
    <row r="139">
      <c r="A139" s="33"/>
    </row>
    <row r="140">
      <c r="A140" s="33"/>
    </row>
    <row r="141">
      <c r="A141" s="33"/>
    </row>
    <row r="142">
      <c r="A142" s="33"/>
    </row>
    <row r="143">
      <c r="A143" s="33"/>
    </row>
    <row r="144">
      <c r="A144" s="33"/>
    </row>
    <row r="145">
      <c r="A145" s="33"/>
    </row>
    <row r="146">
      <c r="A146" s="33"/>
    </row>
    <row r="147">
      <c r="A147" s="33"/>
    </row>
    <row r="148">
      <c r="A148" s="33"/>
    </row>
    <row r="149">
      <c r="A149" s="33"/>
    </row>
    <row r="150">
      <c r="A150" s="33"/>
    </row>
    <row r="151">
      <c r="A151" s="33"/>
    </row>
    <row r="152">
      <c r="A152" s="33"/>
    </row>
    <row r="153">
      <c r="A153" s="33"/>
    </row>
    <row r="154">
      <c r="A154" s="33"/>
    </row>
    <row r="155">
      <c r="A155" s="33"/>
    </row>
    <row r="156">
      <c r="A156" s="33"/>
    </row>
    <row r="157">
      <c r="A157" s="33"/>
    </row>
    <row r="158">
      <c r="A158" s="33"/>
    </row>
    <row r="159">
      <c r="A159" s="33"/>
    </row>
    <row r="160">
      <c r="A160" s="33"/>
    </row>
    <row r="161">
      <c r="A161" s="33"/>
    </row>
    <row r="162">
      <c r="A162" s="33"/>
    </row>
    <row r="163">
      <c r="A163" s="33"/>
    </row>
    <row r="164">
      <c r="A164" s="33"/>
    </row>
    <row r="165">
      <c r="A165" s="33"/>
    </row>
    <row r="166">
      <c r="A166" s="33"/>
    </row>
    <row r="167">
      <c r="A167" s="33"/>
    </row>
    <row r="168">
      <c r="A168" s="33"/>
    </row>
    <row r="169">
      <c r="A169" s="33"/>
    </row>
    <row r="170">
      <c r="A170" s="33"/>
    </row>
    <row r="171">
      <c r="A171" s="33"/>
    </row>
    <row r="172">
      <c r="A172" s="33"/>
    </row>
    <row r="173">
      <c r="A173" s="33"/>
    </row>
    <row r="174">
      <c r="A174" s="33"/>
    </row>
    <row r="175">
      <c r="A175" s="33"/>
    </row>
    <row r="176">
      <c r="A176" s="33"/>
    </row>
    <row r="177">
      <c r="A177" s="33"/>
    </row>
    <row r="178">
      <c r="A178" s="33"/>
    </row>
    <row r="179">
      <c r="A179" s="33"/>
    </row>
    <row r="180">
      <c r="A180" s="33"/>
    </row>
    <row r="181">
      <c r="A181" s="33"/>
    </row>
    <row r="182">
      <c r="A182" s="33"/>
    </row>
    <row r="183">
      <c r="A183" s="33"/>
    </row>
    <row r="184">
      <c r="A184" s="33"/>
    </row>
    <row r="185">
      <c r="A185" s="33"/>
    </row>
    <row r="186">
      <c r="A186" s="33"/>
    </row>
    <row r="187">
      <c r="A187" s="33"/>
    </row>
    <row r="188">
      <c r="A188" s="33"/>
    </row>
    <row r="189">
      <c r="A189" s="33"/>
    </row>
    <row r="190">
      <c r="A190" s="33"/>
    </row>
    <row r="191">
      <c r="A191" s="33"/>
    </row>
    <row r="192">
      <c r="A192" s="33"/>
    </row>
    <row r="193">
      <c r="A193" s="33"/>
    </row>
    <row r="194">
      <c r="A194" s="33"/>
    </row>
    <row r="195">
      <c r="A195" s="33"/>
    </row>
    <row r="196">
      <c r="A196" s="33"/>
    </row>
    <row r="197">
      <c r="A197" s="33"/>
    </row>
    <row r="198">
      <c r="A198" s="33"/>
    </row>
    <row r="199">
      <c r="A199" s="33"/>
    </row>
    <row r="200">
      <c r="A200" s="33"/>
    </row>
    <row r="201">
      <c r="A201" s="33"/>
    </row>
    <row r="202">
      <c r="A202" s="33"/>
    </row>
    <row r="203">
      <c r="A203" s="33"/>
    </row>
    <row r="204">
      <c r="A204" s="33"/>
    </row>
    <row r="205">
      <c r="A205" s="33"/>
    </row>
    <row r="206">
      <c r="A206" s="33"/>
    </row>
    <row r="207">
      <c r="A207" s="33"/>
    </row>
    <row r="208">
      <c r="A208" s="33"/>
    </row>
    <row r="209">
      <c r="A209" s="33"/>
    </row>
    <row r="210">
      <c r="A210" s="33"/>
    </row>
    <row r="211">
      <c r="A211" s="33"/>
    </row>
    <row r="212">
      <c r="A212" s="33"/>
    </row>
    <row r="213">
      <c r="A213" s="33"/>
    </row>
    <row r="214">
      <c r="A214" s="33"/>
    </row>
    <row r="215">
      <c r="A215" s="33"/>
    </row>
    <row r="216">
      <c r="A216" s="33"/>
    </row>
    <row r="217">
      <c r="A217" s="33"/>
    </row>
    <row r="218">
      <c r="A218" s="33"/>
    </row>
    <row r="219">
      <c r="A219" s="33"/>
    </row>
    <row r="220">
      <c r="A220" s="33"/>
    </row>
    <row r="221">
      <c r="A221" s="33"/>
    </row>
    <row r="222">
      <c r="A222" s="33"/>
    </row>
    <row r="223">
      <c r="A223" s="33"/>
    </row>
    <row r="224">
      <c r="A224" s="33"/>
    </row>
    <row r="225">
      <c r="A225" s="33"/>
    </row>
    <row r="226">
      <c r="A226" s="33"/>
    </row>
    <row r="227">
      <c r="A227" s="33"/>
    </row>
    <row r="228">
      <c r="A228" s="33"/>
    </row>
    <row r="229">
      <c r="A229" s="33"/>
    </row>
    <row r="230">
      <c r="A230" s="33"/>
    </row>
    <row r="231">
      <c r="A231" s="33"/>
    </row>
    <row r="232">
      <c r="A232" s="33"/>
    </row>
    <row r="233">
      <c r="A233" s="33"/>
    </row>
    <row r="234">
      <c r="A234" s="33"/>
    </row>
    <row r="235">
      <c r="A235" s="33"/>
    </row>
    <row r="236">
      <c r="A236" s="33"/>
    </row>
    <row r="237">
      <c r="A237" s="33"/>
    </row>
    <row r="238">
      <c r="A238" s="33"/>
    </row>
    <row r="239">
      <c r="A239" s="33"/>
    </row>
    <row r="240">
      <c r="A240" s="33"/>
    </row>
    <row r="241">
      <c r="A241" s="33"/>
    </row>
    <row r="242">
      <c r="A242" s="33"/>
    </row>
    <row r="243">
      <c r="A243" s="33"/>
    </row>
    <row r="244">
      <c r="A244" s="33"/>
    </row>
    <row r="245">
      <c r="A245" s="33"/>
    </row>
    <row r="246">
      <c r="A246" s="33"/>
    </row>
    <row r="247">
      <c r="A247" s="33"/>
    </row>
    <row r="248">
      <c r="A248" s="33"/>
    </row>
    <row r="249">
      <c r="A249" s="33"/>
    </row>
    <row r="250">
      <c r="A250" s="33"/>
    </row>
    <row r="251">
      <c r="A251" s="33"/>
    </row>
    <row r="252">
      <c r="A252" s="33"/>
    </row>
    <row r="253">
      <c r="A253" s="33"/>
    </row>
    <row r="254">
      <c r="A254" s="33"/>
    </row>
    <row r="255">
      <c r="A255" s="33"/>
    </row>
    <row r="256">
      <c r="A256" s="33"/>
    </row>
    <row r="257">
      <c r="A257" s="33"/>
    </row>
    <row r="258">
      <c r="A258" s="33"/>
    </row>
    <row r="259">
      <c r="A259" s="33"/>
    </row>
    <row r="260">
      <c r="A260" s="33"/>
    </row>
    <row r="261">
      <c r="A261" s="33"/>
    </row>
    <row r="262">
      <c r="A262" s="33"/>
    </row>
    <row r="263">
      <c r="A263" s="33"/>
    </row>
    <row r="264">
      <c r="A264" s="33"/>
    </row>
    <row r="265">
      <c r="A265" s="33"/>
    </row>
    <row r="266">
      <c r="A266" s="33"/>
    </row>
    <row r="267">
      <c r="A267" s="33"/>
    </row>
    <row r="268">
      <c r="A268" s="33"/>
    </row>
    <row r="269">
      <c r="A269" s="33"/>
    </row>
    <row r="270">
      <c r="A270" s="33"/>
    </row>
    <row r="271">
      <c r="A271" s="33"/>
    </row>
    <row r="272">
      <c r="A272" s="33"/>
    </row>
    <row r="273">
      <c r="A273" s="33"/>
    </row>
    <row r="274">
      <c r="A274" s="33"/>
    </row>
    <row r="275">
      <c r="A275" s="33"/>
    </row>
    <row r="276">
      <c r="A276" s="33"/>
    </row>
    <row r="277">
      <c r="A277" s="33"/>
    </row>
    <row r="278">
      <c r="A278" s="33"/>
    </row>
    <row r="279">
      <c r="A279" s="33"/>
    </row>
    <row r="280">
      <c r="A280" s="33"/>
    </row>
    <row r="281">
      <c r="A281" s="33"/>
    </row>
    <row r="282">
      <c r="A282" s="33"/>
    </row>
    <row r="283">
      <c r="A283" s="33"/>
    </row>
    <row r="284">
      <c r="A284" s="33"/>
    </row>
    <row r="285">
      <c r="A285" s="33"/>
    </row>
    <row r="286">
      <c r="A286" s="33"/>
    </row>
    <row r="287">
      <c r="A287" s="33"/>
    </row>
    <row r="288">
      <c r="A288" s="33"/>
    </row>
    <row r="289">
      <c r="A289" s="33"/>
    </row>
    <row r="290">
      <c r="A290" s="33"/>
    </row>
    <row r="291">
      <c r="A291" s="33"/>
    </row>
    <row r="292">
      <c r="A292" s="33"/>
    </row>
    <row r="293">
      <c r="A293" s="33"/>
    </row>
    <row r="294">
      <c r="A294" s="33"/>
    </row>
    <row r="295">
      <c r="A295" s="33"/>
    </row>
    <row r="296">
      <c r="A296" s="33"/>
    </row>
    <row r="297">
      <c r="A297" s="33"/>
    </row>
    <row r="298">
      <c r="A298" s="33"/>
    </row>
    <row r="299">
      <c r="A299" s="33"/>
    </row>
    <row r="300">
      <c r="A300" s="33"/>
    </row>
    <row r="301">
      <c r="A301" s="33"/>
    </row>
    <row r="302">
      <c r="A302" s="33"/>
    </row>
    <row r="303">
      <c r="A303" s="33"/>
    </row>
    <row r="304">
      <c r="A304" s="33"/>
    </row>
    <row r="305">
      <c r="A305" s="33"/>
    </row>
    <row r="306">
      <c r="A306" s="33"/>
    </row>
    <row r="307">
      <c r="A307" s="33"/>
    </row>
    <row r="308">
      <c r="A308" s="33"/>
    </row>
    <row r="309">
      <c r="A309" s="33"/>
    </row>
    <row r="310">
      <c r="A310" s="33"/>
    </row>
    <row r="311">
      <c r="A311" s="33"/>
    </row>
    <row r="312">
      <c r="A312" s="33"/>
    </row>
    <row r="313">
      <c r="A313" s="33"/>
    </row>
    <row r="314">
      <c r="A314" s="33"/>
    </row>
    <row r="315">
      <c r="A315" s="33"/>
    </row>
    <row r="316">
      <c r="A316" s="33"/>
    </row>
    <row r="317">
      <c r="A317" s="33"/>
    </row>
    <row r="318">
      <c r="A318" s="33"/>
    </row>
    <row r="319">
      <c r="A319" s="33"/>
    </row>
    <row r="320">
      <c r="A320" s="33"/>
    </row>
    <row r="321">
      <c r="A321" s="33"/>
    </row>
    <row r="322">
      <c r="A322" s="33"/>
    </row>
    <row r="323">
      <c r="A323" s="33"/>
    </row>
    <row r="324">
      <c r="A324" s="33"/>
    </row>
    <row r="325">
      <c r="A325" s="33"/>
    </row>
    <row r="326">
      <c r="A326" s="33"/>
    </row>
    <row r="327">
      <c r="A327" s="33"/>
    </row>
    <row r="328">
      <c r="A328" s="33"/>
    </row>
    <row r="329">
      <c r="A329" s="33"/>
    </row>
    <row r="330">
      <c r="A330" s="33"/>
    </row>
    <row r="331">
      <c r="A331" s="33"/>
    </row>
    <row r="332">
      <c r="A332" s="33"/>
    </row>
    <row r="333">
      <c r="A333" s="33"/>
    </row>
    <row r="334">
      <c r="A334" s="33"/>
    </row>
    <row r="335">
      <c r="A335" s="33"/>
    </row>
    <row r="336">
      <c r="A336" s="33"/>
    </row>
    <row r="337">
      <c r="A337" s="33"/>
    </row>
    <row r="338">
      <c r="A338" s="33"/>
    </row>
    <row r="339">
      <c r="A339" s="33"/>
    </row>
    <row r="340">
      <c r="A340" s="33"/>
    </row>
    <row r="341">
      <c r="A341" s="33"/>
    </row>
    <row r="342">
      <c r="A342" s="33"/>
    </row>
    <row r="343">
      <c r="A343" s="33"/>
    </row>
    <row r="344">
      <c r="A344" s="33"/>
    </row>
    <row r="345">
      <c r="A345" s="33"/>
    </row>
    <row r="346">
      <c r="A346" s="33"/>
    </row>
    <row r="347">
      <c r="A347" s="33"/>
    </row>
    <row r="348">
      <c r="A348" s="33"/>
    </row>
    <row r="349">
      <c r="A349" s="33"/>
    </row>
    <row r="350">
      <c r="A350" s="33"/>
    </row>
    <row r="351">
      <c r="A351" s="33"/>
    </row>
    <row r="352">
      <c r="A352" s="33"/>
    </row>
    <row r="353">
      <c r="A353" s="33"/>
    </row>
    <row r="354">
      <c r="A354" s="33"/>
    </row>
    <row r="355">
      <c r="A355" s="33"/>
    </row>
    <row r="356">
      <c r="A356" s="33"/>
    </row>
    <row r="357">
      <c r="A357" s="33"/>
    </row>
    <row r="358">
      <c r="A358" s="33"/>
    </row>
    <row r="359">
      <c r="A359" s="33"/>
    </row>
    <row r="360">
      <c r="A360" s="33"/>
    </row>
    <row r="361">
      <c r="A361" s="33"/>
    </row>
    <row r="362">
      <c r="A362" s="33"/>
    </row>
    <row r="363">
      <c r="A363" s="33"/>
    </row>
    <row r="364">
      <c r="A364" s="33"/>
    </row>
    <row r="365">
      <c r="A365" s="33"/>
    </row>
    <row r="366">
      <c r="A366" s="33"/>
    </row>
    <row r="367">
      <c r="A367" s="33"/>
    </row>
    <row r="368">
      <c r="A368" s="33"/>
    </row>
    <row r="369">
      <c r="A369" s="33"/>
    </row>
    <row r="370">
      <c r="A370" s="33"/>
    </row>
    <row r="371">
      <c r="A371" s="33"/>
    </row>
    <row r="372">
      <c r="A372" s="33"/>
    </row>
    <row r="373">
      <c r="A373" s="33"/>
    </row>
    <row r="374">
      <c r="A374" s="33"/>
    </row>
    <row r="375">
      <c r="A375" s="33"/>
    </row>
    <row r="376">
      <c r="A376" s="33"/>
    </row>
    <row r="377">
      <c r="A377" s="33"/>
    </row>
    <row r="378">
      <c r="A378" s="33"/>
    </row>
    <row r="379">
      <c r="A379" s="33"/>
    </row>
    <row r="380">
      <c r="A380" s="33"/>
    </row>
    <row r="381">
      <c r="A381" s="33"/>
    </row>
    <row r="382">
      <c r="A382" s="33"/>
    </row>
    <row r="383">
      <c r="A383" s="33"/>
    </row>
    <row r="384">
      <c r="A384" s="33"/>
    </row>
    <row r="385">
      <c r="A385" s="33"/>
    </row>
    <row r="386">
      <c r="A386" s="33"/>
    </row>
    <row r="387">
      <c r="A387" s="33"/>
    </row>
    <row r="388">
      <c r="A388" s="33"/>
    </row>
    <row r="389">
      <c r="A389" s="33"/>
    </row>
    <row r="390">
      <c r="A390" s="33"/>
    </row>
    <row r="391">
      <c r="A391" s="33"/>
    </row>
    <row r="392">
      <c r="A392" s="33"/>
    </row>
    <row r="393">
      <c r="A393" s="33"/>
    </row>
    <row r="394">
      <c r="A394" s="33"/>
    </row>
    <row r="395">
      <c r="A395" s="33"/>
    </row>
    <row r="396">
      <c r="A396" s="33"/>
    </row>
    <row r="397">
      <c r="A397" s="33"/>
    </row>
    <row r="398">
      <c r="A398" s="33"/>
    </row>
    <row r="399">
      <c r="A399" s="33"/>
    </row>
    <row r="400">
      <c r="A400" s="33"/>
    </row>
    <row r="401">
      <c r="A401" s="33"/>
    </row>
    <row r="402">
      <c r="A402" s="33"/>
    </row>
    <row r="403">
      <c r="A403" s="33"/>
    </row>
    <row r="404">
      <c r="A404" s="33"/>
    </row>
    <row r="405">
      <c r="A405" s="33"/>
    </row>
    <row r="406">
      <c r="A406" s="33"/>
    </row>
    <row r="407">
      <c r="A407" s="33"/>
    </row>
    <row r="408">
      <c r="A408" s="33"/>
    </row>
    <row r="409">
      <c r="A409" s="33"/>
    </row>
    <row r="410">
      <c r="A410" s="33"/>
    </row>
    <row r="411">
      <c r="A411" s="33"/>
    </row>
    <row r="412">
      <c r="A412" s="33"/>
    </row>
    <row r="413">
      <c r="A413" s="33"/>
    </row>
    <row r="414">
      <c r="A414" s="33"/>
    </row>
    <row r="415">
      <c r="A415" s="33"/>
    </row>
    <row r="416">
      <c r="A416" s="33"/>
    </row>
    <row r="417">
      <c r="A417" s="33"/>
    </row>
    <row r="418">
      <c r="A418" s="33"/>
    </row>
    <row r="419">
      <c r="A419" s="33"/>
    </row>
    <row r="420">
      <c r="A420" s="33"/>
    </row>
    <row r="421">
      <c r="A421" s="33"/>
    </row>
    <row r="422">
      <c r="A422" s="33"/>
    </row>
    <row r="423">
      <c r="A423" s="33"/>
    </row>
    <row r="424">
      <c r="A424" s="33"/>
    </row>
    <row r="425">
      <c r="A425" s="33"/>
    </row>
    <row r="426">
      <c r="A426" s="33"/>
    </row>
    <row r="427">
      <c r="A427" s="33"/>
    </row>
    <row r="428">
      <c r="A428" s="33"/>
    </row>
    <row r="429">
      <c r="A429" s="33"/>
    </row>
    <row r="430">
      <c r="A430" s="33"/>
    </row>
    <row r="431">
      <c r="A431" s="33"/>
    </row>
    <row r="432">
      <c r="A432" s="33"/>
    </row>
    <row r="433">
      <c r="A433" s="33"/>
    </row>
    <row r="434">
      <c r="A434" s="33"/>
    </row>
    <row r="435">
      <c r="A435" s="33"/>
    </row>
    <row r="436">
      <c r="A436" s="33"/>
    </row>
    <row r="437">
      <c r="A437" s="33"/>
    </row>
    <row r="438">
      <c r="A438" s="33"/>
    </row>
    <row r="439">
      <c r="A439" s="33"/>
    </row>
    <row r="440">
      <c r="A440" s="33"/>
    </row>
    <row r="441">
      <c r="A441" s="33"/>
    </row>
    <row r="442">
      <c r="A442" s="33"/>
    </row>
    <row r="443">
      <c r="A443" s="33"/>
    </row>
    <row r="444">
      <c r="A444" s="33"/>
    </row>
    <row r="445">
      <c r="A445" s="33"/>
    </row>
    <row r="446">
      <c r="A446" s="33"/>
    </row>
    <row r="447">
      <c r="A447" s="33"/>
    </row>
    <row r="448">
      <c r="A448" s="33"/>
    </row>
    <row r="449">
      <c r="A449" s="33"/>
    </row>
    <row r="450">
      <c r="A450" s="33"/>
    </row>
    <row r="451">
      <c r="A451" s="33"/>
    </row>
    <row r="452">
      <c r="A452" s="33"/>
    </row>
    <row r="453">
      <c r="A453" s="33"/>
    </row>
    <row r="454">
      <c r="A454" s="33"/>
    </row>
    <row r="455">
      <c r="A455" s="33"/>
    </row>
    <row r="456">
      <c r="A456" s="33"/>
    </row>
    <row r="457">
      <c r="A457" s="33"/>
    </row>
    <row r="458">
      <c r="A458" s="33"/>
    </row>
    <row r="459">
      <c r="A459" s="33"/>
    </row>
    <row r="460">
      <c r="A460" s="33"/>
    </row>
    <row r="461">
      <c r="A461" s="33"/>
    </row>
    <row r="462">
      <c r="A462" s="33"/>
    </row>
    <row r="463">
      <c r="A463" s="33"/>
    </row>
    <row r="464">
      <c r="A464" s="33"/>
    </row>
    <row r="465">
      <c r="A465" s="33"/>
    </row>
    <row r="466">
      <c r="A466" s="33"/>
    </row>
    <row r="467">
      <c r="A467" s="33"/>
    </row>
    <row r="468">
      <c r="A468" s="33"/>
    </row>
    <row r="469">
      <c r="A469" s="33"/>
    </row>
    <row r="470">
      <c r="A470" s="33"/>
    </row>
    <row r="471">
      <c r="A471" s="33"/>
    </row>
    <row r="472">
      <c r="A472" s="33"/>
    </row>
    <row r="473">
      <c r="A473" s="33"/>
    </row>
    <row r="474">
      <c r="A474" s="33"/>
    </row>
    <row r="475">
      <c r="A475" s="33"/>
    </row>
    <row r="476">
      <c r="A476" s="33"/>
    </row>
    <row r="477">
      <c r="A477" s="33"/>
    </row>
    <row r="478">
      <c r="A478" s="33"/>
    </row>
    <row r="479">
      <c r="A479" s="33"/>
    </row>
    <row r="480">
      <c r="A480" s="33"/>
    </row>
    <row r="481">
      <c r="A481" s="33"/>
    </row>
    <row r="482">
      <c r="A482" s="33"/>
    </row>
    <row r="483">
      <c r="A483" s="33"/>
    </row>
    <row r="484">
      <c r="A484" s="33"/>
    </row>
    <row r="485">
      <c r="A485" s="33"/>
    </row>
    <row r="486">
      <c r="A486" s="33"/>
    </row>
    <row r="487">
      <c r="A487" s="33"/>
    </row>
    <row r="488">
      <c r="A488" s="33"/>
    </row>
    <row r="489">
      <c r="A489" s="33"/>
    </row>
    <row r="490">
      <c r="A490" s="33"/>
    </row>
    <row r="491">
      <c r="A491" s="33"/>
    </row>
    <row r="492">
      <c r="A492" s="33"/>
    </row>
    <row r="493">
      <c r="A493" s="33"/>
    </row>
    <row r="494">
      <c r="A494" s="33"/>
    </row>
    <row r="495">
      <c r="A495" s="33"/>
    </row>
    <row r="496">
      <c r="A496" s="33"/>
    </row>
    <row r="497">
      <c r="A497" s="33"/>
    </row>
    <row r="498">
      <c r="A498" s="33"/>
    </row>
    <row r="499">
      <c r="A499" s="33"/>
    </row>
    <row r="500">
      <c r="A500" s="33"/>
    </row>
    <row r="501">
      <c r="A501" s="33"/>
    </row>
    <row r="502">
      <c r="A502" s="33"/>
    </row>
    <row r="503">
      <c r="A503" s="33"/>
    </row>
    <row r="504">
      <c r="A504" s="33"/>
    </row>
    <row r="505">
      <c r="A505" s="33"/>
    </row>
    <row r="506">
      <c r="A506" s="33"/>
    </row>
    <row r="507">
      <c r="A507" s="33"/>
    </row>
    <row r="508">
      <c r="A508" s="33"/>
    </row>
    <row r="509">
      <c r="A509" s="33"/>
    </row>
    <row r="510">
      <c r="A510" s="33"/>
    </row>
    <row r="511">
      <c r="A511" s="33"/>
    </row>
    <row r="512">
      <c r="A512" s="33"/>
    </row>
    <row r="513">
      <c r="A513" s="33"/>
    </row>
    <row r="514">
      <c r="A514" s="33"/>
    </row>
    <row r="515">
      <c r="A515" s="33"/>
    </row>
    <row r="516">
      <c r="A516" s="33"/>
    </row>
    <row r="517">
      <c r="A517" s="33"/>
    </row>
    <row r="518">
      <c r="A518" s="33"/>
    </row>
    <row r="519">
      <c r="A519" s="33"/>
    </row>
    <row r="520">
      <c r="A520" s="33"/>
    </row>
    <row r="521">
      <c r="A521" s="33"/>
    </row>
    <row r="522">
      <c r="A522" s="33"/>
    </row>
    <row r="523">
      <c r="A523" s="33"/>
    </row>
    <row r="524">
      <c r="A524" s="33"/>
    </row>
    <row r="525">
      <c r="A525" s="33"/>
    </row>
    <row r="526">
      <c r="A526" s="33"/>
    </row>
    <row r="527">
      <c r="A527" s="33"/>
    </row>
    <row r="528">
      <c r="A528" s="33"/>
    </row>
    <row r="529">
      <c r="A529" s="33"/>
    </row>
    <row r="530">
      <c r="A530" s="33"/>
    </row>
    <row r="531">
      <c r="A531" s="33"/>
    </row>
    <row r="532">
      <c r="A532" s="33"/>
    </row>
    <row r="533">
      <c r="A533" s="33"/>
    </row>
    <row r="534">
      <c r="A534" s="33"/>
    </row>
    <row r="535">
      <c r="A535" s="33"/>
    </row>
    <row r="536">
      <c r="A536" s="33"/>
    </row>
    <row r="537">
      <c r="A537" s="33"/>
    </row>
    <row r="538">
      <c r="A538" s="33"/>
    </row>
    <row r="539">
      <c r="A539" s="33"/>
    </row>
    <row r="540">
      <c r="A540" s="33"/>
    </row>
    <row r="541">
      <c r="A541" s="33"/>
    </row>
    <row r="542">
      <c r="A542" s="33"/>
    </row>
    <row r="543">
      <c r="A543" s="33"/>
    </row>
    <row r="544">
      <c r="A544" s="33"/>
    </row>
    <row r="545">
      <c r="A545" s="33"/>
    </row>
    <row r="546">
      <c r="A546" s="33"/>
    </row>
    <row r="547">
      <c r="A547" s="33"/>
    </row>
    <row r="548">
      <c r="A548" s="33"/>
    </row>
    <row r="549">
      <c r="A549" s="33"/>
    </row>
    <row r="550">
      <c r="A550" s="33"/>
    </row>
    <row r="551">
      <c r="A551" s="33"/>
    </row>
    <row r="552">
      <c r="A552" s="33"/>
    </row>
    <row r="553">
      <c r="A553" s="33"/>
    </row>
    <row r="554">
      <c r="A554" s="33"/>
    </row>
    <row r="555">
      <c r="A555" s="33"/>
    </row>
    <row r="556">
      <c r="A556" s="33"/>
    </row>
    <row r="557">
      <c r="A557" s="33"/>
    </row>
    <row r="558">
      <c r="A558" s="33"/>
    </row>
    <row r="559">
      <c r="A559" s="33"/>
    </row>
    <row r="560">
      <c r="A560" s="33"/>
    </row>
    <row r="561">
      <c r="A561" s="33"/>
    </row>
    <row r="562">
      <c r="A562" s="33"/>
    </row>
    <row r="563">
      <c r="A563" s="33"/>
    </row>
    <row r="564">
      <c r="A564" s="33"/>
    </row>
    <row r="565">
      <c r="A565" s="33"/>
    </row>
    <row r="566">
      <c r="A566" s="33"/>
    </row>
    <row r="567">
      <c r="A567" s="33"/>
    </row>
    <row r="568">
      <c r="A568" s="33"/>
    </row>
    <row r="569">
      <c r="A569" s="33"/>
    </row>
    <row r="570">
      <c r="A570" s="33"/>
    </row>
    <row r="571">
      <c r="A571" s="33"/>
    </row>
    <row r="572">
      <c r="A572" s="33"/>
    </row>
    <row r="573">
      <c r="A573" s="33"/>
    </row>
    <row r="574">
      <c r="A574" s="33"/>
    </row>
    <row r="575">
      <c r="A575" s="33"/>
    </row>
    <row r="576">
      <c r="A576" s="33"/>
    </row>
    <row r="577">
      <c r="A577" s="33"/>
    </row>
    <row r="578">
      <c r="A578" s="33"/>
    </row>
    <row r="579">
      <c r="A579" s="33"/>
    </row>
    <row r="580">
      <c r="A580" s="33"/>
    </row>
    <row r="581">
      <c r="A581" s="33"/>
    </row>
    <row r="582">
      <c r="A582" s="33"/>
    </row>
    <row r="583">
      <c r="A583" s="33"/>
    </row>
    <row r="584">
      <c r="A584" s="33"/>
    </row>
    <row r="585">
      <c r="A585" s="33"/>
    </row>
    <row r="586">
      <c r="A586" s="33"/>
    </row>
    <row r="587">
      <c r="A587" s="33"/>
    </row>
    <row r="588">
      <c r="A588" s="33"/>
    </row>
    <row r="589">
      <c r="A589" s="33"/>
    </row>
    <row r="590">
      <c r="A590" s="33"/>
    </row>
    <row r="591">
      <c r="A591" s="33"/>
    </row>
    <row r="592">
      <c r="A592" s="33"/>
    </row>
    <row r="593">
      <c r="A593" s="33"/>
    </row>
    <row r="594">
      <c r="A594" s="33"/>
    </row>
    <row r="595">
      <c r="A595" s="33"/>
    </row>
    <row r="596">
      <c r="A596" s="33"/>
    </row>
    <row r="597">
      <c r="A597" s="33"/>
    </row>
    <row r="598">
      <c r="A598" s="33"/>
    </row>
    <row r="599">
      <c r="A599" s="33"/>
    </row>
    <row r="600">
      <c r="A600" s="33"/>
    </row>
    <row r="601">
      <c r="A601" s="33"/>
    </row>
    <row r="602">
      <c r="A602" s="33"/>
    </row>
    <row r="603">
      <c r="A603" s="33"/>
    </row>
    <row r="604">
      <c r="A604" s="33"/>
    </row>
    <row r="605">
      <c r="A605" s="33"/>
    </row>
    <row r="606">
      <c r="A606" s="33"/>
    </row>
    <row r="607">
      <c r="A607" s="33"/>
    </row>
    <row r="608">
      <c r="A608" s="33"/>
    </row>
    <row r="609">
      <c r="A609" s="33"/>
    </row>
    <row r="610">
      <c r="A610" s="33"/>
    </row>
    <row r="611">
      <c r="A611" s="33"/>
    </row>
    <row r="612">
      <c r="A612" s="33"/>
    </row>
    <row r="613">
      <c r="A613" s="33"/>
    </row>
    <row r="614">
      <c r="A614" s="33"/>
    </row>
    <row r="615">
      <c r="A615" s="33"/>
    </row>
    <row r="616">
      <c r="A616" s="33"/>
    </row>
    <row r="617">
      <c r="A617" s="33"/>
    </row>
    <row r="618">
      <c r="A618" s="33"/>
    </row>
    <row r="619">
      <c r="A619" s="33"/>
    </row>
    <row r="620">
      <c r="A620" s="33"/>
    </row>
    <row r="621">
      <c r="A621" s="33"/>
    </row>
    <row r="622">
      <c r="A622" s="33"/>
    </row>
    <row r="623">
      <c r="A623" s="33"/>
    </row>
    <row r="624">
      <c r="A624" s="33"/>
    </row>
    <row r="625">
      <c r="A625" s="33"/>
    </row>
    <row r="626">
      <c r="A626" s="33"/>
    </row>
    <row r="627">
      <c r="A627" s="33"/>
    </row>
    <row r="628">
      <c r="A628" s="33"/>
    </row>
    <row r="629">
      <c r="A629" s="33"/>
    </row>
    <row r="630">
      <c r="A630" s="33"/>
    </row>
    <row r="631">
      <c r="A631" s="33"/>
    </row>
    <row r="632">
      <c r="A632" s="33"/>
    </row>
    <row r="633">
      <c r="A633" s="33"/>
    </row>
    <row r="634">
      <c r="A634" s="33"/>
    </row>
    <row r="635">
      <c r="A635" s="33"/>
    </row>
    <row r="636">
      <c r="A636" s="33"/>
    </row>
    <row r="637">
      <c r="A637" s="33"/>
    </row>
    <row r="638">
      <c r="A638" s="33"/>
    </row>
    <row r="639">
      <c r="A639" s="33"/>
    </row>
    <row r="640">
      <c r="A640" s="33"/>
    </row>
    <row r="641">
      <c r="A641" s="33"/>
    </row>
    <row r="642">
      <c r="A642" s="33"/>
    </row>
    <row r="643">
      <c r="A643" s="33"/>
    </row>
    <row r="644">
      <c r="A644" s="33"/>
    </row>
    <row r="645">
      <c r="A645" s="33"/>
    </row>
    <row r="646">
      <c r="A646" s="33"/>
    </row>
    <row r="647">
      <c r="A647" s="33"/>
    </row>
    <row r="648">
      <c r="A648" s="33"/>
    </row>
    <row r="649">
      <c r="A649" s="33"/>
    </row>
    <row r="650">
      <c r="A650" s="33"/>
    </row>
    <row r="651">
      <c r="A651" s="33"/>
    </row>
    <row r="652">
      <c r="A652" s="33"/>
    </row>
    <row r="653">
      <c r="A653" s="33"/>
    </row>
    <row r="654">
      <c r="A654" s="33"/>
    </row>
    <row r="655">
      <c r="A655" s="33"/>
    </row>
    <row r="656">
      <c r="A656" s="33"/>
    </row>
    <row r="657">
      <c r="A657" s="33"/>
    </row>
    <row r="658">
      <c r="A658" s="33"/>
    </row>
    <row r="659">
      <c r="A659" s="33"/>
    </row>
    <row r="660">
      <c r="A660" s="33"/>
    </row>
    <row r="661">
      <c r="A661" s="33"/>
    </row>
    <row r="662">
      <c r="A662" s="33"/>
    </row>
    <row r="663">
      <c r="A663" s="33"/>
    </row>
    <row r="664">
      <c r="A664" s="33"/>
    </row>
    <row r="665">
      <c r="A665" s="33"/>
    </row>
    <row r="666">
      <c r="A666" s="33"/>
    </row>
    <row r="667">
      <c r="A667" s="33"/>
    </row>
    <row r="668">
      <c r="A668" s="33"/>
    </row>
    <row r="669">
      <c r="A669" s="33"/>
    </row>
    <row r="670">
      <c r="A670" s="33"/>
    </row>
    <row r="671">
      <c r="A671" s="33"/>
    </row>
    <row r="672">
      <c r="A672" s="33"/>
    </row>
    <row r="673">
      <c r="A673" s="33"/>
    </row>
    <row r="674">
      <c r="A674" s="33"/>
    </row>
    <row r="675">
      <c r="A675" s="33"/>
    </row>
    <row r="676">
      <c r="A676" s="33"/>
    </row>
    <row r="677">
      <c r="A677" s="33"/>
    </row>
    <row r="678">
      <c r="A678" s="33"/>
    </row>
    <row r="679">
      <c r="A679" s="33"/>
    </row>
    <row r="680">
      <c r="A680" s="33"/>
    </row>
    <row r="681">
      <c r="A681" s="33"/>
    </row>
    <row r="682">
      <c r="A682" s="33"/>
    </row>
    <row r="683">
      <c r="A683" s="33"/>
    </row>
    <row r="684">
      <c r="A684" s="33"/>
    </row>
    <row r="685">
      <c r="A685" s="33"/>
    </row>
    <row r="686">
      <c r="A686" s="33"/>
    </row>
    <row r="687">
      <c r="A687" s="33"/>
    </row>
    <row r="688">
      <c r="A688" s="33"/>
    </row>
    <row r="689">
      <c r="A689" s="33"/>
    </row>
    <row r="690">
      <c r="A690" s="33"/>
    </row>
    <row r="691">
      <c r="A691" s="33"/>
    </row>
    <row r="692">
      <c r="A692" s="33"/>
    </row>
    <row r="693">
      <c r="A693" s="33"/>
    </row>
    <row r="694">
      <c r="A694" s="33"/>
    </row>
    <row r="695">
      <c r="A695" s="33"/>
    </row>
    <row r="696">
      <c r="A696" s="33"/>
    </row>
    <row r="697">
      <c r="A697" s="33"/>
    </row>
    <row r="698">
      <c r="A698" s="33"/>
    </row>
    <row r="699">
      <c r="A699" s="33"/>
    </row>
    <row r="700">
      <c r="A700" s="33"/>
    </row>
    <row r="701">
      <c r="A701" s="33"/>
    </row>
    <row r="702">
      <c r="A702" s="33"/>
    </row>
    <row r="703">
      <c r="A703" s="33"/>
    </row>
    <row r="704">
      <c r="A704" s="33"/>
    </row>
    <row r="705">
      <c r="A705" s="33"/>
    </row>
    <row r="706">
      <c r="A706" s="33"/>
    </row>
    <row r="707">
      <c r="A707" s="33"/>
    </row>
    <row r="708">
      <c r="A708" s="33"/>
    </row>
    <row r="709">
      <c r="A709" s="33"/>
    </row>
    <row r="710">
      <c r="A710" s="33"/>
    </row>
    <row r="711">
      <c r="A711" s="33"/>
    </row>
    <row r="712">
      <c r="A712" s="33"/>
    </row>
    <row r="713">
      <c r="A713" s="33"/>
    </row>
    <row r="714">
      <c r="A714" s="33"/>
    </row>
    <row r="715">
      <c r="A715" s="33"/>
    </row>
    <row r="716">
      <c r="A716" s="33"/>
    </row>
    <row r="717">
      <c r="A717" s="33"/>
    </row>
    <row r="718">
      <c r="A718" s="33"/>
    </row>
    <row r="719">
      <c r="A719" s="33"/>
    </row>
    <row r="720">
      <c r="A720" s="33"/>
    </row>
    <row r="721">
      <c r="A721" s="33"/>
    </row>
    <row r="722">
      <c r="A722" s="33"/>
    </row>
    <row r="723">
      <c r="A723" s="33"/>
    </row>
    <row r="724">
      <c r="A724" s="33"/>
    </row>
    <row r="725">
      <c r="A725" s="33"/>
    </row>
    <row r="726">
      <c r="A726" s="33"/>
    </row>
    <row r="727">
      <c r="A727" s="33"/>
    </row>
    <row r="728">
      <c r="A728" s="33"/>
    </row>
    <row r="729">
      <c r="A729" s="33"/>
    </row>
    <row r="730">
      <c r="A730" s="33"/>
    </row>
    <row r="731">
      <c r="A731" s="33"/>
    </row>
    <row r="732">
      <c r="A732" s="33"/>
    </row>
    <row r="733">
      <c r="A733" s="33"/>
    </row>
    <row r="734">
      <c r="A734" s="33"/>
    </row>
    <row r="735">
      <c r="A735" s="33"/>
    </row>
    <row r="736">
      <c r="A736" s="33"/>
    </row>
    <row r="737">
      <c r="A737" s="33"/>
    </row>
    <row r="738">
      <c r="A738" s="33"/>
    </row>
    <row r="739">
      <c r="A739" s="33"/>
    </row>
    <row r="740">
      <c r="A740" s="33"/>
    </row>
    <row r="741">
      <c r="A741" s="33"/>
    </row>
    <row r="742">
      <c r="A742" s="33"/>
    </row>
    <row r="743">
      <c r="A743" s="33"/>
    </row>
    <row r="744">
      <c r="A744" s="33"/>
    </row>
    <row r="745">
      <c r="A745" s="33"/>
    </row>
    <row r="746">
      <c r="A746" s="33"/>
    </row>
    <row r="747">
      <c r="A747" s="33"/>
    </row>
    <row r="748">
      <c r="A748" s="33"/>
    </row>
    <row r="749">
      <c r="A749" s="33"/>
    </row>
    <row r="750">
      <c r="A750" s="33"/>
    </row>
    <row r="751">
      <c r="A751" s="33"/>
    </row>
    <row r="752">
      <c r="A752" s="33"/>
    </row>
    <row r="753">
      <c r="A753" s="33"/>
    </row>
    <row r="754">
      <c r="A754" s="33"/>
    </row>
    <row r="755">
      <c r="A755" s="33"/>
    </row>
    <row r="756">
      <c r="A756" s="33"/>
    </row>
    <row r="757">
      <c r="A757" s="33"/>
    </row>
    <row r="758">
      <c r="A758" s="33"/>
    </row>
    <row r="759">
      <c r="A759" s="33"/>
    </row>
    <row r="760">
      <c r="A760" s="33"/>
    </row>
    <row r="761">
      <c r="A761" s="33"/>
    </row>
    <row r="762">
      <c r="A762" s="33"/>
    </row>
    <row r="763">
      <c r="A763" s="33"/>
    </row>
    <row r="764">
      <c r="A764" s="33"/>
    </row>
    <row r="765">
      <c r="A765" s="33"/>
    </row>
    <row r="766">
      <c r="A766" s="33"/>
    </row>
    <row r="767">
      <c r="A767" s="33"/>
    </row>
    <row r="768">
      <c r="A768" s="33"/>
    </row>
    <row r="769">
      <c r="A769" s="33"/>
    </row>
    <row r="770">
      <c r="A770" s="33"/>
    </row>
    <row r="771">
      <c r="A771" s="33"/>
    </row>
    <row r="772">
      <c r="A772" s="33"/>
    </row>
    <row r="773">
      <c r="A773" s="33"/>
    </row>
    <row r="774">
      <c r="A774" s="33"/>
    </row>
    <row r="775">
      <c r="A775" s="33"/>
    </row>
    <row r="776">
      <c r="A776" s="33"/>
    </row>
    <row r="777">
      <c r="A777" s="33"/>
    </row>
    <row r="778">
      <c r="A778" s="33"/>
    </row>
    <row r="779">
      <c r="A779" s="33"/>
    </row>
    <row r="780">
      <c r="A780" s="33"/>
    </row>
    <row r="781">
      <c r="A781" s="33"/>
    </row>
    <row r="782">
      <c r="A782" s="33"/>
    </row>
    <row r="783">
      <c r="A783" s="33"/>
    </row>
    <row r="784">
      <c r="A784" s="33"/>
    </row>
    <row r="785">
      <c r="A785" s="33"/>
    </row>
    <row r="786">
      <c r="A786" s="33"/>
    </row>
    <row r="787">
      <c r="A787" s="33"/>
    </row>
    <row r="788">
      <c r="A788" s="33"/>
    </row>
    <row r="789">
      <c r="A789" s="33"/>
    </row>
    <row r="790">
      <c r="A790" s="33"/>
    </row>
    <row r="791">
      <c r="A791" s="33"/>
    </row>
    <row r="792">
      <c r="A792" s="33"/>
    </row>
    <row r="793">
      <c r="A793" s="33"/>
    </row>
    <row r="794">
      <c r="A794" s="33"/>
    </row>
    <row r="795">
      <c r="A795" s="33"/>
    </row>
    <row r="796">
      <c r="A796" s="33"/>
    </row>
    <row r="797">
      <c r="A797" s="33"/>
    </row>
    <row r="798">
      <c r="A798" s="33"/>
    </row>
    <row r="799">
      <c r="A799" s="33"/>
    </row>
    <row r="800">
      <c r="A800" s="33"/>
    </row>
    <row r="801">
      <c r="A801" s="33"/>
    </row>
    <row r="802">
      <c r="A802" s="33"/>
    </row>
    <row r="803">
      <c r="A803" s="33"/>
    </row>
    <row r="804">
      <c r="A804" s="33"/>
    </row>
    <row r="805">
      <c r="A805" s="33"/>
    </row>
    <row r="806">
      <c r="A806" s="33"/>
    </row>
    <row r="807">
      <c r="A807" s="33"/>
    </row>
    <row r="808">
      <c r="A808" s="33"/>
    </row>
    <row r="809">
      <c r="A809" s="33"/>
    </row>
    <row r="810">
      <c r="A810" s="33"/>
    </row>
    <row r="811">
      <c r="A811" s="33"/>
    </row>
    <row r="812">
      <c r="A812" s="33"/>
    </row>
    <row r="813">
      <c r="A813" s="33"/>
    </row>
    <row r="814">
      <c r="A814" s="33"/>
    </row>
    <row r="815">
      <c r="A815" s="33"/>
    </row>
    <row r="816">
      <c r="A816" s="33"/>
    </row>
    <row r="817">
      <c r="A817" s="33"/>
    </row>
    <row r="818">
      <c r="A818" s="33"/>
    </row>
    <row r="819">
      <c r="A819" s="33"/>
    </row>
    <row r="820">
      <c r="A820" s="33"/>
    </row>
    <row r="821">
      <c r="A821" s="33"/>
    </row>
    <row r="822">
      <c r="A822" s="33"/>
    </row>
    <row r="823">
      <c r="A823" s="33"/>
    </row>
    <row r="824">
      <c r="A824" s="33"/>
    </row>
    <row r="825">
      <c r="A825" s="33"/>
    </row>
    <row r="826">
      <c r="A826" s="33"/>
    </row>
    <row r="827">
      <c r="A827" s="33"/>
    </row>
    <row r="828">
      <c r="A828" s="33"/>
    </row>
    <row r="829">
      <c r="A829" s="33"/>
    </row>
    <row r="830">
      <c r="A830" s="33"/>
    </row>
    <row r="831">
      <c r="A831" s="33"/>
    </row>
    <row r="832">
      <c r="A832" s="33"/>
    </row>
    <row r="833">
      <c r="A833" s="33"/>
    </row>
    <row r="834">
      <c r="A834" s="33"/>
    </row>
    <row r="835">
      <c r="A835" s="33"/>
    </row>
    <row r="836">
      <c r="A836" s="33"/>
    </row>
    <row r="837">
      <c r="A837" s="33"/>
    </row>
    <row r="838">
      <c r="A838" s="33"/>
    </row>
    <row r="839">
      <c r="A839" s="33"/>
    </row>
    <row r="840">
      <c r="A840" s="33"/>
    </row>
    <row r="841">
      <c r="A841" s="33"/>
    </row>
    <row r="842">
      <c r="A842" s="33"/>
    </row>
    <row r="843">
      <c r="A843" s="33"/>
    </row>
    <row r="844">
      <c r="A844" s="33"/>
    </row>
    <row r="845">
      <c r="A845" s="33"/>
    </row>
    <row r="846">
      <c r="A846" s="33"/>
    </row>
    <row r="847">
      <c r="A847" s="33"/>
    </row>
    <row r="848">
      <c r="A848" s="33"/>
    </row>
    <row r="849">
      <c r="A849" s="33"/>
    </row>
    <row r="850">
      <c r="A850" s="33"/>
    </row>
    <row r="851">
      <c r="A851" s="33"/>
    </row>
    <row r="852">
      <c r="A852" s="33"/>
    </row>
    <row r="853">
      <c r="A853" s="33"/>
    </row>
    <row r="854">
      <c r="A854" s="33"/>
    </row>
    <row r="855">
      <c r="A855" s="33"/>
    </row>
    <row r="856">
      <c r="A856" s="33"/>
    </row>
    <row r="857">
      <c r="A857" s="33"/>
    </row>
    <row r="858">
      <c r="A858" s="33"/>
    </row>
    <row r="859">
      <c r="A859" s="33"/>
    </row>
    <row r="860">
      <c r="A860" s="33"/>
    </row>
    <row r="861">
      <c r="A861" s="33"/>
    </row>
    <row r="862">
      <c r="A862" s="33"/>
    </row>
    <row r="863">
      <c r="A863" s="33"/>
    </row>
    <row r="864">
      <c r="A864" s="33"/>
    </row>
    <row r="865">
      <c r="A865" s="33"/>
    </row>
    <row r="866">
      <c r="A866" s="33"/>
    </row>
    <row r="867">
      <c r="A867" s="33"/>
    </row>
    <row r="868">
      <c r="A868" s="33"/>
    </row>
    <row r="869">
      <c r="A869" s="33"/>
    </row>
    <row r="870">
      <c r="A870" s="33"/>
    </row>
    <row r="871">
      <c r="A871" s="33"/>
    </row>
    <row r="872">
      <c r="A872" s="33"/>
    </row>
    <row r="873">
      <c r="A873" s="33"/>
    </row>
    <row r="874">
      <c r="A874" s="33"/>
    </row>
    <row r="875">
      <c r="A875" s="33"/>
    </row>
    <row r="876">
      <c r="A876" s="33"/>
    </row>
    <row r="877">
      <c r="A877" s="33"/>
    </row>
    <row r="878">
      <c r="A878" s="33"/>
    </row>
    <row r="879">
      <c r="A879" s="33"/>
    </row>
    <row r="880">
      <c r="A880" s="33"/>
    </row>
    <row r="881">
      <c r="A881" s="33"/>
    </row>
    <row r="882">
      <c r="A882" s="33"/>
    </row>
    <row r="883">
      <c r="A883" s="33"/>
    </row>
    <row r="884">
      <c r="A884" s="33"/>
    </row>
    <row r="885">
      <c r="A885" s="33"/>
    </row>
    <row r="886">
      <c r="A886" s="33"/>
    </row>
    <row r="887">
      <c r="A887" s="33"/>
    </row>
    <row r="888">
      <c r="A888" s="33"/>
    </row>
  </sheetData>
  <mergeCells count="20">
    <mergeCell ref="B24:B27"/>
    <mergeCell ref="B29:B32"/>
    <mergeCell ref="A4:A12"/>
    <mergeCell ref="B4:B7"/>
    <mergeCell ref="B9:B12"/>
    <mergeCell ref="A14:A22"/>
    <mergeCell ref="B14:B17"/>
    <mergeCell ref="B19:B22"/>
    <mergeCell ref="A24:A32"/>
    <mergeCell ref="A63:A70"/>
    <mergeCell ref="B63:B70"/>
    <mergeCell ref="A72:A79"/>
    <mergeCell ref="B72:B79"/>
    <mergeCell ref="A34:A42"/>
    <mergeCell ref="B34:B37"/>
    <mergeCell ref="B39:B42"/>
    <mergeCell ref="A45:A52"/>
    <mergeCell ref="B45:B52"/>
    <mergeCell ref="A54:A61"/>
    <mergeCell ref="B54:B61"/>
  </mergeCells>
  <conditionalFormatting sqref="D4:D7 D9:D12 D14:D17 D19:D22 D24:D27 D29:D42 D45:D61 D63:D79">
    <cfRule type="cellIs" dxfId="0" priority="1" operator="greaterThanOrEqual">
      <formula>"J2"</formula>
    </cfRule>
  </conditionalFormatting>
  <conditionalFormatting sqref="D3:D888">
    <cfRule type="cellIs" dxfId="0" priority="2" operator="greaterThan">
      <formula>0.684</formula>
    </cfRule>
  </conditionalFormatting>
  <conditionalFormatting sqref="J1:J888">
    <cfRule type="cellIs" dxfId="0" priority="3" operator="greaterThan">
      <formula>83</formula>
    </cfRule>
  </conditionalFormatting>
  <conditionalFormatting sqref="L1:L888">
    <cfRule type="cellIs" dxfId="0" priority="4" operator="lessThan">
      <formula>81</formula>
    </cfRule>
  </conditionalFormatting>
  <conditionalFormatting sqref="M2:M42 M45:M61 M63:M79">
    <cfRule type="cellIs" dxfId="0" priority="5" operator="greaterThan">
      <formula>367</formula>
    </cfRule>
  </conditionalFormatting>
  <conditionalFormatting sqref="I1:I888">
    <cfRule type="cellIs" dxfId="0" priority="6" operator="greaterThan">
      <formula>0.724</formula>
    </cfRule>
  </conditionalFormatting>
  <conditionalFormatting sqref="D1:D888">
    <cfRule type="cellIs" dxfId="0" priority="7" operator="greaterThanOrEqual">
      <formula>0.684</formula>
    </cfRule>
  </conditionalFormatting>
  <conditionalFormatting sqref="J1:J888">
    <cfRule type="cellIs" dxfId="0" priority="8" operator="greaterThan">
      <formula>83</formula>
    </cfRule>
  </conditionalFormatting>
  <conditionalFormatting sqref="K1:K888">
    <cfRule type="cellIs" dxfId="0" priority="9" operator="lessThan">
      <formula>88</formula>
    </cfRule>
  </conditionalFormatting>
  <conditionalFormatting sqref="F1:F888">
    <cfRule type="cellIs" dxfId="0" priority="10" operator="greaterThan">
      <formula>0.496</formula>
    </cfRule>
  </conditionalFormatting>
  <conditionalFormatting sqref="G1:G888">
    <cfRule type="cellIs" dxfId="0" priority="11" operator="greaterThan">
      <formula>0.813</formula>
    </cfRule>
  </conditionalFormatting>
  <conditionalFormatting sqref="E1:E888">
    <cfRule type="cellIs" dxfId="0" priority="12" operator="greaterThan">
      <formula>0.725</formula>
    </cfRule>
  </conditionalFormatting>
  <conditionalFormatting sqref="H1:H888">
    <cfRule type="cellIs" dxfId="0" priority="13" operator="greaterThan">
      <formula>0.654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19.13"/>
    <col customWidth="1" min="3" max="3" width="21.25"/>
  </cols>
  <sheetData>
    <row r="1">
      <c r="A1" s="1" t="s">
        <v>0</v>
      </c>
      <c r="B1" s="2" t="s">
        <v>1</v>
      </c>
      <c r="C1" s="3" t="s">
        <v>2</v>
      </c>
      <c r="D1" s="5"/>
      <c r="E1" s="6" t="s">
        <v>3</v>
      </c>
      <c r="F1" s="6" t="s">
        <v>4</v>
      </c>
      <c r="G1" s="6" t="s">
        <v>5</v>
      </c>
      <c r="H1" s="6" t="s">
        <v>6</v>
      </c>
      <c r="I1" s="7" t="s">
        <v>225</v>
      </c>
      <c r="J1" s="7" t="s">
        <v>226</v>
      </c>
      <c r="K1" s="7" t="s">
        <v>227</v>
      </c>
      <c r="L1" s="6" t="s">
        <v>7</v>
      </c>
      <c r="M1" s="6" t="s">
        <v>8</v>
      </c>
      <c r="N1" s="7" t="s">
        <v>9</v>
      </c>
      <c r="O1" s="6" t="s">
        <v>10</v>
      </c>
      <c r="P1" s="6" t="s">
        <v>228</v>
      </c>
      <c r="Q1" s="6" t="s">
        <v>12</v>
      </c>
      <c r="R1" s="6" t="s">
        <v>13</v>
      </c>
      <c r="S1" s="6" t="s">
        <v>229</v>
      </c>
    </row>
    <row r="2" ht="28.5" customHeight="1">
      <c r="A2" s="57" t="s">
        <v>18</v>
      </c>
      <c r="B2" s="58"/>
      <c r="C2" s="19" t="s">
        <v>19</v>
      </c>
      <c r="D2" s="59"/>
      <c r="E2" s="60">
        <v>0.652</v>
      </c>
      <c r="F2" s="60">
        <v>0.724</v>
      </c>
      <c r="G2" s="60">
        <v>0.727</v>
      </c>
      <c r="H2" s="60">
        <v>0.725</v>
      </c>
      <c r="I2" s="60">
        <f>(2*P2)/((2*P2) + Q2 + R2)</f>
        <v>0.4955223881</v>
      </c>
      <c r="J2" s="60">
        <f>(2*S2)/((2*S2) + Q2 + R2)</f>
        <v>0.8128460687</v>
      </c>
      <c r="K2" s="60">
        <f> MEDIAN(I2,J2)</f>
        <v>0.6541842284</v>
      </c>
      <c r="L2" s="60">
        <v>0.684</v>
      </c>
      <c r="M2" s="60">
        <v>0.309</v>
      </c>
      <c r="N2" s="60">
        <v>0.807</v>
      </c>
      <c r="O2" s="60">
        <v>0.819</v>
      </c>
      <c r="P2" s="61">
        <v>83.0</v>
      </c>
      <c r="Q2" s="61">
        <v>88.0</v>
      </c>
      <c r="R2" s="61">
        <v>81.0</v>
      </c>
      <c r="S2" s="62">
        <v>367.0</v>
      </c>
    </row>
    <row r="3" ht="28.5" customHeight="1">
      <c r="A3" s="63"/>
      <c r="B3" s="64"/>
      <c r="C3" s="17"/>
      <c r="E3" s="65"/>
      <c r="F3" s="65"/>
      <c r="G3" s="65"/>
      <c r="H3" s="65"/>
      <c r="I3" s="60"/>
      <c r="J3" s="60"/>
      <c r="K3" s="60"/>
      <c r="L3" s="65"/>
      <c r="M3" s="65"/>
      <c r="N3" s="65"/>
      <c r="O3" s="65"/>
      <c r="P3" s="66"/>
      <c r="Q3" s="66"/>
      <c r="R3" s="66"/>
      <c r="S3" s="67"/>
    </row>
    <row r="4">
      <c r="A4" s="68" t="s">
        <v>230</v>
      </c>
      <c r="B4" s="19" t="s">
        <v>231</v>
      </c>
      <c r="C4" s="19" t="s">
        <v>215</v>
      </c>
      <c r="D4" s="69"/>
      <c r="E4" s="32">
        <v>0.65</v>
      </c>
      <c r="F4" s="32">
        <v>0.724</v>
      </c>
      <c r="G4" s="32">
        <v>0.732</v>
      </c>
      <c r="H4" s="32">
        <v>0.728</v>
      </c>
      <c r="I4" s="60">
        <f t="shared" ref="I4:I33" si="1">(2*P4)/((2*P4) + Q4 + R4)</f>
        <v>0.490797546</v>
      </c>
      <c r="J4" s="60">
        <f t="shared" ref="J4:J33" si="2">(2*S4)/((2*S4) + Q4 + R4)</f>
        <v>0.8179824561</v>
      </c>
      <c r="K4" s="60">
        <f t="shared" ref="K4:K33" si="3"> MEDIAN(I4,J4)</f>
        <v>0.6543900011</v>
      </c>
      <c r="L4" s="32">
        <v>0.694</v>
      </c>
      <c r="M4" s="32">
        <v>0.31</v>
      </c>
      <c r="N4" s="32">
        <v>0.804</v>
      </c>
      <c r="O4" s="32">
        <v>0.833</v>
      </c>
      <c r="P4" s="32">
        <v>80.0</v>
      </c>
      <c r="Q4" s="32">
        <v>91.0</v>
      </c>
      <c r="R4" s="22">
        <v>75.0</v>
      </c>
      <c r="S4" s="32">
        <v>373.0</v>
      </c>
    </row>
    <row r="5">
      <c r="A5" s="23"/>
      <c r="B5" s="23"/>
      <c r="C5" s="23"/>
      <c r="D5" s="69"/>
      <c r="E5" s="22">
        <v>0.646</v>
      </c>
      <c r="F5" s="32">
        <v>0.717</v>
      </c>
      <c r="G5" s="22">
        <v>0.717</v>
      </c>
      <c r="H5" s="22">
        <v>0.717</v>
      </c>
      <c r="I5" s="60">
        <f t="shared" si="1"/>
        <v>0.4868035191</v>
      </c>
      <c r="J5" s="60">
        <f t="shared" si="2"/>
        <v>0.8049052397</v>
      </c>
      <c r="K5" s="60">
        <f t="shared" si="3"/>
        <v>0.6458543794</v>
      </c>
      <c r="L5" s="22">
        <v>0.662</v>
      </c>
      <c r="M5" s="22">
        <v>0.292</v>
      </c>
      <c r="N5" s="22">
        <v>0.804</v>
      </c>
      <c r="O5" s="32">
        <v>0.806</v>
      </c>
      <c r="P5" s="22">
        <v>83.0</v>
      </c>
      <c r="Q5" s="22">
        <v>88.0</v>
      </c>
      <c r="R5" s="22">
        <v>87.0</v>
      </c>
      <c r="S5" s="22">
        <v>361.0</v>
      </c>
    </row>
    <row r="6">
      <c r="A6" s="23"/>
      <c r="B6" s="23"/>
      <c r="C6" s="23"/>
      <c r="D6" s="70"/>
      <c r="E6" s="22">
        <v>0.643</v>
      </c>
      <c r="F6" s="22">
        <v>0.719</v>
      </c>
      <c r="G6" s="22">
        <v>0.727</v>
      </c>
      <c r="H6" s="22">
        <v>0.722</v>
      </c>
      <c r="I6" s="60">
        <f t="shared" si="1"/>
        <v>0.48</v>
      </c>
      <c r="J6" s="60">
        <f t="shared" si="2"/>
        <v>0.8148959474</v>
      </c>
      <c r="K6" s="60">
        <f t="shared" si="3"/>
        <v>0.6474479737</v>
      </c>
      <c r="L6" s="22">
        <v>0.7</v>
      </c>
      <c r="M6" s="22">
        <v>0.296</v>
      </c>
      <c r="N6" s="22">
        <v>0.8</v>
      </c>
      <c r="O6" s="22">
        <v>0.83</v>
      </c>
      <c r="P6" s="22">
        <v>78.0</v>
      </c>
      <c r="Q6" s="22">
        <v>93.0</v>
      </c>
      <c r="R6" s="22">
        <v>76.0</v>
      </c>
      <c r="S6" s="22">
        <v>372.0</v>
      </c>
    </row>
    <row r="7">
      <c r="A7" s="23"/>
      <c r="B7" s="23"/>
      <c r="C7" s="23"/>
      <c r="D7" s="70"/>
      <c r="E7" s="22">
        <v>0.639</v>
      </c>
      <c r="F7" s="22">
        <v>0.716</v>
      </c>
      <c r="G7" s="22">
        <v>0.725</v>
      </c>
      <c r="H7" s="22">
        <v>0.72</v>
      </c>
      <c r="I7" s="60">
        <f t="shared" si="1"/>
        <v>0.4720496894</v>
      </c>
      <c r="J7" s="60">
        <f t="shared" si="2"/>
        <v>0.8144104803</v>
      </c>
      <c r="K7" s="60">
        <f t="shared" si="3"/>
        <v>0.6432300849</v>
      </c>
      <c r="L7" s="22">
        <v>0.702</v>
      </c>
      <c r="M7" s="22">
        <v>0.288</v>
      </c>
      <c r="N7" s="22">
        <v>0.797</v>
      </c>
      <c r="O7" s="22">
        <v>0.833</v>
      </c>
      <c r="P7" s="22">
        <v>76.0</v>
      </c>
      <c r="Q7" s="22">
        <v>95.0</v>
      </c>
      <c r="R7" s="22">
        <v>75.0</v>
      </c>
      <c r="S7" s="22">
        <v>373.0</v>
      </c>
    </row>
    <row r="8">
      <c r="A8" s="23"/>
      <c r="B8" s="23"/>
      <c r="C8" s="23"/>
      <c r="D8" s="70"/>
      <c r="E8" s="22">
        <v>0.648</v>
      </c>
      <c r="F8" s="22">
        <v>0.722</v>
      </c>
      <c r="G8" s="22">
        <v>0.729</v>
      </c>
      <c r="H8" s="22">
        <v>0.725</v>
      </c>
      <c r="I8" s="60">
        <f t="shared" si="1"/>
        <v>0.487804878</v>
      </c>
      <c r="J8" s="60">
        <f t="shared" si="2"/>
        <v>0.8153846154</v>
      </c>
      <c r="K8" s="60">
        <f t="shared" si="3"/>
        <v>0.6515947467</v>
      </c>
      <c r="L8" s="22">
        <v>0.683</v>
      </c>
      <c r="M8" s="22">
        <v>0.304</v>
      </c>
      <c r="N8" s="22">
        <v>0.803</v>
      </c>
      <c r="O8" s="22">
        <v>0.828</v>
      </c>
      <c r="P8" s="22">
        <v>80.0</v>
      </c>
      <c r="Q8" s="22">
        <v>91.0</v>
      </c>
      <c r="R8" s="22">
        <v>77.0</v>
      </c>
      <c r="S8" s="22">
        <v>371.0</v>
      </c>
    </row>
    <row r="9">
      <c r="A9" s="23"/>
      <c r="B9" s="23"/>
      <c r="C9" s="23"/>
      <c r="D9" s="70"/>
      <c r="E9" s="22">
        <v>0.64</v>
      </c>
      <c r="F9" s="22">
        <v>0.715</v>
      </c>
      <c r="G9" s="22">
        <v>0.722</v>
      </c>
      <c r="H9" s="22">
        <v>0.718</v>
      </c>
      <c r="I9" s="60">
        <f t="shared" si="1"/>
        <v>0.4756097561</v>
      </c>
      <c r="J9" s="60">
        <f t="shared" si="2"/>
        <v>0.810989011</v>
      </c>
      <c r="K9" s="60">
        <f t="shared" si="3"/>
        <v>0.6432993835</v>
      </c>
      <c r="L9" s="22">
        <v>0.697</v>
      </c>
      <c r="M9" s="22">
        <v>0.288</v>
      </c>
      <c r="N9" s="22">
        <v>0.799</v>
      </c>
      <c r="O9" s="22">
        <v>0.824</v>
      </c>
      <c r="P9" s="22">
        <v>78.0</v>
      </c>
      <c r="Q9" s="22">
        <v>93.0</v>
      </c>
      <c r="R9" s="22">
        <v>79.0</v>
      </c>
      <c r="S9" s="22">
        <v>369.0</v>
      </c>
    </row>
    <row r="10">
      <c r="A10" s="23"/>
      <c r="B10" s="23"/>
      <c r="C10" s="23"/>
      <c r="D10" s="70"/>
      <c r="E10" s="22">
        <v>0.644</v>
      </c>
      <c r="F10" s="22">
        <v>0.72</v>
      </c>
      <c r="G10" s="22">
        <v>0.73</v>
      </c>
      <c r="H10" s="22">
        <v>0.724</v>
      </c>
      <c r="I10" s="60">
        <f t="shared" si="1"/>
        <v>0.4797507788</v>
      </c>
      <c r="J10" s="60">
        <f t="shared" si="2"/>
        <v>0.8178844057</v>
      </c>
      <c r="K10" s="60">
        <f t="shared" si="3"/>
        <v>0.6488175922</v>
      </c>
      <c r="L10" s="22">
        <v>0.692</v>
      </c>
      <c r="M10" s="22">
        <v>0.3</v>
      </c>
      <c r="N10" s="22">
        <v>0.8</v>
      </c>
      <c r="O10" s="22">
        <v>0.837</v>
      </c>
      <c r="P10" s="22">
        <v>77.0</v>
      </c>
      <c r="Q10" s="22">
        <v>94.0</v>
      </c>
      <c r="R10" s="22">
        <v>73.0</v>
      </c>
      <c r="S10" s="22">
        <v>375.0</v>
      </c>
    </row>
    <row r="11">
      <c r="A11" s="23"/>
      <c r="B11" s="23"/>
      <c r="C11" s="23"/>
      <c r="D11" s="70"/>
      <c r="E11" s="22">
        <v>0.639</v>
      </c>
      <c r="F11" s="22">
        <v>0.716</v>
      </c>
      <c r="G11" s="22">
        <v>0.725</v>
      </c>
      <c r="H11" s="22">
        <v>0.72</v>
      </c>
      <c r="I11" s="60">
        <f t="shared" si="1"/>
        <v>0.4720496894</v>
      </c>
      <c r="J11" s="60">
        <f t="shared" si="2"/>
        <v>0.8144104803</v>
      </c>
      <c r="K11" s="60">
        <f t="shared" si="3"/>
        <v>0.6432300849</v>
      </c>
      <c r="L11" s="22">
        <v>0.687</v>
      </c>
      <c r="M11" s="22">
        <v>0.288</v>
      </c>
      <c r="N11" s="22">
        <v>0.797</v>
      </c>
      <c r="O11" s="22">
        <v>0.833</v>
      </c>
      <c r="P11" s="22">
        <v>76.0</v>
      </c>
      <c r="Q11" s="22">
        <v>95.0</v>
      </c>
      <c r="R11" s="22">
        <v>75.0</v>
      </c>
      <c r="S11" s="22">
        <v>373.0</v>
      </c>
    </row>
    <row r="12">
      <c r="A12" s="23"/>
      <c r="B12" s="23"/>
      <c r="C12" s="23"/>
      <c r="D12" s="70"/>
      <c r="E12" s="22">
        <v>0.647</v>
      </c>
      <c r="F12" s="22">
        <v>0.722</v>
      </c>
      <c r="G12" s="22">
        <v>0.73</v>
      </c>
      <c r="H12" s="22">
        <v>0.726</v>
      </c>
      <c r="I12" s="60">
        <f t="shared" si="1"/>
        <v>0.4861538462</v>
      </c>
      <c r="J12" s="60">
        <f t="shared" si="2"/>
        <v>0.8170865279</v>
      </c>
      <c r="K12" s="60">
        <f t="shared" si="3"/>
        <v>0.651620187</v>
      </c>
      <c r="L12" s="22">
        <v>0.698</v>
      </c>
      <c r="M12" s="22">
        <v>0.305</v>
      </c>
      <c r="N12" s="22">
        <v>0.802</v>
      </c>
      <c r="O12" s="22">
        <v>0.833</v>
      </c>
      <c r="P12" s="22">
        <v>79.0</v>
      </c>
      <c r="Q12" s="22">
        <v>92.0</v>
      </c>
      <c r="R12" s="22">
        <v>75.0</v>
      </c>
      <c r="S12" s="22">
        <v>373.0</v>
      </c>
    </row>
    <row r="13">
      <c r="A13" s="23"/>
      <c r="B13" s="23"/>
      <c r="C13" s="23"/>
      <c r="D13" s="70"/>
      <c r="E13" s="22">
        <v>0.638</v>
      </c>
      <c r="F13" s="22">
        <v>0.714</v>
      </c>
      <c r="G13" s="22">
        <v>0.722</v>
      </c>
      <c r="H13" s="22">
        <v>0.718</v>
      </c>
      <c r="I13" s="60">
        <f t="shared" si="1"/>
        <v>0.472392638</v>
      </c>
      <c r="J13" s="60">
        <f t="shared" si="2"/>
        <v>0.8114035088</v>
      </c>
      <c r="K13" s="60">
        <f t="shared" si="3"/>
        <v>0.6418980734</v>
      </c>
      <c r="L13" s="22">
        <v>0.694</v>
      </c>
      <c r="M13" s="22">
        <v>0.285</v>
      </c>
      <c r="N13" s="22">
        <v>0.797</v>
      </c>
      <c r="O13" s="22">
        <v>0.826</v>
      </c>
      <c r="P13" s="22">
        <v>77.0</v>
      </c>
      <c r="Q13" s="22">
        <v>94.0</v>
      </c>
      <c r="R13" s="22">
        <v>78.0</v>
      </c>
      <c r="S13" s="22">
        <v>370.0</v>
      </c>
    </row>
    <row r="14">
      <c r="A14" s="23"/>
      <c r="B14" s="23"/>
      <c r="C14" s="23"/>
      <c r="D14" s="11"/>
      <c r="E14" s="22">
        <v>0.634</v>
      </c>
      <c r="F14" s="22">
        <v>0.711</v>
      </c>
      <c r="G14" s="22">
        <v>0.719</v>
      </c>
      <c r="H14" s="22">
        <v>0.714</v>
      </c>
      <c r="I14" s="60">
        <f t="shared" si="1"/>
        <v>0.4662576687</v>
      </c>
      <c r="J14" s="60">
        <f t="shared" si="2"/>
        <v>0.8092105263</v>
      </c>
      <c r="K14" s="60">
        <f t="shared" si="3"/>
        <v>0.6377340975</v>
      </c>
      <c r="L14" s="22">
        <v>0.7</v>
      </c>
      <c r="M14" s="22">
        <v>0.277</v>
      </c>
      <c r="N14" s="22">
        <v>0.795</v>
      </c>
      <c r="O14" s="22">
        <v>0.824</v>
      </c>
      <c r="P14" s="22">
        <v>76.0</v>
      </c>
      <c r="Q14" s="22">
        <v>95.0</v>
      </c>
      <c r="R14" s="22">
        <v>79.0</v>
      </c>
      <c r="S14" s="22">
        <v>369.0</v>
      </c>
    </row>
    <row r="15">
      <c r="A15" s="23"/>
      <c r="B15" s="23"/>
      <c r="C15" s="23"/>
      <c r="D15" s="11"/>
      <c r="E15" s="22">
        <v>0.637</v>
      </c>
      <c r="F15" s="22">
        <v>0.712</v>
      </c>
      <c r="G15" s="22">
        <v>0.717</v>
      </c>
      <c r="H15" s="22">
        <v>0.714</v>
      </c>
      <c r="I15" s="60">
        <f t="shared" si="1"/>
        <v>0.4712990937</v>
      </c>
      <c r="J15" s="60">
        <f t="shared" si="2"/>
        <v>0.8070562293</v>
      </c>
      <c r="K15" s="60">
        <f t="shared" si="3"/>
        <v>0.6391776615</v>
      </c>
      <c r="L15" s="22">
        <v>0.701</v>
      </c>
      <c r="M15" s="22">
        <v>0.279</v>
      </c>
      <c r="N15" s="22">
        <v>0.797</v>
      </c>
      <c r="O15" s="22">
        <v>0.817</v>
      </c>
      <c r="P15" s="22">
        <v>78.0</v>
      </c>
      <c r="Q15" s="22">
        <v>93.0</v>
      </c>
      <c r="R15" s="22">
        <v>82.0</v>
      </c>
      <c r="S15" s="22">
        <v>366.0</v>
      </c>
    </row>
    <row r="16">
      <c r="A16" s="23"/>
      <c r="B16" s="23"/>
      <c r="C16" s="23"/>
      <c r="D16" s="11"/>
      <c r="E16" s="22">
        <v>0.643</v>
      </c>
      <c r="F16" s="22">
        <v>0.717</v>
      </c>
      <c r="G16" s="22">
        <v>0.724</v>
      </c>
      <c r="H16" s="22">
        <v>0.72</v>
      </c>
      <c r="I16" s="60">
        <f t="shared" si="1"/>
        <v>0.4802431611</v>
      </c>
      <c r="J16" s="60">
        <f t="shared" si="2"/>
        <v>0.8118811881</v>
      </c>
      <c r="K16" s="60">
        <f t="shared" si="3"/>
        <v>0.6460621746</v>
      </c>
      <c r="L16" s="22">
        <v>0.699</v>
      </c>
      <c r="M16" s="22">
        <v>0.293</v>
      </c>
      <c r="N16" s="22">
        <v>0.8</v>
      </c>
      <c r="O16" s="22">
        <v>0.824</v>
      </c>
      <c r="P16" s="22">
        <v>79.0</v>
      </c>
      <c r="Q16" s="22">
        <v>92.0</v>
      </c>
      <c r="R16" s="22">
        <v>79.0</v>
      </c>
      <c r="S16" s="22">
        <v>369.0</v>
      </c>
    </row>
    <row r="17">
      <c r="A17" s="23"/>
      <c r="B17" s="23"/>
      <c r="C17" s="23"/>
      <c r="D17" s="11"/>
      <c r="E17" s="22">
        <v>0.654</v>
      </c>
      <c r="F17" s="22">
        <v>0.721</v>
      </c>
      <c r="G17" s="22">
        <v>0.714</v>
      </c>
      <c r="H17" s="22">
        <v>0.717</v>
      </c>
      <c r="I17" s="60">
        <f t="shared" si="1"/>
        <v>0.5014084507</v>
      </c>
      <c r="J17" s="60">
        <f t="shared" si="2"/>
        <v>0.7995469989</v>
      </c>
      <c r="K17" s="60">
        <f t="shared" si="3"/>
        <v>0.6504777248</v>
      </c>
      <c r="L17" s="22">
        <v>0.656</v>
      </c>
      <c r="M17" s="22">
        <v>0.302</v>
      </c>
      <c r="N17" s="22">
        <v>0.811</v>
      </c>
      <c r="O17" s="22">
        <v>0.788</v>
      </c>
      <c r="P17" s="22">
        <v>89.0</v>
      </c>
      <c r="Q17" s="22">
        <v>82.0</v>
      </c>
      <c r="R17" s="22">
        <v>95.0</v>
      </c>
      <c r="S17" s="22">
        <v>353.0</v>
      </c>
    </row>
    <row r="18">
      <c r="A18" s="23"/>
      <c r="B18" s="23"/>
      <c r="C18" s="23"/>
      <c r="D18" s="11"/>
      <c r="E18" s="22">
        <v>0.625</v>
      </c>
      <c r="F18" s="22">
        <v>0.705</v>
      </c>
      <c r="G18" s="22">
        <v>0.716</v>
      </c>
      <c r="H18" s="22">
        <v>0.709</v>
      </c>
      <c r="I18" s="60">
        <f t="shared" si="1"/>
        <v>0.45</v>
      </c>
      <c r="J18" s="60">
        <f t="shared" si="2"/>
        <v>0.8082788671</v>
      </c>
      <c r="K18" s="60">
        <f t="shared" si="3"/>
        <v>0.6291394336</v>
      </c>
      <c r="L18" s="22">
        <v>0.679</v>
      </c>
      <c r="M18" s="22">
        <v>0.261</v>
      </c>
      <c r="N18" s="22">
        <v>0.789</v>
      </c>
      <c r="O18" s="22">
        <v>0.828</v>
      </c>
      <c r="P18" s="22">
        <v>72.0</v>
      </c>
      <c r="Q18" s="22">
        <v>99.0</v>
      </c>
      <c r="R18" s="22">
        <v>77.0</v>
      </c>
      <c r="S18" s="22">
        <v>371.0</v>
      </c>
    </row>
    <row r="19">
      <c r="A19" s="23"/>
      <c r="B19" s="23"/>
      <c r="C19" s="23"/>
      <c r="D19" s="11"/>
      <c r="E19" s="22">
        <v>0.655</v>
      </c>
      <c r="F19" s="22">
        <v>0.729</v>
      </c>
      <c r="G19" s="22">
        <v>0.737</v>
      </c>
      <c r="H19" s="22">
        <v>0.732</v>
      </c>
      <c r="I19" s="60">
        <f t="shared" si="1"/>
        <v>0.4984615385</v>
      </c>
      <c r="J19" s="60">
        <f t="shared" si="2"/>
        <v>0.8214676889</v>
      </c>
      <c r="K19" s="60">
        <f t="shared" si="3"/>
        <v>0.6599646137</v>
      </c>
      <c r="L19" s="22">
        <v>0.687</v>
      </c>
      <c r="M19" s="22">
        <v>0.321</v>
      </c>
      <c r="N19" s="22">
        <v>0.806</v>
      </c>
      <c r="O19" s="22">
        <v>0.837</v>
      </c>
      <c r="P19" s="22">
        <v>81.0</v>
      </c>
      <c r="Q19" s="22">
        <v>90.0</v>
      </c>
      <c r="R19" s="22">
        <v>73.0</v>
      </c>
      <c r="S19" s="22">
        <v>375.0</v>
      </c>
    </row>
    <row r="20">
      <c r="A20" s="23"/>
      <c r="B20" s="23"/>
      <c r="C20" s="23"/>
      <c r="D20" s="11"/>
      <c r="E20" s="22">
        <v>0.646</v>
      </c>
      <c r="F20" s="22">
        <v>0.721</v>
      </c>
      <c r="G20" s="22">
        <v>0.729</v>
      </c>
      <c r="H20" s="22">
        <v>0.724</v>
      </c>
      <c r="I20" s="60">
        <f t="shared" si="1"/>
        <v>0.4846625767</v>
      </c>
      <c r="J20" s="60">
        <f t="shared" si="2"/>
        <v>0.8157894737</v>
      </c>
      <c r="K20" s="60">
        <f t="shared" si="3"/>
        <v>0.6502260252</v>
      </c>
      <c r="L20" s="22">
        <v>0.707</v>
      </c>
      <c r="M20" s="22">
        <v>0.302</v>
      </c>
      <c r="N20" s="22">
        <v>0.802</v>
      </c>
      <c r="O20" s="22">
        <v>0.83</v>
      </c>
      <c r="P20" s="22">
        <v>79.0</v>
      </c>
      <c r="Q20" s="22">
        <v>92.0</v>
      </c>
      <c r="R20" s="22">
        <v>76.0</v>
      </c>
      <c r="S20" s="22">
        <v>372.0</v>
      </c>
    </row>
    <row r="21">
      <c r="A21" s="23"/>
      <c r="B21" s="23"/>
      <c r="C21" s="23"/>
      <c r="D21" s="11"/>
      <c r="E21" s="22">
        <v>0.65</v>
      </c>
      <c r="F21" s="22">
        <v>0.723</v>
      </c>
      <c r="G21" s="22">
        <v>0.729</v>
      </c>
      <c r="H21" s="22">
        <v>0.725</v>
      </c>
      <c r="I21" s="60">
        <f t="shared" si="1"/>
        <v>0.4909090909</v>
      </c>
      <c r="J21" s="60">
        <f t="shared" si="2"/>
        <v>0.8149779736</v>
      </c>
      <c r="K21" s="60">
        <f t="shared" si="3"/>
        <v>0.6529435322</v>
      </c>
      <c r="L21" s="22">
        <v>0.665</v>
      </c>
      <c r="M21" s="22">
        <v>0.307</v>
      </c>
      <c r="N21" s="22">
        <v>0.804</v>
      </c>
      <c r="O21" s="22">
        <v>0.826</v>
      </c>
      <c r="P21" s="22">
        <v>81.0</v>
      </c>
      <c r="Q21" s="22">
        <v>90.0</v>
      </c>
      <c r="R21" s="22">
        <v>78.0</v>
      </c>
      <c r="S21" s="22">
        <v>370.0</v>
      </c>
    </row>
    <row r="22">
      <c r="A22" s="23"/>
      <c r="B22" s="23"/>
      <c r="C22" s="23"/>
      <c r="D22" s="11"/>
      <c r="E22" s="22">
        <v>0.644</v>
      </c>
      <c r="F22" s="22">
        <v>0.72</v>
      </c>
      <c r="G22" s="22">
        <v>0.729</v>
      </c>
      <c r="H22" s="22">
        <v>0.724</v>
      </c>
      <c r="I22" s="60">
        <f t="shared" si="1"/>
        <v>0.4814814815</v>
      </c>
      <c r="J22" s="60">
        <f t="shared" si="2"/>
        <v>0.8161925602</v>
      </c>
      <c r="K22" s="60">
        <f t="shared" si="3"/>
        <v>0.6488370208</v>
      </c>
      <c r="L22" s="22">
        <v>0.697</v>
      </c>
      <c r="M22" s="22">
        <v>0.299</v>
      </c>
      <c r="N22" s="22">
        <v>0.8</v>
      </c>
      <c r="O22" s="22">
        <v>0.833</v>
      </c>
      <c r="P22" s="22">
        <v>78.0</v>
      </c>
      <c r="Q22" s="22">
        <v>93.0</v>
      </c>
      <c r="R22" s="22">
        <v>75.0</v>
      </c>
      <c r="S22" s="22">
        <v>373.0</v>
      </c>
    </row>
    <row r="23">
      <c r="A23" s="23"/>
      <c r="B23" s="23"/>
      <c r="C23" s="23"/>
      <c r="D23" s="11"/>
      <c r="E23" s="22">
        <v>0.653</v>
      </c>
      <c r="F23" s="22">
        <v>0.727</v>
      </c>
      <c r="G23" s="22">
        <v>0.733</v>
      </c>
      <c r="H23" s="22">
        <v>0.73</v>
      </c>
      <c r="I23" s="60">
        <f t="shared" si="1"/>
        <v>0.495412844</v>
      </c>
      <c r="J23" s="60">
        <f t="shared" si="2"/>
        <v>0.8188803513</v>
      </c>
      <c r="K23" s="60">
        <f t="shared" si="3"/>
        <v>0.6571465976</v>
      </c>
      <c r="L23" s="22">
        <v>0.688</v>
      </c>
      <c r="M23" s="22">
        <v>0.315</v>
      </c>
      <c r="N23" s="22">
        <v>0.806</v>
      </c>
      <c r="O23" s="22">
        <v>0.833</v>
      </c>
      <c r="P23" s="22">
        <v>81.0</v>
      </c>
      <c r="Q23" s="22">
        <v>90.0</v>
      </c>
      <c r="R23" s="22">
        <v>75.0</v>
      </c>
      <c r="S23" s="22">
        <v>373.0</v>
      </c>
    </row>
    <row r="24">
      <c r="A24" s="23"/>
      <c r="B24" s="23"/>
      <c r="C24" s="23"/>
      <c r="D24" s="11"/>
      <c r="E24" s="22">
        <v>0.65</v>
      </c>
      <c r="F24" s="22">
        <v>0.725</v>
      </c>
      <c r="G24" s="22">
        <v>0.733</v>
      </c>
      <c r="H24" s="22">
        <v>0.728</v>
      </c>
      <c r="I24" s="60">
        <f t="shared" si="1"/>
        <v>0.4891640867</v>
      </c>
      <c r="J24" s="60">
        <f t="shared" si="2"/>
        <v>0.8196721311</v>
      </c>
      <c r="K24" s="60">
        <f t="shared" si="3"/>
        <v>0.6544181089</v>
      </c>
      <c r="L24" s="22">
        <v>0.701</v>
      </c>
      <c r="M24" s="22">
        <v>0.311</v>
      </c>
      <c r="N24" s="22">
        <v>0.803</v>
      </c>
      <c r="O24" s="22">
        <v>0.837</v>
      </c>
      <c r="P24" s="22">
        <v>79.0</v>
      </c>
      <c r="Q24" s="22">
        <v>92.0</v>
      </c>
      <c r="R24" s="22">
        <v>73.0</v>
      </c>
      <c r="S24" s="22">
        <v>375.0</v>
      </c>
    </row>
    <row r="25">
      <c r="A25" s="23"/>
      <c r="B25" s="23"/>
      <c r="C25" s="23"/>
      <c r="D25" s="11"/>
      <c r="E25" s="22">
        <v>0.641</v>
      </c>
      <c r="F25" s="22">
        <v>0.718</v>
      </c>
      <c r="G25" s="22">
        <v>0.727</v>
      </c>
      <c r="H25" s="22">
        <v>0.722</v>
      </c>
      <c r="I25" s="60">
        <f t="shared" si="1"/>
        <v>0.4767801858</v>
      </c>
      <c r="J25" s="60">
        <f t="shared" si="2"/>
        <v>0.8153005464</v>
      </c>
      <c r="K25" s="60">
        <f t="shared" si="3"/>
        <v>0.6460403661</v>
      </c>
      <c r="L25" s="22">
        <v>0.706</v>
      </c>
      <c r="M25" s="22">
        <v>0.294</v>
      </c>
      <c r="N25" s="22">
        <v>0.799</v>
      </c>
      <c r="O25" s="22">
        <v>0.833</v>
      </c>
      <c r="P25" s="22">
        <v>77.0</v>
      </c>
      <c r="Q25" s="22">
        <v>94.0</v>
      </c>
      <c r="R25" s="22">
        <v>75.0</v>
      </c>
      <c r="S25" s="22">
        <v>373.0</v>
      </c>
    </row>
    <row r="26">
      <c r="A26" s="23"/>
      <c r="B26" s="23"/>
      <c r="C26" s="23"/>
      <c r="D26" s="11"/>
      <c r="E26" s="22">
        <v>0.64</v>
      </c>
      <c r="F26" s="22">
        <v>0.717</v>
      </c>
      <c r="G26" s="22">
        <v>0.725</v>
      </c>
      <c r="H26" s="22">
        <v>0.72</v>
      </c>
      <c r="I26" s="60">
        <f t="shared" si="1"/>
        <v>0.475308642</v>
      </c>
      <c r="J26" s="60">
        <f t="shared" si="2"/>
        <v>0.8140043764</v>
      </c>
      <c r="K26" s="60">
        <f t="shared" si="3"/>
        <v>0.6446565092</v>
      </c>
      <c r="L26" s="22">
        <v>0.707</v>
      </c>
      <c r="M26" s="22">
        <v>0.291</v>
      </c>
      <c r="N26" s="22">
        <v>0.798</v>
      </c>
      <c r="O26" s="22">
        <v>0.83</v>
      </c>
      <c r="P26" s="22">
        <v>77.0</v>
      </c>
      <c r="Q26" s="22">
        <v>94.0</v>
      </c>
      <c r="R26" s="22">
        <v>76.0</v>
      </c>
      <c r="S26" s="22">
        <v>372.0</v>
      </c>
    </row>
    <row r="27">
      <c r="A27" s="23"/>
      <c r="B27" s="23"/>
      <c r="C27" s="23"/>
      <c r="D27" s="11"/>
      <c r="E27" s="22">
        <v>0.646</v>
      </c>
      <c r="F27" s="22">
        <v>0.721</v>
      </c>
      <c r="G27" s="22">
        <v>0.729</v>
      </c>
      <c r="H27" s="22">
        <v>0.724</v>
      </c>
      <c r="I27" s="60">
        <f t="shared" si="1"/>
        <v>0.4846625767</v>
      </c>
      <c r="J27" s="60">
        <f t="shared" si="2"/>
        <v>0.8157894737</v>
      </c>
      <c r="K27" s="60">
        <f t="shared" si="3"/>
        <v>0.6502260252</v>
      </c>
      <c r="L27" s="22">
        <v>0.701</v>
      </c>
      <c r="M27" s="22">
        <v>0.302</v>
      </c>
      <c r="N27" s="22">
        <v>0.802</v>
      </c>
      <c r="O27" s="22">
        <v>0.83</v>
      </c>
      <c r="P27" s="22">
        <v>79.0</v>
      </c>
      <c r="Q27" s="22">
        <v>92.0</v>
      </c>
      <c r="R27" s="22">
        <v>76.0</v>
      </c>
      <c r="S27" s="22">
        <v>372.0</v>
      </c>
    </row>
    <row r="28">
      <c r="A28" s="23"/>
      <c r="B28" s="23"/>
      <c r="C28" s="23"/>
      <c r="D28" s="11"/>
      <c r="E28" s="22">
        <v>0.653</v>
      </c>
      <c r="F28" s="22">
        <v>0.727</v>
      </c>
      <c r="G28" s="22">
        <v>0.733</v>
      </c>
      <c r="H28" s="22">
        <v>0.73</v>
      </c>
      <c r="I28" s="60">
        <f t="shared" si="1"/>
        <v>0.495412844</v>
      </c>
      <c r="J28" s="60">
        <f t="shared" si="2"/>
        <v>0.8188803513</v>
      </c>
      <c r="K28" s="60">
        <f t="shared" si="3"/>
        <v>0.6571465976</v>
      </c>
      <c r="L28" s="22">
        <v>0.702</v>
      </c>
      <c r="M28" s="22">
        <v>0.315</v>
      </c>
      <c r="N28" s="22">
        <v>0.806</v>
      </c>
      <c r="O28" s="22">
        <v>0.833</v>
      </c>
      <c r="P28" s="22">
        <v>81.0</v>
      </c>
      <c r="Q28" s="22">
        <v>90.0</v>
      </c>
      <c r="R28" s="22">
        <v>75.0</v>
      </c>
      <c r="S28" s="22">
        <v>373.0</v>
      </c>
    </row>
    <row r="29">
      <c r="A29" s="23"/>
      <c r="B29" s="23"/>
      <c r="C29" s="23"/>
      <c r="D29" s="11"/>
      <c r="E29" s="22">
        <v>0.647</v>
      </c>
      <c r="F29" s="22">
        <v>0.722</v>
      </c>
      <c r="G29" s="22">
        <v>0.73</v>
      </c>
      <c r="H29" s="22">
        <v>0.726</v>
      </c>
      <c r="I29" s="60">
        <f t="shared" si="1"/>
        <v>0.4861538462</v>
      </c>
      <c r="J29" s="60">
        <f t="shared" si="2"/>
        <v>0.8170865279</v>
      </c>
      <c r="K29" s="60">
        <f t="shared" si="3"/>
        <v>0.651620187</v>
      </c>
      <c r="L29" s="22">
        <v>0.687</v>
      </c>
      <c r="M29" s="22">
        <v>0.305</v>
      </c>
      <c r="N29" s="22">
        <v>0.802</v>
      </c>
      <c r="O29" s="22">
        <v>0.833</v>
      </c>
      <c r="P29" s="22">
        <v>79.0</v>
      </c>
      <c r="Q29" s="22">
        <v>92.0</v>
      </c>
      <c r="R29" s="22">
        <v>75.0</v>
      </c>
      <c r="S29" s="22">
        <v>373.0</v>
      </c>
    </row>
    <row r="30">
      <c r="A30" s="23"/>
      <c r="B30" s="23"/>
      <c r="C30" s="23"/>
      <c r="D30" s="11"/>
      <c r="E30" s="22">
        <v>0.639</v>
      </c>
      <c r="F30" s="22">
        <v>0.717</v>
      </c>
      <c r="G30" s="22">
        <v>0.729</v>
      </c>
      <c r="H30" s="22">
        <v>0.722</v>
      </c>
      <c r="I30" s="60">
        <f t="shared" si="1"/>
        <v>0.4716981132</v>
      </c>
      <c r="J30" s="60">
        <f t="shared" si="2"/>
        <v>0.8173913043</v>
      </c>
      <c r="K30" s="60">
        <f t="shared" si="3"/>
        <v>0.6445447088</v>
      </c>
      <c r="L30" s="22">
        <v>0.71</v>
      </c>
      <c r="M30" s="22">
        <v>0.292</v>
      </c>
      <c r="N30" s="22">
        <v>0.797</v>
      </c>
      <c r="O30" s="22">
        <v>0.839</v>
      </c>
      <c r="P30" s="22">
        <v>75.0</v>
      </c>
      <c r="Q30" s="22">
        <v>96.0</v>
      </c>
      <c r="R30" s="22">
        <v>72.0</v>
      </c>
      <c r="S30" s="22">
        <v>376.0</v>
      </c>
    </row>
    <row r="31">
      <c r="A31" s="23"/>
      <c r="B31" s="23"/>
      <c r="C31" s="23"/>
      <c r="D31" s="11"/>
      <c r="E31" s="22">
        <v>0.639</v>
      </c>
      <c r="F31" s="22">
        <v>0.716</v>
      </c>
      <c r="G31" s="22">
        <v>0.724</v>
      </c>
      <c r="H31" s="22">
        <v>0.719</v>
      </c>
      <c r="I31" s="60">
        <f t="shared" si="1"/>
        <v>0.4738461538</v>
      </c>
      <c r="J31" s="60">
        <f t="shared" si="2"/>
        <v>0.8127053669</v>
      </c>
      <c r="K31" s="60">
        <f t="shared" si="3"/>
        <v>0.6432757604</v>
      </c>
      <c r="L31" s="22">
        <v>0.709</v>
      </c>
      <c r="M31" s="22">
        <v>0.288</v>
      </c>
      <c r="N31" s="22">
        <v>0.798</v>
      </c>
      <c r="O31" s="22">
        <v>0.828</v>
      </c>
      <c r="P31" s="22">
        <v>77.0</v>
      </c>
      <c r="Q31" s="22">
        <v>94.0</v>
      </c>
      <c r="R31" s="22">
        <v>77.0</v>
      </c>
      <c r="S31" s="22">
        <v>371.0</v>
      </c>
    </row>
    <row r="32">
      <c r="A32" s="23"/>
      <c r="B32" s="23"/>
      <c r="C32" s="23"/>
      <c r="D32" s="11"/>
      <c r="E32" s="22">
        <v>0.646</v>
      </c>
      <c r="F32" s="22">
        <v>0.717</v>
      </c>
      <c r="G32" s="22">
        <v>0.717</v>
      </c>
      <c r="H32" s="22">
        <v>0.717</v>
      </c>
      <c r="I32" s="60">
        <f t="shared" si="1"/>
        <v>0.4868035191</v>
      </c>
      <c r="J32" s="60">
        <f t="shared" si="2"/>
        <v>0.8049052397</v>
      </c>
      <c r="K32" s="60">
        <f t="shared" si="3"/>
        <v>0.6458543794</v>
      </c>
      <c r="L32" s="22">
        <v>0.662</v>
      </c>
      <c r="M32" s="22">
        <v>0.292</v>
      </c>
      <c r="N32" s="22">
        <v>0.804</v>
      </c>
      <c r="O32" s="22">
        <v>0.806</v>
      </c>
      <c r="P32" s="22">
        <v>83.0</v>
      </c>
      <c r="Q32" s="22">
        <v>88.0</v>
      </c>
      <c r="R32" s="22">
        <v>87.0</v>
      </c>
      <c r="S32" s="22">
        <v>361.0</v>
      </c>
    </row>
    <row r="33">
      <c r="A33" s="23"/>
      <c r="B33" s="23"/>
      <c r="C33" s="23"/>
      <c r="D33" s="11"/>
      <c r="E33" s="22">
        <v>0.64</v>
      </c>
      <c r="F33" s="22">
        <v>0.715</v>
      </c>
      <c r="G33" s="22">
        <v>0.722</v>
      </c>
      <c r="H33" s="22">
        <v>0.718</v>
      </c>
      <c r="I33" s="60">
        <f t="shared" si="1"/>
        <v>0.4756097561</v>
      </c>
      <c r="J33" s="60">
        <f t="shared" si="2"/>
        <v>0.810989011</v>
      </c>
      <c r="K33" s="60">
        <f t="shared" si="3"/>
        <v>0.6432993835</v>
      </c>
      <c r="L33" s="22">
        <v>0.697</v>
      </c>
      <c r="M33" s="22">
        <v>0.288</v>
      </c>
      <c r="N33" s="22">
        <v>0.799</v>
      </c>
      <c r="O33" s="22">
        <v>0.824</v>
      </c>
      <c r="P33" s="22">
        <v>78.0</v>
      </c>
      <c r="Q33" s="22">
        <v>93.0</v>
      </c>
      <c r="R33" s="22">
        <v>79.0</v>
      </c>
      <c r="S33" s="22">
        <v>369.0</v>
      </c>
    </row>
    <row r="34">
      <c r="A34" s="23"/>
      <c r="B34" s="23"/>
      <c r="C34" s="23"/>
      <c r="D34" s="71" t="s">
        <v>23</v>
      </c>
      <c r="E34" s="22">
        <v>0.644</v>
      </c>
      <c r="F34" s="22">
        <v>0.719</v>
      </c>
      <c r="G34" s="22">
        <v>0.726</v>
      </c>
      <c r="H34" s="22">
        <v>0.722</v>
      </c>
      <c r="I34" s="60">
        <f t="shared" ref="I34:K34" si="4">MEDIAN(I4:I33)</f>
        <v>0.4808623213</v>
      </c>
      <c r="J34" s="60">
        <f t="shared" si="4"/>
        <v>0.8149369605</v>
      </c>
      <c r="K34" s="60">
        <f t="shared" si="4"/>
        <v>0.6467550742</v>
      </c>
      <c r="L34" s="22">
        <v>0.692</v>
      </c>
      <c r="M34" s="22">
        <v>0.296</v>
      </c>
      <c r="N34" s="22">
        <v>0.801</v>
      </c>
      <c r="O34" s="22">
        <v>0.827</v>
      </c>
      <c r="P34" s="22">
        <v>78.767</v>
      </c>
      <c r="Q34" s="22">
        <v>92.233</v>
      </c>
      <c r="R34" s="22">
        <v>77.467</v>
      </c>
      <c r="S34" s="22">
        <v>370.533</v>
      </c>
    </row>
    <row r="35">
      <c r="A35" s="72"/>
      <c r="B35" s="72"/>
      <c r="C35" s="72"/>
      <c r="D35" s="73" t="s">
        <v>232</v>
      </c>
      <c r="E35" s="22">
        <v>0.007</v>
      </c>
      <c r="F35" s="22">
        <v>0.005</v>
      </c>
      <c r="G35" s="22">
        <v>0.006</v>
      </c>
      <c r="H35" s="22">
        <v>0.005</v>
      </c>
      <c r="I35" s="60">
        <f t="shared" ref="I35:K35" si="5">_xlfn.STDEV.P(I4:I33)</f>
        <v>0.01055897001</v>
      </c>
      <c r="J35" s="60">
        <f t="shared" si="5"/>
        <v>0.004897156369</v>
      </c>
      <c r="K35" s="60">
        <f t="shared" si="5"/>
        <v>0.006307547436</v>
      </c>
      <c r="L35" s="22">
        <v>0.014</v>
      </c>
      <c r="M35" s="22">
        <v>0.013</v>
      </c>
      <c r="N35" s="22">
        <v>0.004</v>
      </c>
      <c r="O35" s="22">
        <v>0.011</v>
      </c>
      <c r="P35" s="22">
        <v>2.974</v>
      </c>
      <c r="Q35" s="22">
        <v>2.974</v>
      </c>
      <c r="R35" s="22">
        <v>4.738</v>
      </c>
      <c r="S35" s="22">
        <v>4.738</v>
      </c>
    </row>
    <row r="36">
      <c r="A36" s="74"/>
      <c r="B36" s="17"/>
      <c r="C36" s="17"/>
      <c r="D36" s="75"/>
      <c r="E36" s="76"/>
      <c r="F36" s="76"/>
      <c r="G36" s="76"/>
      <c r="H36" s="76"/>
      <c r="I36" s="60"/>
      <c r="J36" s="60"/>
      <c r="K36" s="60"/>
      <c r="L36" s="76"/>
      <c r="M36" s="76"/>
      <c r="N36" s="76"/>
      <c r="O36" s="76"/>
      <c r="P36" s="76"/>
      <c r="Q36" s="76"/>
      <c r="R36" s="18"/>
      <c r="S36" s="76"/>
    </row>
    <row r="37">
      <c r="A37" s="77" t="s">
        <v>233</v>
      </c>
      <c r="B37" s="78" t="s">
        <v>231</v>
      </c>
      <c r="C37" s="78" t="s">
        <v>19</v>
      </c>
      <c r="D37" s="79"/>
      <c r="E37" s="32">
        <v>0.634</v>
      </c>
      <c r="F37" s="32">
        <v>0.712</v>
      </c>
      <c r="G37" s="32">
        <v>0.722</v>
      </c>
      <c r="H37" s="32">
        <v>0.717</v>
      </c>
      <c r="I37" s="60">
        <f t="shared" ref="I37:I66" si="6">(2*P37)/((2*P37) + Q37 + R37)</f>
        <v>0.4658385093</v>
      </c>
      <c r="J37" s="60">
        <f t="shared" ref="J37:J66" si="7">(2*S37)/((2*S37) + Q37 + R37)</f>
        <v>0.8122270742</v>
      </c>
      <c r="K37" s="60">
        <f t="shared" ref="K37:K66" si="8"> MEDIAN(I37,J37)</f>
        <v>0.6390327918</v>
      </c>
      <c r="L37" s="32">
        <v>0.682</v>
      </c>
      <c r="M37" s="32">
        <v>0.28</v>
      </c>
      <c r="N37" s="32">
        <v>0.795</v>
      </c>
      <c r="O37" s="32">
        <v>0.83</v>
      </c>
      <c r="P37" s="32">
        <v>75.0</v>
      </c>
      <c r="Q37" s="32">
        <v>96.0</v>
      </c>
      <c r="R37" s="22">
        <v>76.0</v>
      </c>
      <c r="S37" s="32">
        <v>372.0</v>
      </c>
    </row>
    <row r="38">
      <c r="A38" s="23"/>
      <c r="B38" s="23"/>
      <c r="C38" s="23"/>
      <c r="D38" s="69"/>
      <c r="E38" s="22">
        <v>0.625</v>
      </c>
      <c r="F38" s="32">
        <v>0.703</v>
      </c>
      <c r="G38" s="22">
        <v>0.711</v>
      </c>
      <c r="H38" s="22">
        <v>0.707</v>
      </c>
      <c r="I38" s="60">
        <f t="shared" si="6"/>
        <v>0.4525993884</v>
      </c>
      <c r="J38" s="60">
        <f t="shared" si="7"/>
        <v>0.8035126235</v>
      </c>
      <c r="K38" s="60">
        <f t="shared" si="8"/>
        <v>0.6280560059</v>
      </c>
      <c r="L38" s="22">
        <v>0.677</v>
      </c>
      <c r="M38" s="22">
        <v>0.257</v>
      </c>
      <c r="N38" s="22">
        <v>0.79</v>
      </c>
      <c r="O38" s="32">
        <v>0.817</v>
      </c>
      <c r="P38" s="22">
        <v>74.0</v>
      </c>
      <c r="Q38" s="22">
        <v>97.0</v>
      </c>
      <c r="R38" s="22">
        <v>82.0</v>
      </c>
      <c r="S38" s="22">
        <v>366.0</v>
      </c>
    </row>
    <row r="39">
      <c r="A39" s="23"/>
      <c r="B39" s="23"/>
      <c r="C39" s="23"/>
      <c r="D39" s="70"/>
      <c r="E39" s="22">
        <v>0.639</v>
      </c>
      <c r="F39" s="22">
        <v>0.716</v>
      </c>
      <c r="G39" s="22">
        <v>0.725</v>
      </c>
      <c r="H39" s="22">
        <v>0.72</v>
      </c>
      <c r="I39" s="60">
        <f t="shared" si="6"/>
        <v>0.4720496894</v>
      </c>
      <c r="J39" s="60">
        <f t="shared" si="7"/>
        <v>0.8144104803</v>
      </c>
      <c r="K39" s="60">
        <f t="shared" si="8"/>
        <v>0.6432300849</v>
      </c>
      <c r="L39" s="22">
        <v>0.689</v>
      </c>
      <c r="M39" s="22">
        <v>0.288</v>
      </c>
      <c r="N39" s="22">
        <v>0.797</v>
      </c>
      <c r="O39" s="22">
        <v>0.833</v>
      </c>
      <c r="P39" s="22">
        <v>76.0</v>
      </c>
      <c r="Q39" s="22">
        <v>95.0</v>
      </c>
      <c r="R39" s="22">
        <v>75.0</v>
      </c>
      <c r="S39" s="22">
        <v>373.0</v>
      </c>
    </row>
    <row r="40">
      <c r="A40" s="23"/>
      <c r="B40" s="23"/>
      <c r="C40" s="23"/>
      <c r="D40" s="70"/>
      <c r="E40" s="22">
        <v>0.634</v>
      </c>
      <c r="F40" s="22">
        <v>0.712</v>
      </c>
      <c r="G40" s="22">
        <v>0.722</v>
      </c>
      <c r="H40" s="22">
        <v>0.717</v>
      </c>
      <c r="I40" s="60">
        <f t="shared" si="6"/>
        <v>0.4658385093</v>
      </c>
      <c r="J40" s="60">
        <f t="shared" si="7"/>
        <v>0.8122270742</v>
      </c>
      <c r="K40" s="60">
        <f t="shared" si="8"/>
        <v>0.6390327918</v>
      </c>
      <c r="L40" s="22">
        <v>0.669</v>
      </c>
      <c r="M40" s="22">
        <v>0.28</v>
      </c>
      <c r="N40" s="22">
        <v>0.795</v>
      </c>
      <c r="O40" s="22">
        <v>0.83</v>
      </c>
      <c r="P40" s="22">
        <v>75.0</v>
      </c>
      <c r="Q40" s="22">
        <v>96.0</v>
      </c>
      <c r="R40" s="22">
        <v>76.0</v>
      </c>
      <c r="S40" s="22">
        <v>372.0</v>
      </c>
    </row>
    <row r="41">
      <c r="A41" s="23"/>
      <c r="B41" s="23"/>
      <c r="C41" s="23"/>
      <c r="D41" s="70"/>
      <c r="E41" s="22">
        <v>0.631</v>
      </c>
      <c r="F41" s="22">
        <v>0.711</v>
      </c>
      <c r="G41" s="22">
        <v>0.722</v>
      </c>
      <c r="H41" s="22">
        <v>0.715</v>
      </c>
      <c r="I41" s="60">
        <f t="shared" si="6"/>
        <v>0.4591194969</v>
      </c>
      <c r="J41" s="60">
        <f t="shared" si="7"/>
        <v>0.8130434783</v>
      </c>
      <c r="K41" s="60">
        <f t="shared" si="8"/>
        <v>0.6360814876</v>
      </c>
      <c r="L41" s="22">
        <v>0.69</v>
      </c>
      <c r="M41" s="22">
        <v>0.275</v>
      </c>
      <c r="N41" s="22">
        <v>0.792</v>
      </c>
      <c r="O41" s="22">
        <v>0.835</v>
      </c>
      <c r="P41" s="22">
        <v>73.0</v>
      </c>
      <c r="Q41" s="22">
        <v>98.0</v>
      </c>
      <c r="R41" s="22">
        <v>74.0</v>
      </c>
      <c r="S41" s="22">
        <v>374.0</v>
      </c>
    </row>
    <row r="42">
      <c r="A42" s="23"/>
      <c r="B42" s="23"/>
      <c r="C42" s="23"/>
      <c r="D42" s="70"/>
      <c r="E42" s="22">
        <v>0.63</v>
      </c>
      <c r="F42" s="22">
        <v>0.708</v>
      </c>
      <c r="G42" s="22">
        <v>0.716</v>
      </c>
      <c r="H42" s="22">
        <v>0.711</v>
      </c>
      <c r="I42" s="60">
        <f t="shared" si="6"/>
        <v>0.4601226994</v>
      </c>
      <c r="J42" s="60">
        <f t="shared" si="7"/>
        <v>0.8070175439</v>
      </c>
      <c r="K42" s="60">
        <f t="shared" si="8"/>
        <v>0.6335701216</v>
      </c>
      <c r="L42" s="22">
        <v>0.675</v>
      </c>
      <c r="M42" s="22">
        <v>0.268</v>
      </c>
      <c r="N42" s="22">
        <v>0.793</v>
      </c>
      <c r="O42" s="22">
        <v>0.821</v>
      </c>
      <c r="P42" s="22">
        <v>75.0</v>
      </c>
      <c r="Q42" s="22">
        <v>96.0</v>
      </c>
      <c r="R42" s="22">
        <v>80.0</v>
      </c>
      <c r="S42" s="22">
        <v>368.0</v>
      </c>
    </row>
    <row r="43">
      <c r="A43" s="23"/>
      <c r="B43" s="23"/>
      <c r="C43" s="23"/>
      <c r="D43" s="70"/>
      <c r="E43" s="22">
        <v>0.629</v>
      </c>
      <c r="F43" s="22">
        <v>0.708</v>
      </c>
      <c r="G43" s="22">
        <v>0.719</v>
      </c>
      <c r="H43" s="22">
        <v>0.713</v>
      </c>
      <c r="I43" s="60">
        <f t="shared" si="6"/>
        <v>0.45625</v>
      </c>
      <c r="J43" s="60">
        <f t="shared" si="7"/>
        <v>0.8104575163</v>
      </c>
      <c r="K43" s="60">
        <f t="shared" si="8"/>
        <v>0.6333537582</v>
      </c>
      <c r="L43" s="22">
        <v>0.667</v>
      </c>
      <c r="M43" s="22">
        <v>0.269</v>
      </c>
      <c r="N43" s="22">
        <v>0.791</v>
      </c>
      <c r="O43" s="22">
        <v>0.83</v>
      </c>
      <c r="P43" s="22">
        <v>73.0</v>
      </c>
      <c r="Q43" s="22">
        <v>98.0</v>
      </c>
      <c r="R43" s="22">
        <v>76.0</v>
      </c>
      <c r="S43" s="22">
        <v>372.0</v>
      </c>
    </row>
    <row r="44">
      <c r="A44" s="23"/>
      <c r="B44" s="23"/>
      <c r="C44" s="23"/>
      <c r="D44" s="70"/>
      <c r="E44" s="22">
        <v>0.64</v>
      </c>
      <c r="F44" s="22">
        <v>0.717</v>
      </c>
      <c r="G44" s="22">
        <v>0.727</v>
      </c>
      <c r="H44" s="22">
        <v>0.721</v>
      </c>
      <c r="I44" s="60">
        <f t="shared" si="6"/>
        <v>0.4735202492</v>
      </c>
      <c r="J44" s="60">
        <f t="shared" si="7"/>
        <v>0.8157033806</v>
      </c>
      <c r="K44" s="60">
        <f t="shared" si="8"/>
        <v>0.6446118149</v>
      </c>
      <c r="L44" s="22">
        <v>0.685</v>
      </c>
      <c r="M44" s="22">
        <v>0.291</v>
      </c>
      <c r="N44" s="22">
        <v>0.797</v>
      </c>
      <c r="O44" s="22">
        <v>0.835</v>
      </c>
      <c r="P44" s="22">
        <v>76.0</v>
      </c>
      <c r="Q44" s="22">
        <v>95.0</v>
      </c>
      <c r="R44" s="22">
        <v>74.0</v>
      </c>
      <c r="S44" s="22">
        <v>374.0</v>
      </c>
    </row>
    <row r="45">
      <c r="A45" s="23"/>
      <c r="B45" s="23"/>
      <c r="C45" s="23"/>
      <c r="D45" s="70"/>
      <c r="E45" s="22">
        <v>0.628</v>
      </c>
      <c r="F45" s="22">
        <v>0.707</v>
      </c>
      <c r="G45" s="22">
        <v>0.717</v>
      </c>
      <c r="H45" s="22">
        <v>0.711</v>
      </c>
      <c r="I45" s="60">
        <f t="shared" si="6"/>
        <v>0.4548286604</v>
      </c>
      <c r="J45" s="60">
        <f t="shared" si="7"/>
        <v>0.8091603053</v>
      </c>
      <c r="K45" s="60">
        <f t="shared" si="8"/>
        <v>0.6319944829</v>
      </c>
      <c r="L45" s="22">
        <v>0.672</v>
      </c>
      <c r="M45" s="22">
        <v>0.266</v>
      </c>
      <c r="N45" s="22">
        <v>0.791</v>
      </c>
      <c r="O45" s="22">
        <v>0.828</v>
      </c>
      <c r="P45" s="22">
        <v>73.0</v>
      </c>
      <c r="Q45" s="22">
        <v>98.0</v>
      </c>
      <c r="R45" s="22">
        <v>77.0</v>
      </c>
      <c r="S45" s="22">
        <v>371.0</v>
      </c>
    </row>
    <row r="46">
      <c r="A46" s="23"/>
      <c r="B46" s="23"/>
      <c r="C46" s="23"/>
      <c r="D46" s="70"/>
      <c r="E46" s="22">
        <v>0.637</v>
      </c>
      <c r="F46" s="22">
        <v>0.715</v>
      </c>
      <c r="G46" s="22">
        <v>0.725</v>
      </c>
      <c r="H46" s="22">
        <v>0.719</v>
      </c>
      <c r="I46" s="60">
        <f t="shared" si="6"/>
        <v>0.46875</v>
      </c>
      <c r="J46" s="60">
        <f t="shared" si="7"/>
        <v>0.8148148148</v>
      </c>
      <c r="K46" s="60">
        <f t="shared" si="8"/>
        <v>0.6417824074</v>
      </c>
      <c r="L46" s="22">
        <v>0.682</v>
      </c>
      <c r="M46" s="22">
        <v>0.286</v>
      </c>
      <c r="N46" s="22">
        <v>0.796</v>
      </c>
      <c r="O46" s="22">
        <v>0.835</v>
      </c>
      <c r="P46" s="22">
        <v>75.0</v>
      </c>
      <c r="Q46" s="22">
        <v>96.0</v>
      </c>
      <c r="R46" s="22">
        <v>74.0</v>
      </c>
      <c r="S46" s="22">
        <v>374.0</v>
      </c>
    </row>
    <row r="47">
      <c r="A47" s="23"/>
      <c r="B47" s="23"/>
      <c r="C47" s="23"/>
      <c r="D47" s="11"/>
      <c r="E47" s="22">
        <v>0.643</v>
      </c>
      <c r="F47" s="22">
        <v>0.715</v>
      </c>
      <c r="G47" s="22">
        <v>0.716</v>
      </c>
      <c r="H47" s="22">
        <v>0.715</v>
      </c>
      <c r="I47" s="60">
        <f t="shared" si="6"/>
        <v>0.4823529412</v>
      </c>
      <c r="J47" s="60">
        <f t="shared" si="7"/>
        <v>0.8040089087</v>
      </c>
      <c r="K47" s="60">
        <f t="shared" si="8"/>
        <v>0.6431809249</v>
      </c>
      <c r="L47" s="22">
        <v>0.682</v>
      </c>
      <c r="M47" s="22">
        <v>0.286</v>
      </c>
      <c r="N47" s="22">
        <v>0.802</v>
      </c>
      <c r="O47" s="22">
        <v>0.806</v>
      </c>
      <c r="P47" s="22">
        <v>82.0</v>
      </c>
      <c r="Q47" s="22">
        <v>89.0</v>
      </c>
      <c r="R47" s="22">
        <v>87.0</v>
      </c>
      <c r="S47" s="22">
        <v>361.0</v>
      </c>
    </row>
    <row r="48">
      <c r="A48" s="23"/>
      <c r="B48" s="23"/>
      <c r="C48" s="23"/>
      <c r="D48" s="11"/>
      <c r="E48" s="22">
        <v>0.641</v>
      </c>
      <c r="F48" s="22">
        <v>0.718</v>
      </c>
      <c r="G48" s="22">
        <v>0.729</v>
      </c>
      <c r="H48" s="80">
        <v>0.723</v>
      </c>
      <c r="I48" s="60">
        <f t="shared" si="6"/>
        <v>0.475</v>
      </c>
      <c r="J48" s="60">
        <f t="shared" si="7"/>
        <v>0.8169934641</v>
      </c>
      <c r="K48" s="60">
        <f t="shared" si="8"/>
        <v>0.645996732</v>
      </c>
      <c r="L48" s="22">
        <v>0.698</v>
      </c>
      <c r="M48" s="22">
        <v>0.294</v>
      </c>
      <c r="N48" s="22">
        <v>0.798</v>
      </c>
      <c r="O48" s="22">
        <v>0.837</v>
      </c>
      <c r="P48" s="22">
        <v>76.0</v>
      </c>
      <c r="Q48" s="22">
        <v>95.0</v>
      </c>
      <c r="R48" s="22">
        <v>73.0</v>
      </c>
      <c r="S48" s="22">
        <v>375.0</v>
      </c>
    </row>
    <row r="49">
      <c r="A49" s="23"/>
      <c r="B49" s="23"/>
      <c r="C49" s="23"/>
      <c r="D49" s="11"/>
      <c r="E49" s="22">
        <v>0.637</v>
      </c>
      <c r="F49" s="22">
        <v>0.715</v>
      </c>
      <c r="G49" s="22">
        <v>0.725</v>
      </c>
      <c r="H49" s="22">
        <v>0.719</v>
      </c>
      <c r="I49" s="60">
        <f t="shared" si="6"/>
        <v>0.46875</v>
      </c>
      <c r="J49" s="60">
        <f t="shared" si="7"/>
        <v>0.8148148148</v>
      </c>
      <c r="K49" s="60">
        <f t="shared" si="8"/>
        <v>0.6417824074</v>
      </c>
      <c r="L49" s="22">
        <v>0.68</v>
      </c>
      <c r="M49" s="22">
        <v>0.286</v>
      </c>
      <c r="N49" s="22">
        <v>0.796</v>
      </c>
      <c r="O49" s="22">
        <v>0.835</v>
      </c>
      <c r="P49" s="22">
        <v>75.0</v>
      </c>
      <c r="Q49" s="22">
        <v>96.0</v>
      </c>
      <c r="R49" s="22">
        <v>74.0</v>
      </c>
      <c r="S49" s="22">
        <v>374.0</v>
      </c>
    </row>
    <row r="50">
      <c r="A50" s="23"/>
      <c r="B50" s="23"/>
      <c r="C50" s="23"/>
      <c r="D50" s="11"/>
      <c r="E50" s="22">
        <v>0.634</v>
      </c>
      <c r="F50" s="22">
        <v>0.713</v>
      </c>
      <c r="G50" s="22">
        <v>0.724</v>
      </c>
      <c r="H50" s="22">
        <v>0.717</v>
      </c>
      <c r="I50" s="60">
        <f t="shared" si="6"/>
        <v>0.4639498433</v>
      </c>
      <c r="J50" s="60">
        <f t="shared" si="7"/>
        <v>0.8139281828</v>
      </c>
      <c r="K50" s="60">
        <f t="shared" si="8"/>
        <v>0.638939013</v>
      </c>
      <c r="L50" s="22">
        <v>0.682</v>
      </c>
      <c r="M50" s="22">
        <v>0.281</v>
      </c>
      <c r="N50" s="22">
        <v>0.794</v>
      </c>
      <c r="O50" s="22">
        <v>0.835</v>
      </c>
      <c r="P50" s="22">
        <v>74.0</v>
      </c>
      <c r="Q50" s="22">
        <v>97.0</v>
      </c>
      <c r="R50" s="22">
        <v>74.0</v>
      </c>
      <c r="S50" s="22">
        <v>374.0</v>
      </c>
    </row>
    <row r="51">
      <c r="A51" s="23"/>
      <c r="B51" s="23"/>
      <c r="C51" s="23"/>
      <c r="D51" s="11"/>
      <c r="E51" s="22">
        <v>0.633</v>
      </c>
      <c r="F51" s="22">
        <v>0.712</v>
      </c>
      <c r="G51" s="22">
        <v>0.722</v>
      </c>
      <c r="H51" s="22">
        <v>0.716</v>
      </c>
      <c r="I51" s="60">
        <f t="shared" si="6"/>
        <v>0.4625</v>
      </c>
      <c r="J51" s="60">
        <f t="shared" si="7"/>
        <v>0.8126361656</v>
      </c>
      <c r="K51" s="60">
        <f t="shared" si="8"/>
        <v>0.6375680828</v>
      </c>
      <c r="L51" s="22">
        <v>0.683</v>
      </c>
      <c r="M51" s="22">
        <v>0.278</v>
      </c>
      <c r="N51" s="22">
        <v>0.794</v>
      </c>
      <c r="O51" s="22">
        <v>0.833</v>
      </c>
      <c r="P51" s="22">
        <v>74.0</v>
      </c>
      <c r="Q51" s="22">
        <v>97.0</v>
      </c>
      <c r="R51" s="22">
        <v>75.0</v>
      </c>
      <c r="S51" s="22">
        <v>373.0</v>
      </c>
    </row>
    <row r="52">
      <c r="A52" s="23"/>
      <c r="B52" s="23"/>
      <c r="C52" s="23"/>
      <c r="D52" s="11"/>
      <c r="E52" s="22">
        <v>0.628</v>
      </c>
      <c r="F52" s="22">
        <v>0.708</v>
      </c>
      <c r="G52" s="22">
        <v>0.721</v>
      </c>
      <c r="H52" s="22">
        <v>0.713</v>
      </c>
      <c r="I52" s="60">
        <f t="shared" si="6"/>
        <v>0.4542586751</v>
      </c>
      <c r="J52" s="60">
        <f t="shared" si="7"/>
        <v>0.8121606949</v>
      </c>
      <c r="K52" s="60">
        <f t="shared" si="8"/>
        <v>0.633209685</v>
      </c>
      <c r="L52" s="22">
        <v>0.678</v>
      </c>
      <c r="M52" s="22">
        <v>0.269</v>
      </c>
      <c r="N52" s="22">
        <v>0.791</v>
      </c>
      <c r="O52" s="22">
        <v>0.835</v>
      </c>
      <c r="P52" s="22">
        <v>72.0</v>
      </c>
      <c r="Q52" s="22">
        <v>99.0</v>
      </c>
      <c r="R52" s="22">
        <v>74.0</v>
      </c>
      <c r="S52" s="22">
        <v>374.0</v>
      </c>
    </row>
    <row r="53">
      <c r="A53" s="23"/>
      <c r="B53" s="23"/>
      <c r="C53" s="23"/>
      <c r="D53" s="11"/>
      <c r="E53" s="22">
        <v>0.64</v>
      </c>
      <c r="F53" s="22">
        <v>0.719</v>
      </c>
      <c r="G53" s="22">
        <v>0.73</v>
      </c>
      <c r="H53" s="80">
        <v>0.723</v>
      </c>
      <c r="I53" s="60">
        <f t="shared" si="6"/>
        <v>0.4731861199</v>
      </c>
      <c r="J53" s="60">
        <f t="shared" si="7"/>
        <v>0.8186753529</v>
      </c>
      <c r="K53" s="60">
        <f t="shared" si="8"/>
        <v>0.6459307364</v>
      </c>
      <c r="L53" s="22">
        <v>0.694</v>
      </c>
      <c r="M53" s="22">
        <v>0.295</v>
      </c>
      <c r="N53" s="22">
        <v>0.797</v>
      </c>
      <c r="O53" s="22">
        <v>0.842</v>
      </c>
      <c r="P53" s="22">
        <v>75.0</v>
      </c>
      <c r="Q53" s="22">
        <v>96.0</v>
      </c>
      <c r="R53" s="22">
        <v>71.0</v>
      </c>
      <c r="S53" s="22">
        <v>377.0</v>
      </c>
    </row>
    <row r="54">
      <c r="A54" s="23"/>
      <c r="B54" s="23"/>
      <c r="C54" s="23"/>
      <c r="D54" s="11"/>
      <c r="E54" s="22">
        <v>0.633</v>
      </c>
      <c r="F54" s="22">
        <v>0.713</v>
      </c>
      <c r="G54" s="22">
        <v>0.725</v>
      </c>
      <c r="H54" s="22">
        <v>0.718</v>
      </c>
      <c r="I54" s="60">
        <f t="shared" si="6"/>
        <v>0.4620253165</v>
      </c>
      <c r="J54" s="60">
        <f t="shared" si="7"/>
        <v>0.8156182213</v>
      </c>
      <c r="K54" s="60">
        <f t="shared" si="8"/>
        <v>0.6388217689</v>
      </c>
      <c r="L54" s="22">
        <v>0.676</v>
      </c>
      <c r="M54" s="22">
        <v>0.281</v>
      </c>
      <c r="N54" s="22">
        <v>0.793</v>
      </c>
      <c r="O54" s="22">
        <v>0.839</v>
      </c>
      <c r="P54" s="22">
        <v>73.0</v>
      </c>
      <c r="Q54" s="22">
        <v>98.0</v>
      </c>
      <c r="R54" s="22">
        <v>72.0</v>
      </c>
      <c r="S54" s="22">
        <v>376.0</v>
      </c>
    </row>
    <row r="55">
      <c r="A55" s="23"/>
      <c r="B55" s="23"/>
      <c r="C55" s="23"/>
      <c r="D55" s="11"/>
      <c r="E55" s="22">
        <v>0.632</v>
      </c>
      <c r="F55" s="22">
        <v>0.712</v>
      </c>
      <c r="G55" s="22">
        <v>0.724</v>
      </c>
      <c r="H55" s="22">
        <v>0.717</v>
      </c>
      <c r="I55" s="60">
        <f t="shared" si="6"/>
        <v>0.4605678233</v>
      </c>
      <c r="J55" s="60">
        <f t="shared" si="7"/>
        <v>0.8143322476</v>
      </c>
      <c r="K55" s="60">
        <f t="shared" si="8"/>
        <v>0.6374500355</v>
      </c>
      <c r="L55" s="22">
        <v>0.677</v>
      </c>
      <c r="M55" s="22">
        <v>0.278</v>
      </c>
      <c r="N55" s="22">
        <v>0.793</v>
      </c>
      <c r="O55" s="22">
        <v>0.837</v>
      </c>
      <c r="P55" s="22">
        <v>73.0</v>
      </c>
      <c r="Q55" s="22">
        <v>98.0</v>
      </c>
      <c r="R55" s="22">
        <v>73.0</v>
      </c>
      <c r="S55" s="22">
        <v>375.0</v>
      </c>
    </row>
    <row r="56">
      <c r="A56" s="23"/>
      <c r="B56" s="23"/>
      <c r="C56" s="23"/>
      <c r="D56" s="11"/>
      <c r="E56" s="22">
        <v>0.636</v>
      </c>
      <c r="F56" s="22">
        <v>0.714</v>
      </c>
      <c r="G56" s="22">
        <v>0.724</v>
      </c>
      <c r="H56" s="22">
        <v>0.718</v>
      </c>
      <c r="I56" s="60">
        <f t="shared" si="6"/>
        <v>0.4672897196</v>
      </c>
      <c r="J56" s="60">
        <f t="shared" si="7"/>
        <v>0.8135223555</v>
      </c>
      <c r="K56" s="60">
        <f t="shared" si="8"/>
        <v>0.6404060376</v>
      </c>
      <c r="L56" s="22">
        <v>0.682</v>
      </c>
      <c r="M56" s="22">
        <v>0.283</v>
      </c>
      <c r="N56" s="22">
        <v>0.795</v>
      </c>
      <c r="O56" s="22">
        <v>0.833</v>
      </c>
      <c r="P56" s="22">
        <v>75.0</v>
      </c>
      <c r="Q56" s="22">
        <v>96.0</v>
      </c>
      <c r="R56" s="22">
        <v>75.0</v>
      </c>
      <c r="S56" s="22">
        <v>373.0</v>
      </c>
    </row>
    <row r="57">
      <c r="A57" s="23"/>
      <c r="B57" s="23"/>
      <c r="C57" s="23"/>
      <c r="D57" s="11"/>
      <c r="E57" s="22">
        <v>0.643</v>
      </c>
      <c r="F57" s="22">
        <v>0.719</v>
      </c>
      <c r="G57" s="22">
        <v>0.729</v>
      </c>
      <c r="H57" s="80">
        <v>0.723</v>
      </c>
      <c r="I57" s="60">
        <f t="shared" si="6"/>
        <v>0.4782608696</v>
      </c>
      <c r="J57" s="60">
        <f t="shared" si="7"/>
        <v>0.8165938865</v>
      </c>
      <c r="K57" s="60">
        <f t="shared" si="8"/>
        <v>0.647427378</v>
      </c>
      <c r="L57" s="22">
        <v>0.643</v>
      </c>
      <c r="M57" s="22">
        <v>0.297</v>
      </c>
      <c r="N57" s="22">
        <v>0.799</v>
      </c>
      <c r="O57" s="22">
        <v>0.835</v>
      </c>
      <c r="P57" s="22">
        <v>77.0</v>
      </c>
      <c r="Q57" s="22">
        <v>94.0</v>
      </c>
      <c r="R57" s="22">
        <v>74.0</v>
      </c>
      <c r="S57" s="22">
        <v>374.0</v>
      </c>
    </row>
    <row r="58">
      <c r="A58" s="23"/>
      <c r="B58" s="23"/>
      <c r="C58" s="23"/>
      <c r="D58" s="11"/>
      <c r="E58" s="22">
        <v>0.639</v>
      </c>
      <c r="F58" s="22">
        <v>0.716</v>
      </c>
      <c r="G58" s="22">
        <v>0.725</v>
      </c>
      <c r="H58" s="22">
        <v>0.72</v>
      </c>
      <c r="I58" s="60">
        <f t="shared" si="6"/>
        <v>0.4720496894</v>
      </c>
      <c r="J58" s="60">
        <f t="shared" si="7"/>
        <v>0.8144104803</v>
      </c>
      <c r="K58" s="60">
        <f t="shared" si="8"/>
        <v>0.6432300849</v>
      </c>
      <c r="L58" s="22">
        <v>0.667</v>
      </c>
      <c r="M58" s="22">
        <v>0.288</v>
      </c>
      <c r="N58" s="22">
        <v>0.797</v>
      </c>
      <c r="O58" s="22">
        <v>0.833</v>
      </c>
      <c r="P58" s="22">
        <v>76.0</v>
      </c>
      <c r="Q58" s="22">
        <v>95.0</v>
      </c>
      <c r="R58" s="22">
        <v>75.0</v>
      </c>
      <c r="S58" s="22">
        <v>373.0</v>
      </c>
    </row>
    <row r="59">
      <c r="A59" s="23"/>
      <c r="B59" s="23"/>
      <c r="C59" s="23"/>
      <c r="D59" s="11"/>
      <c r="E59" s="22">
        <v>0.639</v>
      </c>
      <c r="F59" s="22">
        <v>0.716</v>
      </c>
      <c r="G59" s="22">
        <v>0.725</v>
      </c>
      <c r="H59" s="22">
        <v>0.72</v>
      </c>
      <c r="I59" s="60">
        <f t="shared" si="6"/>
        <v>0.4720496894</v>
      </c>
      <c r="J59" s="60">
        <f t="shared" si="7"/>
        <v>0.8144104803</v>
      </c>
      <c r="K59" s="60">
        <f t="shared" si="8"/>
        <v>0.6432300849</v>
      </c>
      <c r="L59" s="22">
        <v>0.679</v>
      </c>
      <c r="M59" s="22">
        <v>0.288</v>
      </c>
      <c r="N59" s="22">
        <v>0.797</v>
      </c>
      <c r="O59" s="22">
        <v>0.833</v>
      </c>
      <c r="P59" s="22">
        <v>76.0</v>
      </c>
      <c r="Q59" s="22">
        <v>95.0</v>
      </c>
      <c r="R59" s="22">
        <v>75.0</v>
      </c>
      <c r="S59" s="22">
        <v>373.0</v>
      </c>
    </row>
    <row r="60">
      <c r="A60" s="23"/>
      <c r="B60" s="23"/>
      <c r="C60" s="23"/>
      <c r="D60" s="11"/>
      <c r="E60" s="22">
        <v>0.639</v>
      </c>
      <c r="F60" s="22">
        <v>0.716</v>
      </c>
      <c r="G60" s="22">
        <v>0.724</v>
      </c>
      <c r="H60" s="22">
        <v>0.719</v>
      </c>
      <c r="I60" s="60">
        <f t="shared" si="6"/>
        <v>0.4738461538</v>
      </c>
      <c r="J60" s="60">
        <f t="shared" si="7"/>
        <v>0.8127053669</v>
      </c>
      <c r="K60" s="60">
        <f t="shared" si="8"/>
        <v>0.6432757604</v>
      </c>
      <c r="L60" s="22">
        <v>0.683</v>
      </c>
      <c r="M60" s="22">
        <v>0.288</v>
      </c>
      <c r="N60" s="22">
        <v>0.798</v>
      </c>
      <c r="O60" s="22">
        <v>0.828</v>
      </c>
      <c r="P60" s="22">
        <v>77.0</v>
      </c>
      <c r="Q60" s="22">
        <v>94.0</v>
      </c>
      <c r="R60" s="22">
        <v>77.0</v>
      </c>
      <c r="S60" s="22">
        <v>371.0</v>
      </c>
    </row>
    <row r="61">
      <c r="A61" s="23"/>
      <c r="B61" s="23"/>
      <c r="C61" s="23"/>
      <c r="D61" s="11"/>
      <c r="E61" s="22">
        <v>0.642</v>
      </c>
      <c r="F61" s="22">
        <v>0.72</v>
      </c>
      <c r="G61" s="22">
        <v>0.73</v>
      </c>
      <c r="H61" s="80">
        <v>0.724</v>
      </c>
      <c r="I61" s="60">
        <f t="shared" si="6"/>
        <v>0.4764890282</v>
      </c>
      <c r="J61" s="60">
        <f t="shared" si="7"/>
        <v>0.8182807399</v>
      </c>
      <c r="K61" s="60">
        <f t="shared" si="8"/>
        <v>0.6473848841</v>
      </c>
      <c r="L61" s="22">
        <v>0.695</v>
      </c>
      <c r="M61" s="22">
        <v>0.297</v>
      </c>
      <c r="N61" s="22">
        <v>0.798</v>
      </c>
      <c r="O61" s="22">
        <v>0.839</v>
      </c>
      <c r="P61" s="22">
        <v>76.0</v>
      </c>
      <c r="Q61" s="22">
        <v>95.0</v>
      </c>
      <c r="R61" s="22">
        <v>72.0</v>
      </c>
      <c r="S61" s="22">
        <v>376.0</v>
      </c>
    </row>
    <row r="62">
      <c r="A62" s="23"/>
      <c r="B62" s="23"/>
      <c r="C62" s="23"/>
      <c r="D62" s="11"/>
      <c r="E62" s="22">
        <v>0.641</v>
      </c>
      <c r="F62" s="22">
        <v>0.718</v>
      </c>
      <c r="G62" s="22">
        <v>0.727</v>
      </c>
      <c r="H62" s="22">
        <v>0.722</v>
      </c>
      <c r="I62" s="60">
        <f t="shared" si="6"/>
        <v>0.4767801858</v>
      </c>
      <c r="J62" s="60">
        <f t="shared" si="7"/>
        <v>0.8153005464</v>
      </c>
      <c r="K62" s="60">
        <f t="shared" si="8"/>
        <v>0.6460403661</v>
      </c>
      <c r="L62" s="22">
        <v>0.677</v>
      </c>
      <c r="M62" s="22">
        <v>0.294</v>
      </c>
      <c r="N62" s="22">
        <v>0.799</v>
      </c>
      <c r="O62" s="22">
        <v>0.833</v>
      </c>
      <c r="P62" s="22">
        <v>77.0</v>
      </c>
      <c r="Q62" s="22">
        <v>94.0</v>
      </c>
      <c r="R62" s="22">
        <v>75.0</v>
      </c>
      <c r="S62" s="22">
        <v>373.0</v>
      </c>
    </row>
    <row r="63">
      <c r="A63" s="23"/>
      <c r="B63" s="23"/>
      <c r="C63" s="23"/>
      <c r="D63" s="11"/>
      <c r="E63" s="22">
        <v>0.633</v>
      </c>
      <c r="F63" s="22">
        <v>0.711</v>
      </c>
      <c r="G63" s="22">
        <v>0.721</v>
      </c>
      <c r="H63" s="22">
        <v>0.715</v>
      </c>
      <c r="I63" s="60">
        <f t="shared" si="6"/>
        <v>0.4643962848</v>
      </c>
      <c r="J63" s="60">
        <f t="shared" si="7"/>
        <v>0.8109289617</v>
      </c>
      <c r="K63" s="60">
        <f t="shared" si="8"/>
        <v>0.6376626233</v>
      </c>
      <c r="L63" s="22">
        <v>0.675</v>
      </c>
      <c r="M63" s="22">
        <v>0.277</v>
      </c>
      <c r="N63" s="22">
        <v>0.794</v>
      </c>
      <c r="O63" s="22">
        <v>0.828</v>
      </c>
      <c r="P63" s="22">
        <v>75.0</v>
      </c>
      <c r="Q63" s="22">
        <v>96.0</v>
      </c>
      <c r="R63" s="22">
        <v>77.0</v>
      </c>
      <c r="S63" s="22">
        <v>371.0</v>
      </c>
    </row>
    <row r="64">
      <c r="A64" s="23"/>
      <c r="B64" s="23"/>
      <c r="C64" s="23"/>
      <c r="D64" s="11"/>
      <c r="E64" s="22">
        <v>0.637</v>
      </c>
      <c r="F64" s="22">
        <v>0.715</v>
      </c>
      <c r="G64" s="22">
        <v>0.724</v>
      </c>
      <c r="H64" s="22">
        <v>0.718</v>
      </c>
      <c r="I64" s="60">
        <f t="shared" si="6"/>
        <v>0.4705882353</v>
      </c>
      <c r="J64" s="60">
        <f t="shared" si="7"/>
        <v>0.8131147541</v>
      </c>
      <c r="K64" s="60">
        <f t="shared" si="8"/>
        <v>0.6418514947</v>
      </c>
      <c r="L64" s="22">
        <v>0.675</v>
      </c>
      <c r="M64" s="22">
        <v>0.285</v>
      </c>
      <c r="N64" s="22">
        <v>0.797</v>
      </c>
      <c r="O64" s="22">
        <v>0.83</v>
      </c>
      <c r="P64" s="22">
        <v>76.0</v>
      </c>
      <c r="Q64" s="22">
        <v>95.0</v>
      </c>
      <c r="R64" s="22">
        <v>76.0</v>
      </c>
      <c r="S64" s="22">
        <v>372.0</v>
      </c>
    </row>
    <row r="65">
      <c r="A65" s="23"/>
      <c r="B65" s="23"/>
      <c r="C65" s="23"/>
      <c r="D65" s="11"/>
      <c r="E65" s="22">
        <v>0.637</v>
      </c>
      <c r="F65" s="22">
        <v>0.715</v>
      </c>
      <c r="G65" s="22">
        <v>0.724</v>
      </c>
      <c r="H65" s="22">
        <v>0.718</v>
      </c>
      <c r="I65" s="60">
        <f t="shared" si="6"/>
        <v>0.4705882353</v>
      </c>
      <c r="J65" s="60">
        <f t="shared" si="7"/>
        <v>0.8131147541</v>
      </c>
      <c r="K65" s="60">
        <f t="shared" si="8"/>
        <v>0.6418514947</v>
      </c>
      <c r="L65" s="22">
        <v>0.683</v>
      </c>
      <c r="M65" s="22">
        <v>0.285</v>
      </c>
      <c r="N65" s="22">
        <v>0.797</v>
      </c>
      <c r="O65" s="22">
        <v>0.83</v>
      </c>
      <c r="P65" s="22">
        <v>76.0</v>
      </c>
      <c r="Q65" s="22">
        <v>95.0</v>
      </c>
      <c r="R65" s="22">
        <v>76.0</v>
      </c>
      <c r="S65" s="22">
        <v>372.0</v>
      </c>
    </row>
    <row r="66">
      <c r="A66" s="23"/>
      <c r="B66" s="23"/>
      <c r="C66" s="23"/>
      <c r="D66" s="11"/>
      <c r="E66" s="22">
        <v>0.634</v>
      </c>
      <c r="F66" s="22">
        <v>0.708</v>
      </c>
      <c r="G66" s="22">
        <v>0.711</v>
      </c>
      <c r="H66" s="22">
        <v>0.709</v>
      </c>
      <c r="I66" s="60">
        <f t="shared" si="6"/>
        <v>0.46884273</v>
      </c>
      <c r="J66" s="60">
        <f t="shared" si="7"/>
        <v>0.8013318535</v>
      </c>
      <c r="K66" s="60">
        <f t="shared" si="8"/>
        <v>0.6350872917</v>
      </c>
      <c r="L66" s="22">
        <v>0.631</v>
      </c>
      <c r="M66" s="22">
        <v>0.27</v>
      </c>
      <c r="N66" s="22">
        <v>0.797</v>
      </c>
      <c r="O66" s="22">
        <v>0.806</v>
      </c>
      <c r="P66" s="22">
        <v>79.0</v>
      </c>
      <c r="Q66" s="22">
        <v>92.0</v>
      </c>
      <c r="R66" s="22">
        <v>87.0</v>
      </c>
      <c r="S66" s="22">
        <v>361.0</v>
      </c>
    </row>
    <row r="67">
      <c r="A67" s="23"/>
      <c r="B67" s="23"/>
      <c r="C67" s="23"/>
      <c r="D67" s="71" t="s">
        <v>23</v>
      </c>
      <c r="E67" s="22">
        <v>0.636</v>
      </c>
      <c r="F67" s="22">
        <v>0.713</v>
      </c>
      <c r="G67" s="22">
        <v>0.723</v>
      </c>
      <c r="H67" s="22">
        <v>0.717</v>
      </c>
      <c r="I67" s="60">
        <f t="shared" ref="I67:K67" si="9">MEDIAN(I37:I66)</f>
        <v>0.46875</v>
      </c>
      <c r="J67" s="60">
        <f t="shared" si="9"/>
        <v>0.8133185548</v>
      </c>
      <c r="K67" s="60">
        <f t="shared" si="9"/>
        <v>0.6410942225</v>
      </c>
      <c r="L67" s="22">
        <v>0.678</v>
      </c>
      <c r="M67" s="22">
        <v>0.282</v>
      </c>
      <c r="N67" s="22">
        <v>0.795</v>
      </c>
      <c r="O67" s="22">
        <v>0.831</v>
      </c>
      <c r="P67" s="22">
        <v>75.3</v>
      </c>
      <c r="Q67" s="22">
        <v>95.7</v>
      </c>
      <c r="R67" s="22">
        <v>75.867</v>
      </c>
      <c r="S67" s="22">
        <v>372.133</v>
      </c>
    </row>
    <row r="68">
      <c r="A68" s="72"/>
      <c r="B68" s="72"/>
      <c r="C68" s="72"/>
      <c r="D68" s="73" t="s">
        <v>232</v>
      </c>
      <c r="E68" s="22">
        <v>0.005</v>
      </c>
      <c r="F68" s="22">
        <v>0.004</v>
      </c>
      <c r="G68" s="22">
        <v>0.005</v>
      </c>
      <c r="H68" s="22">
        <v>0.004</v>
      </c>
      <c r="I68" s="60">
        <f t="shared" ref="I68:K68" si="10">_xlfn.STDEV.P(I37:I66)</f>
        <v>0.007515153196</v>
      </c>
      <c r="J68" s="60">
        <f t="shared" si="10"/>
        <v>0.004043940032</v>
      </c>
      <c r="K68" s="60">
        <f t="shared" si="10"/>
        <v>0.004844939882</v>
      </c>
      <c r="L68" s="22">
        <v>0.013</v>
      </c>
      <c r="M68" s="22">
        <v>0.01</v>
      </c>
      <c r="N68" s="22">
        <v>0.003</v>
      </c>
      <c r="O68" s="22">
        <v>0.008</v>
      </c>
      <c r="P68" s="22">
        <v>1.952</v>
      </c>
      <c r="Q68" s="22">
        <v>1.952</v>
      </c>
      <c r="R68" s="22">
        <v>3.676</v>
      </c>
      <c r="S68" s="22">
        <v>3.676</v>
      </c>
    </row>
    <row r="69">
      <c r="I69" s="60"/>
      <c r="J69" s="60"/>
      <c r="K69" s="60"/>
    </row>
    <row r="70">
      <c r="A70" s="77" t="s">
        <v>234</v>
      </c>
      <c r="B70" s="78" t="s">
        <v>231</v>
      </c>
      <c r="C70" s="78" t="s">
        <v>48</v>
      </c>
      <c r="D70" s="79"/>
      <c r="E70" s="32">
        <v>0.578</v>
      </c>
      <c r="F70" s="32">
        <v>0.697</v>
      </c>
      <c r="G70" s="32">
        <v>0.732</v>
      </c>
      <c r="H70" s="32">
        <v>0.692</v>
      </c>
      <c r="I70" s="60">
        <f t="shared" ref="I70:I99" si="11">(2*P70)/((2*P70) + Q70 + R70)</f>
        <v>0.325203252</v>
      </c>
      <c r="J70" s="60">
        <f t="shared" ref="J70:J99" si="12">(2*S70)/((2*S70) + Q70 + R70)</f>
        <v>0.8326612903</v>
      </c>
      <c r="K70" s="60">
        <f t="shared" ref="K70:K99" si="13"> MEDIAN(I70,J70)</f>
        <v>0.5789322712</v>
      </c>
      <c r="L70" s="32">
        <v>0.741</v>
      </c>
      <c r="M70" s="32">
        <v>0.213</v>
      </c>
      <c r="N70" s="32">
        <v>0.759</v>
      </c>
      <c r="O70" s="32">
        <v>0.922</v>
      </c>
      <c r="P70" s="32">
        <v>40.0</v>
      </c>
      <c r="Q70" s="32">
        <v>131.0</v>
      </c>
      <c r="R70" s="22">
        <v>35.0</v>
      </c>
      <c r="S70" s="32">
        <v>413.0</v>
      </c>
    </row>
    <row r="71">
      <c r="A71" s="23"/>
      <c r="B71" s="23"/>
      <c r="C71" s="23"/>
      <c r="D71" s="69"/>
      <c r="E71" s="22">
        <v>0.582</v>
      </c>
      <c r="F71" s="32">
        <v>0.714</v>
      </c>
      <c r="G71" s="22">
        <v>0.743</v>
      </c>
      <c r="H71" s="22">
        <v>0.698</v>
      </c>
      <c r="I71" s="60">
        <f t="shared" si="11"/>
        <v>0.3234042553</v>
      </c>
      <c r="J71" s="60">
        <f t="shared" si="12"/>
        <v>0.8414755733</v>
      </c>
      <c r="K71" s="60">
        <f t="shared" si="13"/>
        <v>0.5824399143</v>
      </c>
      <c r="L71" s="22">
        <v>0.734</v>
      </c>
      <c r="M71" s="22">
        <v>0.241</v>
      </c>
      <c r="N71" s="22">
        <v>0.76</v>
      </c>
      <c r="O71" s="32">
        <v>0.942</v>
      </c>
      <c r="P71" s="22">
        <v>38.0</v>
      </c>
      <c r="Q71" s="22">
        <v>133.0</v>
      </c>
      <c r="R71" s="22">
        <v>26.0</v>
      </c>
      <c r="S71" s="22">
        <v>422.0</v>
      </c>
    </row>
    <row r="72">
      <c r="A72" s="23"/>
      <c r="B72" s="23"/>
      <c r="C72" s="23"/>
      <c r="D72" s="70"/>
      <c r="E72" s="22">
        <v>0.611</v>
      </c>
      <c r="F72" s="22">
        <v>0.717</v>
      </c>
      <c r="G72" s="22">
        <v>0.743</v>
      </c>
      <c r="H72" s="22">
        <v>0.717</v>
      </c>
      <c r="I72" s="60">
        <f t="shared" si="11"/>
        <v>0.404494382</v>
      </c>
      <c r="J72" s="60">
        <f t="shared" si="12"/>
        <v>0.8362512873</v>
      </c>
      <c r="K72" s="60">
        <f t="shared" si="13"/>
        <v>0.6203728347</v>
      </c>
      <c r="L72" s="22">
        <v>0.705</v>
      </c>
      <c r="M72" s="22">
        <v>0.274</v>
      </c>
      <c r="N72" s="22">
        <v>0.776</v>
      </c>
      <c r="O72" s="22">
        <v>0.906</v>
      </c>
      <c r="P72" s="22">
        <v>54.0</v>
      </c>
      <c r="Q72" s="22">
        <v>117.0</v>
      </c>
      <c r="R72" s="22">
        <v>42.0</v>
      </c>
      <c r="S72" s="22">
        <v>406.0</v>
      </c>
    </row>
    <row r="73">
      <c r="A73" s="23"/>
      <c r="B73" s="23"/>
      <c r="C73" s="23"/>
      <c r="D73" s="70"/>
      <c r="E73" s="22">
        <v>0.621</v>
      </c>
      <c r="F73" s="22">
        <v>0.718</v>
      </c>
      <c r="G73" s="22">
        <v>0.742</v>
      </c>
      <c r="H73" s="22">
        <v>0.721</v>
      </c>
      <c r="I73" s="60">
        <f t="shared" si="11"/>
        <v>0.4285714286</v>
      </c>
      <c r="J73" s="60">
        <f t="shared" si="12"/>
        <v>0.8329853862</v>
      </c>
      <c r="K73" s="60">
        <f t="shared" si="13"/>
        <v>0.6307784074</v>
      </c>
      <c r="L73" s="22">
        <v>0.721</v>
      </c>
      <c r="M73" s="22">
        <v>0.284</v>
      </c>
      <c r="N73" s="22">
        <v>0.782</v>
      </c>
      <c r="O73" s="22">
        <v>0.891</v>
      </c>
      <c r="P73" s="22">
        <v>60.0</v>
      </c>
      <c r="Q73" s="22">
        <v>111.0</v>
      </c>
      <c r="R73" s="22">
        <v>49.0</v>
      </c>
      <c r="S73" s="22">
        <v>399.0</v>
      </c>
    </row>
    <row r="74">
      <c r="A74" s="23"/>
      <c r="B74" s="23"/>
      <c r="C74" s="23"/>
      <c r="D74" s="70"/>
      <c r="E74" s="22">
        <v>0.618</v>
      </c>
      <c r="F74" s="22">
        <v>0.729</v>
      </c>
      <c r="G74" s="22">
        <v>0.753</v>
      </c>
      <c r="H74" s="22">
        <v>0.725</v>
      </c>
      <c r="I74" s="60">
        <f t="shared" si="11"/>
        <v>0.4137931034</v>
      </c>
      <c r="J74" s="60">
        <f t="shared" si="12"/>
        <v>0.8433981576</v>
      </c>
      <c r="K74" s="60">
        <f t="shared" si="13"/>
        <v>0.6285956305</v>
      </c>
      <c r="L74" s="22">
        <v>0.741</v>
      </c>
      <c r="M74" s="22">
        <v>0.299</v>
      </c>
      <c r="N74" s="22">
        <v>0.779</v>
      </c>
      <c r="O74" s="22">
        <v>0.92</v>
      </c>
      <c r="P74" s="22">
        <v>54.0</v>
      </c>
      <c r="Q74" s="22">
        <v>117.0</v>
      </c>
      <c r="R74" s="22">
        <v>36.0</v>
      </c>
      <c r="S74" s="22">
        <v>412.0</v>
      </c>
    </row>
    <row r="75">
      <c r="A75" s="23"/>
      <c r="B75" s="23"/>
      <c r="C75" s="23"/>
      <c r="D75" s="70"/>
      <c r="E75" s="22">
        <v>0.575</v>
      </c>
      <c r="F75" s="22">
        <v>0.723</v>
      </c>
      <c r="G75" s="22">
        <v>0.746</v>
      </c>
      <c r="H75" s="22">
        <v>0.694</v>
      </c>
      <c r="I75" s="60">
        <f t="shared" si="11"/>
        <v>0.2959641256</v>
      </c>
      <c r="J75" s="60">
        <f t="shared" si="12"/>
        <v>0.845320197</v>
      </c>
      <c r="K75" s="60">
        <f t="shared" si="13"/>
        <v>0.5706421613</v>
      </c>
      <c r="L75" s="22">
        <v>0.727</v>
      </c>
      <c r="M75" s="22">
        <v>0.243</v>
      </c>
      <c r="N75" s="22">
        <v>0.757</v>
      </c>
      <c r="O75" s="22">
        <v>0.958</v>
      </c>
      <c r="P75" s="22">
        <v>33.0</v>
      </c>
      <c r="Q75" s="22">
        <v>138.0</v>
      </c>
      <c r="R75" s="22">
        <v>19.0</v>
      </c>
      <c r="S75" s="22">
        <v>429.0</v>
      </c>
    </row>
    <row r="76">
      <c r="A76" s="23"/>
      <c r="B76" s="23"/>
      <c r="C76" s="23"/>
      <c r="D76" s="70"/>
      <c r="E76" s="22">
        <v>0.56</v>
      </c>
      <c r="F76" s="22">
        <v>0.652</v>
      </c>
      <c r="G76" s="22">
        <v>0.672</v>
      </c>
      <c r="H76" s="22">
        <v>0.66</v>
      </c>
      <c r="I76" s="60">
        <f t="shared" si="11"/>
        <v>0.3430420712</v>
      </c>
      <c r="J76" s="60">
        <f t="shared" si="12"/>
        <v>0.7814854682</v>
      </c>
      <c r="K76" s="60">
        <f t="shared" si="13"/>
        <v>0.5622637697</v>
      </c>
      <c r="L76" s="22">
        <v>0.561</v>
      </c>
      <c r="M76" s="22">
        <v>0.129</v>
      </c>
      <c r="N76" s="22">
        <v>0.755</v>
      </c>
      <c r="O76" s="22">
        <v>0.81</v>
      </c>
      <c r="P76" s="22">
        <v>53.0</v>
      </c>
      <c r="Q76" s="22">
        <v>118.0</v>
      </c>
      <c r="R76" s="22">
        <v>85.0</v>
      </c>
      <c r="S76" s="22">
        <v>363.0</v>
      </c>
    </row>
    <row r="77">
      <c r="A77" s="23"/>
      <c r="B77" s="23"/>
      <c r="C77" s="23"/>
      <c r="D77" s="70"/>
      <c r="E77" s="22">
        <v>0.626</v>
      </c>
      <c r="F77" s="22">
        <v>0.751</v>
      </c>
      <c r="G77" s="22">
        <v>0.767</v>
      </c>
      <c r="H77" s="22">
        <v>0.735</v>
      </c>
      <c r="I77" s="60">
        <f t="shared" si="11"/>
        <v>0.424</v>
      </c>
      <c r="J77" s="60">
        <f t="shared" si="12"/>
        <v>0.8542510121</v>
      </c>
      <c r="K77" s="60">
        <f t="shared" si="13"/>
        <v>0.6391255061</v>
      </c>
      <c r="L77" s="22">
        <v>0.753</v>
      </c>
      <c r="M77" s="22">
        <v>0.338</v>
      </c>
      <c r="N77" s="22">
        <v>0.781</v>
      </c>
      <c r="O77" s="22">
        <v>0.942</v>
      </c>
      <c r="P77" s="22">
        <v>53.0</v>
      </c>
      <c r="Q77" s="22">
        <v>118.0</v>
      </c>
      <c r="R77" s="22">
        <v>26.0</v>
      </c>
      <c r="S77" s="22">
        <v>422.0</v>
      </c>
    </row>
    <row r="78">
      <c r="A78" s="23"/>
      <c r="B78" s="23"/>
      <c r="C78" s="23"/>
      <c r="D78" s="70"/>
      <c r="E78" s="22">
        <v>0.584</v>
      </c>
      <c r="F78" s="22">
        <v>0.731</v>
      </c>
      <c r="G78" s="22">
        <v>0.751</v>
      </c>
      <c r="H78" s="22">
        <v>0.702</v>
      </c>
      <c r="I78" s="60">
        <f t="shared" si="11"/>
        <v>0.3185840708</v>
      </c>
      <c r="J78" s="60">
        <f t="shared" si="12"/>
        <v>0.847826087</v>
      </c>
      <c r="K78" s="60">
        <f t="shared" si="13"/>
        <v>0.5832050789</v>
      </c>
      <c r="L78" s="22">
        <v>0.76</v>
      </c>
      <c r="M78" s="22">
        <v>0.264</v>
      </c>
      <c r="N78" s="22">
        <v>0.761</v>
      </c>
      <c r="O78" s="22">
        <v>0.958</v>
      </c>
      <c r="P78" s="22">
        <v>36.0</v>
      </c>
      <c r="Q78" s="22">
        <v>135.0</v>
      </c>
      <c r="R78" s="22">
        <v>19.0</v>
      </c>
      <c r="S78" s="22">
        <v>429.0</v>
      </c>
    </row>
    <row r="79">
      <c r="A79" s="23"/>
      <c r="B79" s="23"/>
      <c r="C79" s="23"/>
      <c r="D79" s="70"/>
      <c r="E79" s="22">
        <v>0.621</v>
      </c>
      <c r="F79" s="22">
        <v>0.73</v>
      </c>
      <c r="G79" s="22">
        <v>0.753</v>
      </c>
      <c r="H79" s="22">
        <v>0.727</v>
      </c>
      <c r="I79" s="60">
        <f t="shared" si="11"/>
        <v>0.4226415094</v>
      </c>
      <c r="J79" s="60">
        <f t="shared" si="12"/>
        <v>0.8427543679</v>
      </c>
      <c r="K79" s="60">
        <f t="shared" si="13"/>
        <v>0.6326979387</v>
      </c>
      <c r="L79" s="22">
        <v>0.736</v>
      </c>
      <c r="M79" s="22">
        <v>0.302</v>
      </c>
      <c r="N79" s="22">
        <v>0.781</v>
      </c>
      <c r="O79" s="22">
        <v>0.915</v>
      </c>
      <c r="P79" s="22">
        <v>56.0</v>
      </c>
      <c r="Q79" s="22">
        <v>115.0</v>
      </c>
      <c r="R79" s="22">
        <v>38.0</v>
      </c>
      <c r="S79" s="22">
        <v>410.0</v>
      </c>
    </row>
    <row r="80">
      <c r="A80" s="23"/>
      <c r="B80" s="23"/>
      <c r="C80" s="23"/>
      <c r="D80" s="11"/>
      <c r="E80" s="22">
        <v>0.62</v>
      </c>
      <c r="F80" s="22">
        <v>0.717</v>
      </c>
      <c r="G80" s="22">
        <v>0.74</v>
      </c>
      <c r="H80" s="22">
        <v>0.72</v>
      </c>
      <c r="I80" s="60">
        <f t="shared" si="11"/>
        <v>0.4270462633</v>
      </c>
      <c r="J80" s="60">
        <f t="shared" si="12"/>
        <v>0.8317659352</v>
      </c>
      <c r="K80" s="60">
        <f t="shared" si="13"/>
        <v>0.6294060993</v>
      </c>
      <c r="L80" s="22">
        <v>0.734</v>
      </c>
      <c r="M80" s="22">
        <v>0.28</v>
      </c>
      <c r="N80" s="22">
        <v>0.782</v>
      </c>
      <c r="O80" s="22">
        <v>0.888</v>
      </c>
      <c r="P80" s="22">
        <v>60.0</v>
      </c>
      <c r="Q80" s="22">
        <v>111.0</v>
      </c>
      <c r="R80" s="22">
        <v>50.0</v>
      </c>
      <c r="S80" s="22">
        <v>398.0</v>
      </c>
    </row>
    <row r="81">
      <c r="A81" s="23"/>
      <c r="B81" s="23"/>
      <c r="C81" s="23"/>
      <c r="D81" s="11"/>
      <c r="E81" s="22">
        <v>0.618</v>
      </c>
      <c r="F81" s="22">
        <v>0.719</v>
      </c>
      <c r="G81" s="22">
        <v>0.743</v>
      </c>
      <c r="H81" s="22">
        <v>0.721</v>
      </c>
      <c r="I81" s="60">
        <f t="shared" si="11"/>
        <v>0.4218181818</v>
      </c>
      <c r="J81" s="60">
        <f t="shared" si="12"/>
        <v>0.8348909657</v>
      </c>
      <c r="K81" s="60">
        <f t="shared" si="13"/>
        <v>0.6283545738</v>
      </c>
      <c r="L81" s="22">
        <v>0.732</v>
      </c>
      <c r="M81" s="22">
        <v>0.283</v>
      </c>
      <c r="N81" s="22">
        <v>0.781</v>
      </c>
      <c r="O81" s="22">
        <v>0.897</v>
      </c>
      <c r="P81" s="22">
        <v>58.0</v>
      </c>
      <c r="Q81" s="22">
        <v>113.0</v>
      </c>
      <c r="R81" s="22">
        <v>46.0</v>
      </c>
      <c r="S81" s="22">
        <v>402.0</v>
      </c>
    </row>
    <row r="82">
      <c r="A82" s="23"/>
      <c r="B82" s="23"/>
      <c r="C82" s="23"/>
      <c r="D82" s="11"/>
      <c r="E82" s="22">
        <v>0.606</v>
      </c>
      <c r="F82" s="22">
        <v>0.72</v>
      </c>
      <c r="G82" s="22">
        <v>0.746</v>
      </c>
      <c r="H82" s="22">
        <v>0.715</v>
      </c>
      <c r="I82" s="60">
        <f t="shared" si="11"/>
        <v>0.3891050584</v>
      </c>
      <c r="J82" s="60">
        <f t="shared" si="12"/>
        <v>0.8399592253</v>
      </c>
      <c r="K82" s="60">
        <f t="shared" si="13"/>
        <v>0.6145321418</v>
      </c>
      <c r="L82" s="22">
        <v>0.72</v>
      </c>
      <c r="M82" s="22">
        <v>0.274</v>
      </c>
      <c r="N82" s="22">
        <v>0.773</v>
      </c>
      <c r="O82" s="22">
        <v>0.92</v>
      </c>
      <c r="P82" s="22">
        <v>50.0</v>
      </c>
      <c r="Q82" s="22">
        <v>121.0</v>
      </c>
      <c r="R82" s="22">
        <v>36.0</v>
      </c>
      <c r="S82" s="22">
        <v>412.0</v>
      </c>
    </row>
    <row r="83">
      <c r="A83" s="23"/>
      <c r="B83" s="23"/>
      <c r="C83" s="23"/>
      <c r="D83" s="11"/>
      <c r="E83" s="22">
        <v>0.584</v>
      </c>
      <c r="F83" s="22">
        <v>0.731</v>
      </c>
      <c r="G83" s="22">
        <v>0.751</v>
      </c>
      <c r="H83" s="22">
        <v>0.702</v>
      </c>
      <c r="I83" s="60">
        <f t="shared" si="11"/>
        <v>0.3185840708</v>
      </c>
      <c r="J83" s="60">
        <f t="shared" si="12"/>
        <v>0.847826087</v>
      </c>
      <c r="K83" s="60">
        <f t="shared" si="13"/>
        <v>0.5832050789</v>
      </c>
      <c r="L83" s="22">
        <v>0.727</v>
      </c>
      <c r="M83" s="22">
        <v>0.264</v>
      </c>
      <c r="N83" s="22">
        <v>0.761</v>
      </c>
      <c r="O83" s="22">
        <v>0.958</v>
      </c>
      <c r="P83" s="22">
        <v>36.0</v>
      </c>
      <c r="Q83" s="22">
        <v>135.0</v>
      </c>
      <c r="R83" s="22">
        <v>19.0</v>
      </c>
      <c r="S83" s="22">
        <v>429.0</v>
      </c>
    </row>
    <row r="84">
      <c r="A84" s="23"/>
      <c r="B84" s="23"/>
      <c r="C84" s="23"/>
      <c r="D84" s="11"/>
      <c r="E84" s="22">
        <v>0.588</v>
      </c>
      <c r="F84" s="22">
        <v>0.73</v>
      </c>
      <c r="G84" s="22">
        <v>0.751</v>
      </c>
      <c r="H84" s="22">
        <v>0.704</v>
      </c>
      <c r="I84" s="60">
        <f t="shared" si="11"/>
        <v>0.3304347826</v>
      </c>
      <c r="J84" s="60">
        <f t="shared" si="12"/>
        <v>0.8472222222</v>
      </c>
      <c r="K84" s="60">
        <f t="shared" si="13"/>
        <v>0.5888285024</v>
      </c>
      <c r="L84" s="22">
        <v>0.781</v>
      </c>
      <c r="M84" s="22">
        <v>0.267</v>
      </c>
      <c r="N84" s="22">
        <v>0.762</v>
      </c>
      <c r="O84" s="22">
        <v>0.953</v>
      </c>
      <c r="P84" s="22">
        <v>38.0</v>
      </c>
      <c r="Q84" s="22">
        <v>133.0</v>
      </c>
      <c r="R84" s="22">
        <v>21.0</v>
      </c>
      <c r="S84" s="22">
        <v>427.0</v>
      </c>
    </row>
    <row r="85">
      <c r="A85" s="23"/>
      <c r="B85" s="23"/>
      <c r="C85" s="23"/>
      <c r="D85" s="11"/>
      <c r="E85" s="22">
        <v>0.625</v>
      </c>
      <c r="F85" s="22">
        <v>0.708</v>
      </c>
      <c r="G85" s="22">
        <v>0.724</v>
      </c>
      <c r="H85" s="22">
        <v>0.714</v>
      </c>
      <c r="I85" s="60">
        <f t="shared" si="11"/>
        <v>0.4466019417</v>
      </c>
      <c r="J85" s="60">
        <f t="shared" si="12"/>
        <v>0.8159311087</v>
      </c>
      <c r="K85" s="60">
        <f t="shared" si="13"/>
        <v>0.6312665252</v>
      </c>
      <c r="L85" s="22">
        <v>0.718</v>
      </c>
      <c r="M85" s="22">
        <v>0.268</v>
      </c>
      <c r="N85" s="22">
        <v>0.788</v>
      </c>
      <c r="O85" s="22">
        <v>0.846</v>
      </c>
      <c r="P85" s="22">
        <v>69.0</v>
      </c>
      <c r="Q85" s="22">
        <v>102.0</v>
      </c>
      <c r="R85" s="22">
        <v>69.0</v>
      </c>
      <c r="S85" s="22">
        <v>379.0</v>
      </c>
    </row>
    <row r="86">
      <c r="A86" s="23"/>
      <c r="B86" s="23"/>
      <c r="C86" s="23"/>
      <c r="D86" s="11"/>
      <c r="E86" s="22">
        <v>0.603</v>
      </c>
      <c r="F86" s="22">
        <v>0.702</v>
      </c>
      <c r="G86" s="22">
        <v>0.729</v>
      </c>
      <c r="H86" s="22">
        <v>0.706</v>
      </c>
      <c r="I86" s="60">
        <f t="shared" si="11"/>
        <v>0.3956834532</v>
      </c>
      <c r="J86" s="60">
        <f t="shared" si="12"/>
        <v>0.825</v>
      </c>
      <c r="K86" s="60">
        <f t="shared" si="13"/>
        <v>0.6103417266</v>
      </c>
      <c r="L86" s="22">
        <v>0.655</v>
      </c>
      <c r="M86" s="22">
        <v>0.243</v>
      </c>
      <c r="N86" s="22">
        <v>0.773</v>
      </c>
      <c r="O86" s="22">
        <v>0.884</v>
      </c>
      <c r="P86" s="22">
        <v>55.0</v>
      </c>
      <c r="Q86" s="22">
        <v>116.0</v>
      </c>
      <c r="R86" s="22">
        <v>52.0</v>
      </c>
      <c r="S86" s="22">
        <v>396.0</v>
      </c>
    </row>
    <row r="87">
      <c r="A87" s="23"/>
      <c r="B87" s="23"/>
      <c r="C87" s="23"/>
      <c r="D87" s="11"/>
      <c r="E87" s="22">
        <v>0.615</v>
      </c>
      <c r="F87" s="22">
        <v>0.727</v>
      </c>
      <c r="G87" s="22">
        <v>0.751</v>
      </c>
      <c r="H87" s="22">
        <v>0.722</v>
      </c>
      <c r="I87" s="60">
        <f t="shared" si="11"/>
        <v>0.4076923077</v>
      </c>
      <c r="J87" s="60">
        <f t="shared" si="12"/>
        <v>0.8425357873</v>
      </c>
      <c r="K87" s="60">
        <f t="shared" si="13"/>
        <v>0.6251140475</v>
      </c>
      <c r="L87" s="22">
        <v>0.741</v>
      </c>
      <c r="M87" s="22">
        <v>0.293</v>
      </c>
      <c r="N87" s="22">
        <v>0.777</v>
      </c>
      <c r="O87" s="22">
        <v>0.92</v>
      </c>
      <c r="P87" s="22">
        <v>53.0</v>
      </c>
      <c r="Q87" s="22">
        <v>118.0</v>
      </c>
      <c r="R87" s="22">
        <v>36.0</v>
      </c>
      <c r="S87" s="22">
        <v>412.0</v>
      </c>
    </row>
    <row r="88">
      <c r="A88" s="23"/>
      <c r="B88" s="23"/>
      <c r="C88" s="23"/>
      <c r="D88" s="11"/>
      <c r="E88" s="22">
        <v>0.621</v>
      </c>
      <c r="F88" s="22">
        <v>0.73</v>
      </c>
      <c r="G88" s="22">
        <v>0.753</v>
      </c>
      <c r="H88" s="22">
        <v>0.727</v>
      </c>
      <c r="I88" s="60">
        <f t="shared" si="11"/>
        <v>0.4226415094</v>
      </c>
      <c r="J88" s="60">
        <f t="shared" si="12"/>
        <v>0.8427543679</v>
      </c>
      <c r="K88" s="60">
        <f t="shared" si="13"/>
        <v>0.6326979387</v>
      </c>
      <c r="L88" s="22">
        <v>0.736</v>
      </c>
      <c r="M88" s="22">
        <v>0.302</v>
      </c>
      <c r="N88" s="22">
        <v>0.781</v>
      </c>
      <c r="O88" s="22">
        <v>0.915</v>
      </c>
      <c r="P88" s="22">
        <v>56.0</v>
      </c>
      <c r="Q88" s="22">
        <v>115.0</v>
      </c>
      <c r="R88" s="22">
        <v>38.0</v>
      </c>
      <c r="S88" s="22">
        <v>410.0</v>
      </c>
    </row>
    <row r="89">
      <c r="A89" s="23"/>
      <c r="B89" s="23"/>
      <c r="C89" s="23"/>
      <c r="D89" s="11"/>
      <c r="E89" s="22">
        <v>0.649</v>
      </c>
      <c r="F89" s="22">
        <v>0.72</v>
      </c>
      <c r="G89" s="22">
        <v>0.722</v>
      </c>
      <c r="H89" s="22">
        <v>0.721</v>
      </c>
      <c r="I89" s="60">
        <f t="shared" si="11"/>
        <v>0.4911242604</v>
      </c>
      <c r="J89" s="60">
        <f t="shared" si="12"/>
        <v>0.8088888889</v>
      </c>
      <c r="K89" s="60">
        <f t="shared" si="13"/>
        <v>0.6500065746</v>
      </c>
      <c r="L89" s="22">
        <v>0.696</v>
      </c>
      <c r="M89" s="22">
        <v>0.3</v>
      </c>
      <c r="N89" s="22">
        <v>0.805</v>
      </c>
      <c r="O89" s="22">
        <v>0.812</v>
      </c>
      <c r="P89" s="22">
        <v>83.0</v>
      </c>
      <c r="Q89" s="22">
        <v>88.0</v>
      </c>
      <c r="R89" s="22">
        <v>84.0</v>
      </c>
      <c r="S89" s="22">
        <v>364.0</v>
      </c>
    </row>
    <row r="90">
      <c r="A90" s="23"/>
      <c r="B90" s="23"/>
      <c r="C90" s="23"/>
      <c r="D90" s="11"/>
      <c r="E90" s="22">
        <v>0.602</v>
      </c>
      <c r="F90" s="22">
        <v>0.699</v>
      </c>
      <c r="G90" s="22">
        <v>0.725</v>
      </c>
      <c r="H90" s="22">
        <v>0.705</v>
      </c>
      <c r="I90" s="60">
        <f t="shared" si="11"/>
        <v>0.3971631206</v>
      </c>
      <c r="J90" s="60">
        <f t="shared" si="12"/>
        <v>0.8221757322</v>
      </c>
      <c r="K90" s="60">
        <f t="shared" si="13"/>
        <v>0.6096694264</v>
      </c>
      <c r="L90" s="22">
        <v>0.688</v>
      </c>
      <c r="M90" s="22">
        <v>0.239</v>
      </c>
      <c r="N90" s="22">
        <v>0.774</v>
      </c>
      <c r="O90" s="22">
        <v>0.877</v>
      </c>
      <c r="P90" s="22">
        <v>56.0</v>
      </c>
      <c r="Q90" s="22">
        <v>115.0</v>
      </c>
      <c r="R90" s="22">
        <v>55.0</v>
      </c>
      <c r="S90" s="22">
        <v>393.0</v>
      </c>
    </row>
    <row r="91">
      <c r="A91" s="23"/>
      <c r="B91" s="23"/>
      <c r="C91" s="23"/>
      <c r="D91" s="11"/>
      <c r="E91" s="22">
        <v>0.654</v>
      </c>
      <c r="F91" s="22">
        <v>0.718</v>
      </c>
      <c r="G91" s="22">
        <v>0.659</v>
      </c>
      <c r="H91" s="22">
        <v>0.676</v>
      </c>
      <c r="I91" s="60">
        <f t="shared" si="11"/>
        <v>0.5104408353</v>
      </c>
      <c r="J91" s="60">
        <f t="shared" si="12"/>
        <v>0.7385377943</v>
      </c>
      <c r="K91" s="60">
        <f t="shared" si="13"/>
        <v>0.6244893148</v>
      </c>
      <c r="L91" s="22">
        <v>0.68</v>
      </c>
      <c r="M91" s="22">
        <v>0.279</v>
      </c>
      <c r="N91" s="22">
        <v>0.83</v>
      </c>
      <c r="O91" s="22">
        <v>0.665</v>
      </c>
      <c r="P91" s="22">
        <v>110.0</v>
      </c>
      <c r="Q91" s="22">
        <v>61.0</v>
      </c>
      <c r="R91" s="22">
        <v>150.0</v>
      </c>
      <c r="S91" s="22">
        <v>298.0</v>
      </c>
    </row>
    <row r="92">
      <c r="A92" s="23"/>
      <c r="B92" s="23"/>
      <c r="C92" s="23"/>
      <c r="D92" s="11"/>
      <c r="E92" s="22">
        <v>0.579</v>
      </c>
      <c r="F92" s="22">
        <v>0.722</v>
      </c>
      <c r="G92" s="22">
        <v>0.746</v>
      </c>
      <c r="H92" s="22">
        <v>0.697</v>
      </c>
      <c r="I92" s="60">
        <f t="shared" si="11"/>
        <v>0.3083700441</v>
      </c>
      <c r="J92" s="60">
        <f t="shared" si="12"/>
        <v>0.8447082097</v>
      </c>
      <c r="K92" s="60">
        <f t="shared" si="13"/>
        <v>0.5765391269</v>
      </c>
      <c r="L92" s="22">
        <v>0.727</v>
      </c>
      <c r="M92" s="22">
        <v>0.246</v>
      </c>
      <c r="N92" s="22">
        <v>0.758</v>
      </c>
      <c r="O92" s="22">
        <v>0.953</v>
      </c>
      <c r="P92" s="22">
        <v>35.0</v>
      </c>
      <c r="Q92" s="22">
        <v>136.0</v>
      </c>
      <c r="R92" s="22">
        <v>21.0</v>
      </c>
      <c r="S92" s="22">
        <v>427.0</v>
      </c>
    </row>
    <row r="93">
      <c r="A93" s="23"/>
      <c r="B93" s="23"/>
      <c r="C93" s="23"/>
      <c r="D93" s="11"/>
      <c r="E93" s="22">
        <v>0.582</v>
      </c>
      <c r="F93" s="22">
        <v>0.702</v>
      </c>
      <c r="G93" s="22">
        <v>0.735</v>
      </c>
      <c r="H93" s="22">
        <v>0.696</v>
      </c>
      <c r="I93" s="60">
        <f t="shared" si="11"/>
        <v>0.3333333333</v>
      </c>
      <c r="J93" s="60">
        <f t="shared" si="12"/>
        <v>0.8346774194</v>
      </c>
      <c r="K93" s="60">
        <f t="shared" si="13"/>
        <v>0.5840053763</v>
      </c>
      <c r="L93" s="22">
        <v>0.736</v>
      </c>
      <c r="M93" s="22">
        <v>0.225</v>
      </c>
      <c r="N93" s="22">
        <v>0.761</v>
      </c>
      <c r="O93" s="22">
        <v>0.924</v>
      </c>
      <c r="P93" s="22">
        <v>41.0</v>
      </c>
      <c r="Q93" s="22">
        <v>130.0</v>
      </c>
      <c r="R93" s="22">
        <v>34.0</v>
      </c>
      <c r="S93" s="22">
        <v>414.0</v>
      </c>
    </row>
    <row r="94">
      <c r="A94" s="23"/>
      <c r="B94" s="23"/>
      <c r="C94" s="23"/>
      <c r="D94" s="11"/>
      <c r="E94" s="22">
        <v>0.619</v>
      </c>
      <c r="F94" s="22">
        <v>0.718</v>
      </c>
      <c r="G94" s="22">
        <v>0.742</v>
      </c>
      <c r="H94" s="22">
        <v>0.72</v>
      </c>
      <c r="I94" s="60">
        <f t="shared" si="11"/>
        <v>0.4244604317</v>
      </c>
      <c r="J94" s="60">
        <f t="shared" si="12"/>
        <v>0.8333333333</v>
      </c>
      <c r="K94" s="60">
        <f t="shared" si="13"/>
        <v>0.6288968825</v>
      </c>
      <c r="L94" s="22">
        <v>0.716</v>
      </c>
      <c r="M94" s="22">
        <v>0.281</v>
      </c>
      <c r="N94" s="22">
        <v>0.781</v>
      </c>
      <c r="O94" s="22">
        <v>0.893</v>
      </c>
      <c r="P94" s="22">
        <v>59.0</v>
      </c>
      <c r="Q94" s="22">
        <v>112.0</v>
      </c>
      <c r="R94" s="22">
        <v>48.0</v>
      </c>
      <c r="S94" s="22">
        <v>400.0</v>
      </c>
    </row>
    <row r="95">
      <c r="A95" s="23"/>
      <c r="B95" s="23"/>
      <c r="C95" s="23"/>
      <c r="D95" s="11"/>
      <c r="E95" s="22">
        <v>0.656</v>
      </c>
      <c r="F95" s="22">
        <v>0.719</v>
      </c>
      <c r="G95" s="22">
        <v>0.659</v>
      </c>
      <c r="H95" s="22">
        <v>0.676</v>
      </c>
      <c r="I95" s="60">
        <f t="shared" si="11"/>
        <v>0.5127020785</v>
      </c>
      <c r="J95" s="60">
        <f t="shared" si="12"/>
        <v>0.7378881988</v>
      </c>
      <c r="K95" s="60">
        <f t="shared" si="13"/>
        <v>0.6252951386</v>
      </c>
      <c r="L95" s="22">
        <v>0.682</v>
      </c>
      <c r="M95" s="22">
        <v>0.282</v>
      </c>
      <c r="N95" s="22">
        <v>0.832</v>
      </c>
      <c r="O95" s="22">
        <v>0.663</v>
      </c>
      <c r="P95" s="22">
        <v>111.0</v>
      </c>
      <c r="Q95" s="22">
        <v>60.0</v>
      </c>
      <c r="R95" s="22">
        <v>151.0</v>
      </c>
      <c r="S95" s="22">
        <v>297.0</v>
      </c>
    </row>
    <row r="96">
      <c r="A96" s="23"/>
      <c r="B96" s="23"/>
      <c r="C96" s="23"/>
      <c r="D96" s="11"/>
      <c r="E96" s="22">
        <v>0.641</v>
      </c>
      <c r="F96" s="22">
        <v>0.741</v>
      </c>
      <c r="G96" s="22">
        <v>0.761</v>
      </c>
      <c r="H96" s="22">
        <v>0.741</v>
      </c>
      <c r="I96" s="60">
        <f t="shared" si="11"/>
        <v>0.4637681159</v>
      </c>
      <c r="J96" s="60">
        <f t="shared" si="12"/>
        <v>0.8461538462</v>
      </c>
      <c r="K96" s="60">
        <f t="shared" si="13"/>
        <v>0.654960981</v>
      </c>
      <c r="L96" s="22">
        <v>0.753</v>
      </c>
      <c r="M96" s="22">
        <v>0.337</v>
      </c>
      <c r="N96" s="22">
        <v>0.792</v>
      </c>
      <c r="O96" s="22">
        <v>0.908</v>
      </c>
      <c r="P96" s="22">
        <v>64.0</v>
      </c>
      <c r="Q96" s="22">
        <v>107.0</v>
      </c>
      <c r="R96" s="22">
        <v>41.0</v>
      </c>
      <c r="S96" s="22">
        <v>407.0</v>
      </c>
    </row>
    <row r="97">
      <c r="A97" s="23"/>
      <c r="B97" s="23"/>
      <c r="C97" s="23"/>
      <c r="D97" s="11"/>
      <c r="E97" s="22">
        <v>0.617</v>
      </c>
      <c r="F97" s="22">
        <v>0.727</v>
      </c>
      <c r="G97" s="22">
        <v>0.751</v>
      </c>
      <c r="H97" s="22">
        <v>0.723</v>
      </c>
      <c r="I97" s="60">
        <f t="shared" si="11"/>
        <v>0.4122137405</v>
      </c>
      <c r="J97" s="60">
        <f t="shared" si="12"/>
        <v>0.8422131148</v>
      </c>
      <c r="K97" s="60">
        <f t="shared" si="13"/>
        <v>0.6272134276</v>
      </c>
      <c r="L97" s="22">
        <v>0.741</v>
      </c>
      <c r="M97" s="22">
        <v>0.294</v>
      </c>
      <c r="N97" s="22">
        <v>0.778</v>
      </c>
      <c r="O97" s="22">
        <v>0.917</v>
      </c>
      <c r="P97" s="22">
        <v>54.0</v>
      </c>
      <c r="Q97" s="22">
        <v>117.0</v>
      </c>
      <c r="R97" s="22">
        <v>37.0</v>
      </c>
      <c r="S97" s="22">
        <v>411.0</v>
      </c>
    </row>
    <row r="98">
      <c r="A98" s="23"/>
      <c r="B98" s="23"/>
      <c r="C98" s="23"/>
      <c r="D98" s="11"/>
      <c r="E98" s="22">
        <v>0.582</v>
      </c>
      <c r="F98" s="22">
        <v>0.714</v>
      </c>
      <c r="G98" s="22">
        <v>0.743</v>
      </c>
      <c r="H98" s="22">
        <v>0.698</v>
      </c>
      <c r="I98" s="60">
        <f t="shared" si="11"/>
        <v>0.3234042553</v>
      </c>
      <c r="J98" s="60">
        <f t="shared" si="12"/>
        <v>0.8414755733</v>
      </c>
      <c r="K98" s="60">
        <f t="shared" si="13"/>
        <v>0.5824399143</v>
      </c>
      <c r="L98" s="22">
        <v>0.734</v>
      </c>
      <c r="M98" s="22">
        <v>0.241</v>
      </c>
      <c r="N98" s="22">
        <v>0.76</v>
      </c>
      <c r="O98" s="22">
        <v>0.942</v>
      </c>
      <c r="P98" s="22">
        <v>38.0</v>
      </c>
      <c r="Q98" s="22">
        <v>133.0</v>
      </c>
      <c r="R98" s="22">
        <v>26.0</v>
      </c>
      <c r="S98" s="22">
        <v>422.0</v>
      </c>
    </row>
    <row r="99">
      <c r="A99" s="23"/>
      <c r="B99" s="23"/>
      <c r="C99" s="23"/>
      <c r="D99" s="11"/>
      <c r="E99" s="22">
        <v>0.617</v>
      </c>
      <c r="F99" s="22">
        <v>0.714</v>
      </c>
      <c r="G99" s="22">
        <v>0.738</v>
      </c>
      <c r="H99" s="22">
        <v>0.718</v>
      </c>
      <c r="I99" s="60">
        <f t="shared" si="11"/>
        <v>0.4214285714</v>
      </c>
      <c r="J99" s="60">
        <f t="shared" si="12"/>
        <v>0.8308977035</v>
      </c>
      <c r="K99" s="60">
        <f t="shared" si="13"/>
        <v>0.6261631375</v>
      </c>
      <c r="L99" s="22">
        <v>0.734</v>
      </c>
      <c r="M99" s="22">
        <v>0.274</v>
      </c>
      <c r="N99" s="22">
        <v>0.78</v>
      </c>
      <c r="O99" s="22">
        <v>0.888</v>
      </c>
      <c r="P99" s="22">
        <v>59.0</v>
      </c>
      <c r="Q99" s="22">
        <v>112.0</v>
      </c>
      <c r="R99" s="22">
        <v>50.0</v>
      </c>
      <c r="S99" s="22">
        <v>398.0</v>
      </c>
    </row>
    <row r="100">
      <c r="A100" s="23"/>
      <c r="B100" s="23"/>
      <c r="C100" s="23"/>
      <c r="D100" s="71" t="s">
        <v>23</v>
      </c>
      <c r="E100" s="22">
        <v>0.608</v>
      </c>
      <c r="F100" s="22">
        <v>0.718</v>
      </c>
      <c r="G100" s="22">
        <v>0.736</v>
      </c>
      <c r="H100" s="22">
        <v>0.709</v>
      </c>
      <c r="I100" s="60">
        <f t="shared" ref="I100:K100" si="14">MEDIAN(I70:I99)</f>
        <v>0.4099530241</v>
      </c>
      <c r="J100" s="60">
        <f t="shared" si="14"/>
        <v>0.8381052563</v>
      </c>
      <c r="K100" s="60">
        <f t="shared" si="14"/>
        <v>0.6248016811</v>
      </c>
      <c r="L100" s="22">
        <v>0.72</v>
      </c>
      <c r="M100" s="22">
        <v>0.269</v>
      </c>
      <c r="N100" s="22">
        <v>0.777</v>
      </c>
      <c r="O100" s="22">
        <v>0.893</v>
      </c>
      <c r="P100" s="22">
        <v>55.4</v>
      </c>
      <c r="Q100" s="22">
        <v>115.6</v>
      </c>
      <c r="R100" s="22">
        <v>47.967</v>
      </c>
      <c r="S100" s="22">
        <v>400.033</v>
      </c>
    </row>
    <row r="101">
      <c r="A101" s="72"/>
      <c r="B101" s="72"/>
      <c r="C101" s="72"/>
      <c r="D101" s="73" t="s">
        <v>232</v>
      </c>
      <c r="E101" s="22">
        <v>0.024</v>
      </c>
      <c r="F101" s="22">
        <v>0.017</v>
      </c>
      <c r="G101" s="22">
        <v>0.026</v>
      </c>
      <c r="H101" s="22">
        <v>0.018</v>
      </c>
      <c r="I101" s="60">
        <f t="shared" ref="I101:K101" si="15">_xlfn.STDEV.P(I70:I99)</f>
        <v>0.05953867364</v>
      </c>
      <c r="J101" s="60">
        <f t="shared" si="15"/>
        <v>0.02794012964</v>
      </c>
      <c r="K101" s="60">
        <f t="shared" si="15"/>
        <v>0.02517989817</v>
      </c>
      <c r="L101" s="22">
        <v>0.039</v>
      </c>
      <c r="M101" s="22">
        <v>0.039</v>
      </c>
      <c r="N101" s="22">
        <v>0.019</v>
      </c>
      <c r="O101" s="22">
        <v>0.072</v>
      </c>
      <c r="P101" s="22">
        <v>18.48</v>
      </c>
      <c r="Q101" s="22">
        <v>18.48</v>
      </c>
      <c r="R101" s="22">
        <v>32.059</v>
      </c>
      <c r="S101" s="22">
        <v>32.059</v>
      </c>
    </row>
    <row r="102">
      <c r="I102" s="60"/>
      <c r="J102" s="60"/>
      <c r="K102" s="60"/>
    </row>
    <row r="103">
      <c r="A103" s="77" t="s">
        <v>235</v>
      </c>
      <c r="B103" s="78" t="s">
        <v>231</v>
      </c>
      <c r="C103" s="81" t="s">
        <v>236</v>
      </c>
      <c r="D103" s="79"/>
      <c r="E103" s="32">
        <v>0.629</v>
      </c>
      <c r="F103" s="32">
        <v>0.706</v>
      </c>
      <c r="G103" s="32">
        <v>0.714</v>
      </c>
      <c r="H103" s="32">
        <v>0.71</v>
      </c>
      <c r="I103" s="60">
        <f t="shared" ref="I103:I132" si="16">(2*P103)/((2*P103) + Q103 + R103)</f>
        <v>0.4587155963</v>
      </c>
      <c r="J103" s="60">
        <f t="shared" ref="J103:J132" si="17">(2*S103)/((2*S103) + Q103 + R103)</f>
        <v>0.8057080132</v>
      </c>
      <c r="K103" s="60">
        <f t="shared" ref="K103:K132" si="18"> MEDIAN(I103,J103)</f>
        <v>0.6322118048</v>
      </c>
      <c r="L103" s="32">
        <v>0.719</v>
      </c>
      <c r="M103" s="32">
        <v>0.265</v>
      </c>
      <c r="N103" s="32">
        <v>0.793</v>
      </c>
      <c r="O103" s="32">
        <v>0.819</v>
      </c>
      <c r="P103" s="32">
        <v>75.0</v>
      </c>
      <c r="Q103" s="32">
        <v>96.0</v>
      </c>
      <c r="R103" s="22">
        <v>81.0</v>
      </c>
      <c r="S103" s="32">
        <v>367.0</v>
      </c>
    </row>
    <row r="104">
      <c r="A104" s="23"/>
      <c r="B104" s="23"/>
      <c r="C104" s="23"/>
      <c r="D104" s="69"/>
      <c r="E104" s="22">
        <v>0.583</v>
      </c>
      <c r="F104" s="32">
        <v>0.736</v>
      </c>
      <c r="G104" s="22">
        <v>0.753</v>
      </c>
      <c r="H104" s="22">
        <v>0.701</v>
      </c>
      <c r="I104" s="60">
        <f t="shared" si="16"/>
        <v>0.3139013453</v>
      </c>
      <c r="J104" s="60">
        <f t="shared" si="17"/>
        <v>0.8492610837</v>
      </c>
      <c r="K104" s="60">
        <f t="shared" si="18"/>
        <v>0.5815812145</v>
      </c>
      <c r="L104" s="22">
        <v>0.765</v>
      </c>
      <c r="M104" s="22">
        <v>0.269</v>
      </c>
      <c r="N104" s="22">
        <v>0.76</v>
      </c>
      <c r="O104" s="32">
        <v>0.962</v>
      </c>
      <c r="P104" s="22">
        <v>35.0</v>
      </c>
      <c r="Q104" s="22">
        <v>136.0</v>
      </c>
      <c r="R104" s="22">
        <v>17.0</v>
      </c>
      <c r="S104" s="22">
        <v>431.0</v>
      </c>
    </row>
    <row r="105">
      <c r="A105" s="23"/>
      <c r="B105" s="23"/>
      <c r="C105" s="23"/>
      <c r="D105" s="70"/>
      <c r="E105" s="22">
        <v>0.613</v>
      </c>
      <c r="F105" s="22">
        <v>0.721</v>
      </c>
      <c r="G105" s="22">
        <v>0.746</v>
      </c>
      <c r="H105" s="22">
        <v>0.72</v>
      </c>
      <c r="I105" s="60">
        <f t="shared" si="16"/>
        <v>0.4075471698</v>
      </c>
      <c r="J105" s="60">
        <f t="shared" si="17"/>
        <v>0.838643371</v>
      </c>
      <c r="K105" s="60">
        <f t="shared" si="18"/>
        <v>0.6230952704</v>
      </c>
      <c r="L105" s="22">
        <v>0.757</v>
      </c>
      <c r="M105" s="22">
        <v>0.282</v>
      </c>
      <c r="N105" s="22">
        <v>0.777</v>
      </c>
      <c r="O105" s="22">
        <v>0.911</v>
      </c>
      <c r="P105" s="22">
        <v>54.0</v>
      </c>
      <c r="Q105" s="22">
        <v>117.0</v>
      </c>
      <c r="R105" s="22">
        <v>40.0</v>
      </c>
      <c r="S105" s="22">
        <v>408.0</v>
      </c>
    </row>
    <row r="106">
      <c r="A106" s="23"/>
      <c r="B106" s="23"/>
      <c r="C106" s="23"/>
      <c r="D106" s="70"/>
      <c r="E106" s="22">
        <v>0.592</v>
      </c>
      <c r="F106" s="22">
        <v>0.695</v>
      </c>
      <c r="G106" s="22">
        <v>0.725</v>
      </c>
      <c r="H106" s="22">
        <v>0.699</v>
      </c>
      <c r="I106" s="60">
        <f t="shared" si="16"/>
        <v>0.3703703704</v>
      </c>
      <c r="J106" s="60">
        <f t="shared" si="17"/>
        <v>0.8243801653</v>
      </c>
      <c r="K106" s="60">
        <f t="shared" si="18"/>
        <v>0.5973752678</v>
      </c>
      <c r="L106" s="22">
        <v>0.719</v>
      </c>
      <c r="M106" s="22">
        <v>0.223</v>
      </c>
      <c r="N106" s="22">
        <v>0.767</v>
      </c>
      <c r="O106" s="22">
        <v>0.891</v>
      </c>
      <c r="P106" s="22">
        <v>50.0</v>
      </c>
      <c r="Q106" s="22">
        <v>121.0</v>
      </c>
      <c r="R106" s="22">
        <v>49.0</v>
      </c>
      <c r="S106" s="22">
        <v>399.0</v>
      </c>
    </row>
    <row r="107">
      <c r="A107" s="23"/>
      <c r="B107" s="23"/>
      <c r="C107" s="23"/>
      <c r="D107" s="70"/>
      <c r="E107" s="22">
        <v>0.603</v>
      </c>
      <c r="F107" s="22">
        <v>0.709</v>
      </c>
      <c r="G107" s="22">
        <v>0.737</v>
      </c>
      <c r="H107" s="22">
        <v>0.71</v>
      </c>
      <c r="I107" s="60">
        <f t="shared" si="16"/>
        <v>0.3895131086</v>
      </c>
      <c r="J107" s="60">
        <f t="shared" si="17"/>
        <v>0.8321318229</v>
      </c>
      <c r="K107" s="60">
        <f t="shared" si="18"/>
        <v>0.6108224657</v>
      </c>
      <c r="L107" s="22">
        <v>0.72</v>
      </c>
      <c r="M107" s="22">
        <v>0.254</v>
      </c>
      <c r="N107" s="22">
        <v>0.772</v>
      </c>
      <c r="O107" s="22">
        <v>0.902</v>
      </c>
      <c r="P107" s="22">
        <v>52.0</v>
      </c>
      <c r="Q107" s="22">
        <v>119.0</v>
      </c>
      <c r="R107" s="22">
        <v>44.0</v>
      </c>
      <c r="S107" s="22">
        <v>404.0</v>
      </c>
    </row>
    <row r="108">
      <c r="A108" s="23"/>
      <c r="B108" s="23"/>
      <c r="C108" s="23"/>
      <c r="D108" s="70"/>
      <c r="E108" s="22">
        <v>0.608</v>
      </c>
      <c r="F108" s="22">
        <v>0.724</v>
      </c>
      <c r="G108" s="22">
        <v>0.75</v>
      </c>
      <c r="H108" s="22">
        <v>0.718</v>
      </c>
      <c r="I108" s="60">
        <f t="shared" si="16"/>
        <v>0.3921568627</v>
      </c>
      <c r="J108" s="60">
        <f t="shared" si="17"/>
        <v>0.8423194303</v>
      </c>
      <c r="K108" s="60">
        <f t="shared" si="18"/>
        <v>0.6172381465</v>
      </c>
      <c r="L108" s="22">
        <v>0.761</v>
      </c>
      <c r="M108" s="22">
        <v>0.283</v>
      </c>
      <c r="N108" s="22">
        <v>0.774</v>
      </c>
      <c r="O108" s="22">
        <v>0.924</v>
      </c>
      <c r="P108" s="22">
        <v>50.0</v>
      </c>
      <c r="Q108" s="22">
        <v>121.0</v>
      </c>
      <c r="R108" s="22">
        <v>34.0</v>
      </c>
      <c r="S108" s="22">
        <v>414.0</v>
      </c>
    </row>
    <row r="109">
      <c r="A109" s="23"/>
      <c r="B109" s="23"/>
      <c r="C109" s="23"/>
      <c r="D109" s="70"/>
      <c r="E109" s="22">
        <v>0.619</v>
      </c>
      <c r="F109" s="22">
        <v>0.714</v>
      </c>
      <c r="G109" s="22">
        <v>0.737</v>
      </c>
      <c r="H109" s="22">
        <v>0.718</v>
      </c>
      <c r="I109" s="60">
        <f t="shared" si="16"/>
        <v>0.4280701754</v>
      </c>
      <c r="J109" s="60">
        <f t="shared" si="17"/>
        <v>0.8289611752</v>
      </c>
      <c r="K109" s="60">
        <f t="shared" si="18"/>
        <v>0.6285156753</v>
      </c>
      <c r="L109" s="22">
        <v>0.729</v>
      </c>
      <c r="M109" s="22">
        <v>0.275</v>
      </c>
      <c r="N109" s="22">
        <v>0.782</v>
      </c>
      <c r="O109" s="22">
        <v>0.882</v>
      </c>
      <c r="P109" s="22">
        <v>61.0</v>
      </c>
      <c r="Q109" s="22">
        <v>110.0</v>
      </c>
      <c r="R109" s="22">
        <v>53.0</v>
      </c>
      <c r="S109" s="22">
        <v>395.0</v>
      </c>
    </row>
    <row r="110">
      <c r="A110" s="23"/>
      <c r="B110" s="23"/>
      <c r="C110" s="23"/>
      <c r="D110" s="70"/>
      <c r="E110" s="22">
        <v>0.614</v>
      </c>
      <c r="F110" s="22">
        <v>0.708</v>
      </c>
      <c r="G110" s="22">
        <v>0.732</v>
      </c>
      <c r="H110" s="22">
        <v>0.713</v>
      </c>
      <c r="I110" s="60">
        <f t="shared" si="16"/>
        <v>0.4195804196</v>
      </c>
      <c r="J110" s="60">
        <f t="shared" si="17"/>
        <v>0.8256302521</v>
      </c>
      <c r="K110" s="60">
        <f t="shared" si="18"/>
        <v>0.6226053358</v>
      </c>
      <c r="L110" s="22">
        <v>0.73</v>
      </c>
      <c r="M110" s="22">
        <v>0.262</v>
      </c>
      <c r="N110" s="22">
        <v>0.78</v>
      </c>
      <c r="O110" s="22">
        <v>0.877</v>
      </c>
      <c r="P110" s="22">
        <v>60.0</v>
      </c>
      <c r="Q110" s="22">
        <v>111.0</v>
      </c>
      <c r="R110" s="22">
        <v>55.0</v>
      </c>
      <c r="S110" s="22">
        <v>393.0</v>
      </c>
    </row>
    <row r="111">
      <c r="A111" s="23"/>
      <c r="B111" s="23"/>
      <c r="C111" s="23"/>
      <c r="D111" s="70"/>
      <c r="E111" s="22">
        <v>0.626</v>
      </c>
      <c r="F111" s="22">
        <v>0.727</v>
      </c>
      <c r="G111" s="22">
        <v>0.75</v>
      </c>
      <c r="H111" s="22">
        <v>0.728</v>
      </c>
      <c r="I111" s="60">
        <f t="shared" si="16"/>
        <v>0.4363636364</v>
      </c>
      <c r="J111" s="60">
        <f t="shared" si="17"/>
        <v>0.8390446521</v>
      </c>
      <c r="K111" s="60">
        <f t="shared" si="18"/>
        <v>0.6377041442</v>
      </c>
      <c r="L111" s="22">
        <v>0.741</v>
      </c>
      <c r="M111" s="22">
        <v>0.302</v>
      </c>
      <c r="N111" s="22">
        <v>0.784</v>
      </c>
      <c r="O111" s="22">
        <v>0.902</v>
      </c>
      <c r="P111" s="22">
        <v>60.0</v>
      </c>
      <c r="Q111" s="22">
        <v>111.0</v>
      </c>
      <c r="R111" s="22">
        <v>44.0</v>
      </c>
      <c r="S111" s="22">
        <v>404.0</v>
      </c>
    </row>
    <row r="112">
      <c r="A112" s="23"/>
      <c r="B112" s="23"/>
      <c r="C112" s="23"/>
      <c r="D112" s="70"/>
      <c r="E112" s="22">
        <v>0.594</v>
      </c>
      <c r="F112" s="22">
        <v>0.712</v>
      </c>
      <c r="G112" s="22">
        <v>0.742</v>
      </c>
      <c r="H112" s="22">
        <v>0.706</v>
      </c>
      <c r="I112" s="60">
        <f t="shared" si="16"/>
        <v>0.36</v>
      </c>
      <c r="J112" s="60">
        <f t="shared" si="17"/>
        <v>0.8380566802</v>
      </c>
      <c r="K112" s="60">
        <f t="shared" si="18"/>
        <v>0.5990283401</v>
      </c>
      <c r="L112" s="22">
        <v>0.742</v>
      </c>
      <c r="M112" s="22">
        <v>0.251</v>
      </c>
      <c r="N112" s="22">
        <v>0.767</v>
      </c>
      <c r="O112" s="22">
        <v>0.924</v>
      </c>
      <c r="P112" s="22">
        <v>45.0</v>
      </c>
      <c r="Q112" s="22">
        <v>126.0</v>
      </c>
      <c r="R112" s="22">
        <v>34.0</v>
      </c>
      <c r="S112" s="22">
        <v>414.0</v>
      </c>
    </row>
    <row r="113">
      <c r="A113" s="23"/>
      <c r="B113" s="23"/>
      <c r="C113" s="23"/>
      <c r="D113" s="11"/>
      <c r="E113" s="22">
        <v>0.615</v>
      </c>
      <c r="F113" s="22">
        <v>0.71</v>
      </c>
      <c r="G113" s="22">
        <v>0.733</v>
      </c>
      <c r="H113" s="22">
        <v>0.715</v>
      </c>
      <c r="I113" s="60">
        <f t="shared" si="16"/>
        <v>0.4210526316</v>
      </c>
      <c r="J113" s="60">
        <f t="shared" si="17"/>
        <v>0.8268625393</v>
      </c>
      <c r="K113" s="60">
        <f t="shared" si="18"/>
        <v>0.6239575855</v>
      </c>
      <c r="L113" s="22">
        <v>0.73</v>
      </c>
      <c r="M113" s="22">
        <v>0.266</v>
      </c>
      <c r="N113" s="22">
        <v>0.78</v>
      </c>
      <c r="O113" s="22">
        <v>0.879</v>
      </c>
      <c r="P113" s="22">
        <v>60.0</v>
      </c>
      <c r="Q113" s="22">
        <v>111.0</v>
      </c>
      <c r="R113" s="22">
        <v>54.0</v>
      </c>
      <c r="S113" s="22">
        <v>394.0</v>
      </c>
    </row>
    <row r="114">
      <c r="A114" s="23"/>
      <c r="B114" s="23"/>
      <c r="C114" s="23"/>
      <c r="D114" s="11"/>
      <c r="E114" s="22">
        <v>0.618</v>
      </c>
      <c r="F114" s="22">
        <v>0.712</v>
      </c>
      <c r="G114" s="22">
        <v>0.735</v>
      </c>
      <c r="H114" s="22">
        <v>0.717</v>
      </c>
      <c r="I114" s="60">
        <f t="shared" si="16"/>
        <v>0.4265734266</v>
      </c>
      <c r="J114" s="60">
        <f t="shared" si="17"/>
        <v>0.8277310924</v>
      </c>
      <c r="K114" s="60">
        <f t="shared" si="18"/>
        <v>0.6271522595</v>
      </c>
      <c r="L114" s="22">
        <v>0.729</v>
      </c>
      <c r="M114" s="22">
        <v>0.272</v>
      </c>
      <c r="N114" s="22">
        <v>0.782</v>
      </c>
      <c r="O114" s="22">
        <v>0.879</v>
      </c>
      <c r="P114" s="22">
        <v>61.0</v>
      </c>
      <c r="Q114" s="22">
        <v>110.0</v>
      </c>
      <c r="R114" s="22">
        <v>54.0</v>
      </c>
      <c r="S114" s="22">
        <v>394.0</v>
      </c>
    </row>
    <row r="115">
      <c r="A115" s="23"/>
      <c r="B115" s="23"/>
      <c r="C115" s="23"/>
      <c r="D115" s="11"/>
      <c r="E115" s="22">
        <v>0.63</v>
      </c>
      <c r="F115" s="22">
        <v>0.728</v>
      </c>
      <c r="G115" s="22">
        <v>0.75</v>
      </c>
      <c r="H115" s="22">
        <v>0.73</v>
      </c>
      <c r="I115" s="60">
        <f t="shared" si="16"/>
        <v>0.4444444444</v>
      </c>
      <c r="J115" s="60">
        <f t="shared" si="17"/>
        <v>0.8383733055</v>
      </c>
      <c r="K115" s="60">
        <f t="shared" si="18"/>
        <v>0.641408875</v>
      </c>
      <c r="L115" s="22">
        <v>0.755</v>
      </c>
      <c r="M115" s="22">
        <v>0.306</v>
      </c>
      <c r="N115" s="22">
        <v>0.787</v>
      </c>
      <c r="O115" s="22">
        <v>0.897</v>
      </c>
      <c r="P115" s="22">
        <v>62.0</v>
      </c>
      <c r="Q115" s="22">
        <v>109.0</v>
      </c>
      <c r="R115" s="22">
        <v>46.0</v>
      </c>
      <c r="S115" s="22">
        <v>402.0</v>
      </c>
    </row>
    <row r="116">
      <c r="A116" s="23"/>
      <c r="B116" s="23"/>
      <c r="C116" s="23"/>
      <c r="D116" s="11"/>
      <c r="E116" s="22">
        <v>0.59</v>
      </c>
      <c r="F116" s="22">
        <v>0.706</v>
      </c>
      <c r="G116" s="22">
        <v>0.737</v>
      </c>
      <c r="H116" s="22">
        <v>0.702</v>
      </c>
      <c r="I116" s="60">
        <f t="shared" si="16"/>
        <v>0.3557312253</v>
      </c>
      <c r="J116" s="60">
        <f t="shared" si="17"/>
        <v>0.8345177665</v>
      </c>
      <c r="K116" s="60">
        <f t="shared" si="18"/>
        <v>0.5951244959</v>
      </c>
      <c r="L116" s="22">
        <v>0.741</v>
      </c>
      <c r="M116" s="22">
        <v>0.238</v>
      </c>
      <c r="N116" s="22">
        <v>0.765</v>
      </c>
      <c r="O116" s="22">
        <v>0.917</v>
      </c>
      <c r="P116" s="22">
        <v>45.0</v>
      </c>
      <c r="Q116" s="22">
        <v>126.0</v>
      </c>
      <c r="R116" s="22">
        <v>37.0</v>
      </c>
      <c r="S116" s="22">
        <v>411.0</v>
      </c>
    </row>
    <row r="117">
      <c r="A117" s="23"/>
      <c r="B117" s="23"/>
      <c r="C117" s="23"/>
      <c r="D117" s="11"/>
      <c r="E117" s="22">
        <v>0.587</v>
      </c>
      <c r="F117" s="22">
        <v>0.709</v>
      </c>
      <c r="G117" s="22">
        <v>0.74</v>
      </c>
      <c r="H117" s="22">
        <v>0.701</v>
      </c>
      <c r="I117" s="60">
        <f t="shared" si="16"/>
        <v>0.3428571429</v>
      </c>
      <c r="J117" s="60">
        <f t="shared" si="17"/>
        <v>0.8378650554</v>
      </c>
      <c r="K117" s="60">
        <f t="shared" si="18"/>
        <v>0.5903610991</v>
      </c>
      <c r="L117" s="22">
        <v>0.749</v>
      </c>
      <c r="M117" s="22">
        <v>0.24</v>
      </c>
      <c r="N117" s="22">
        <v>0.763</v>
      </c>
      <c r="O117" s="22">
        <v>0.929</v>
      </c>
      <c r="P117" s="22">
        <v>42.0</v>
      </c>
      <c r="Q117" s="22">
        <v>129.0</v>
      </c>
      <c r="R117" s="22">
        <v>32.0</v>
      </c>
      <c r="S117" s="22">
        <v>416.0</v>
      </c>
    </row>
    <row r="118">
      <c r="A118" s="23"/>
      <c r="B118" s="23"/>
      <c r="C118" s="23"/>
      <c r="D118" s="11"/>
      <c r="E118" s="22">
        <v>0.615</v>
      </c>
      <c r="F118" s="22">
        <v>0.727</v>
      </c>
      <c r="G118" s="22">
        <v>0.751</v>
      </c>
      <c r="H118" s="22">
        <v>0.722</v>
      </c>
      <c r="I118" s="60">
        <f t="shared" si="16"/>
        <v>0.4076923077</v>
      </c>
      <c r="J118" s="60">
        <f t="shared" si="17"/>
        <v>0.8425357873</v>
      </c>
      <c r="K118" s="60">
        <f t="shared" si="18"/>
        <v>0.6251140475</v>
      </c>
      <c r="L118" s="22">
        <v>0.759</v>
      </c>
      <c r="M118" s="22">
        <v>0.293</v>
      </c>
      <c r="N118" s="22">
        <v>0.777</v>
      </c>
      <c r="O118" s="22">
        <v>0.92</v>
      </c>
      <c r="P118" s="22">
        <v>53.0</v>
      </c>
      <c r="Q118" s="22">
        <v>118.0</v>
      </c>
      <c r="R118" s="22">
        <v>36.0</v>
      </c>
      <c r="S118" s="22">
        <v>412.0</v>
      </c>
    </row>
    <row r="119">
      <c r="A119" s="23"/>
      <c r="B119" s="23"/>
      <c r="C119" s="23"/>
      <c r="D119" s="11"/>
      <c r="E119" s="22">
        <v>0.617</v>
      </c>
      <c r="F119" s="22">
        <v>0.711</v>
      </c>
      <c r="G119" s="22">
        <v>0.733</v>
      </c>
      <c r="H119" s="22">
        <v>0.716</v>
      </c>
      <c r="I119" s="60">
        <f t="shared" si="16"/>
        <v>0.425087108</v>
      </c>
      <c r="J119" s="60">
        <f t="shared" si="17"/>
        <v>0.8264984227</v>
      </c>
      <c r="K119" s="60">
        <f t="shared" si="18"/>
        <v>0.6257927654</v>
      </c>
      <c r="L119" s="22">
        <v>0.729</v>
      </c>
      <c r="M119" s="22">
        <v>0.268</v>
      </c>
      <c r="N119" s="22">
        <v>0.781</v>
      </c>
      <c r="O119" s="22">
        <v>0.877</v>
      </c>
      <c r="P119" s="22">
        <v>61.0</v>
      </c>
      <c r="Q119" s="22">
        <v>110.0</v>
      </c>
      <c r="R119" s="22">
        <v>55.0</v>
      </c>
      <c r="S119" s="22">
        <v>393.0</v>
      </c>
    </row>
    <row r="120">
      <c r="A120" s="23"/>
      <c r="B120" s="23"/>
      <c r="C120" s="23"/>
      <c r="D120" s="11"/>
      <c r="E120" s="22">
        <v>0.592</v>
      </c>
      <c r="F120" s="22">
        <v>0.736</v>
      </c>
      <c r="G120" s="22">
        <v>0.754</v>
      </c>
      <c r="H120" s="22">
        <v>0.708</v>
      </c>
      <c r="I120" s="60">
        <f t="shared" si="16"/>
        <v>0.3391304348</v>
      </c>
      <c r="J120" s="60">
        <f t="shared" si="17"/>
        <v>0.8492063492</v>
      </c>
      <c r="K120" s="60">
        <f t="shared" si="18"/>
        <v>0.594168392</v>
      </c>
      <c r="L120" s="22">
        <v>0.741</v>
      </c>
      <c r="M120" s="22">
        <v>0.279</v>
      </c>
      <c r="N120" s="22">
        <v>0.764</v>
      </c>
      <c r="O120" s="22">
        <v>0.955</v>
      </c>
      <c r="P120" s="22">
        <v>39.0</v>
      </c>
      <c r="Q120" s="22">
        <v>132.0</v>
      </c>
      <c r="R120" s="22">
        <v>20.0</v>
      </c>
      <c r="S120" s="22">
        <v>428.0</v>
      </c>
    </row>
    <row r="121">
      <c r="A121" s="23"/>
      <c r="B121" s="23"/>
      <c r="C121" s="23"/>
      <c r="D121" s="11"/>
      <c r="E121" s="22">
        <v>0.593</v>
      </c>
      <c r="F121" s="22">
        <v>0.71</v>
      </c>
      <c r="G121" s="22">
        <v>0.74</v>
      </c>
      <c r="H121" s="22">
        <v>0.705</v>
      </c>
      <c r="I121" s="60">
        <f t="shared" si="16"/>
        <v>0.3585657371</v>
      </c>
      <c r="J121" s="60">
        <f t="shared" si="17"/>
        <v>0.8368794326</v>
      </c>
      <c r="K121" s="60">
        <f t="shared" si="18"/>
        <v>0.5977225848</v>
      </c>
      <c r="L121" s="22">
        <v>0.742</v>
      </c>
      <c r="M121" s="22">
        <v>0.247</v>
      </c>
      <c r="N121" s="22">
        <v>0.766</v>
      </c>
      <c r="O121" s="22">
        <v>0.922</v>
      </c>
      <c r="P121" s="22">
        <v>45.0</v>
      </c>
      <c r="Q121" s="22">
        <v>126.0</v>
      </c>
      <c r="R121" s="22">
        <v>35.0</v>
      </c>
      <c r="S121" s="22">
        <v>413.0</v>
      </c>
    </row>
    <row r="122">
      <c r="A122" s="23"/>
      <c r="B122" s="23"/>
      <c r="C122" s="23"/>
      <c r="D122" s="11"/>
      <c r="E122" s="22">
        <v>0.606</v>
      </c>
      <c r="F122" s="22">
        <v>0.707</v>
      </c>
      <c r="G122" s="22">
        <v>0.733</v>
      </c>
      <c r="H122" s="22">
        <v>0.71</v>
      </c>
      <c r="I122" s="60">
        <f t="shared" si="16"/>
        <v>0.4</v>
      </c>
      <c r="J122" s="60">
        <f t="shared" si="17"/>
        <v>0.8286604361</v>
      </c>
      <c r="K122" s="60">
        <f t="shared" si="18"/>
        <v>0.6143302181</v>
      </c>
      <c r="L122" s="22">
        <v>0.727</v>
      </c>
      <c r="M122" s="22">
        <v>0.254</v>
      </c>
      <c r="N122" s="22">
        <v>0.775</v>
      </c>
      <c r="O122" s="22">
        <v>0.891</v>
      </c>
      <c r="P122" s="22">
        <v>55.0</v>
      </c>
      <c r="Q122" s="22">
        <v>116.0</v>
      </c>
      <c r="R122" s="22">
        <v>49.0</v>
      </c>
      <c r="S122" s="22">
        <v>399.0</v>
      </c>
    </row>
    <row r="123">
      <c r="A123" s="23"/>
      <c r="B123" s="23"/>
      <c r="C123" s="23"/>
      <c r="D123" s="11"/>
      <c r="E123" s="22">
        <v>0.617</v>
      </c>
      <c r="F123" s="22">
        <v>0.711</v>
      </c>
      <c r="G123" s="22">
        <v>0.733</v>
      </c>
      <c r="H123" s="22">
        <v>0.716</v>
      </c>
      <c r="I123" s="60">
        <f t="shared" si="16"/>
        <v>0.425087108</v>
      </c>
      <c r="J123" s="60">
        <f t="shared" si="17"/>
        <v>0.8264984227</v>
      </c>
      <c r="K123" s="60">
        <f t="shared" si="18"/>
        <v>0.6257927654</v>
      </c>
      <c r="L123" s="22">
        <v>0.73</v>
      </c>
      <c r="M123" s="22">
        <v>0.268</v>
      </c>
      <c r="N123" s="22">
        <v>0.781</v>
      </c>
      <c r="O123" s="22">
        <v>0.877</v>
      </c>
      <c r="P123" s="22">
        <v>61.0</v>
      </c>
      <c r="Q123" s="22">
        <v>110.0</v>
      </c>
      <c r="R123" s="22">
        <v>55.0</v>
      </c>
      <c r="S123" s="22">
        <v>393.0</v>
      </c>
    </row>
    <row r="124">
      <c r="A124" s="23"/>
      <c r="B124" s="23"/>
      <c r="C124" s="23"/>
      <c r="D124" s="11"/>
      <c r="E124" s="22">
        <v>0.591</v>
      </c>
      <c r="F124" s="22">
        <v>0.708</v>
      </c>
      <c r="G124" s="22">
        <v>0.738</v>
      </c>
      <c r="H124" s="22">
        <v>0.703</v>
      </c>
      <c r="I124" s="60">
        <f t="shared" si="16"/>
        <v>0.3571428571</v>
      </c>
      <c r="J124" s="60">
        <f t="shared" si="17"/>
        <v>0.8356997972</v>
      </c>
      <c r="K124" s="60">
        <f t="shared" si="18"/>
        <v>0.5964213272</v>
      </c>
      <c r="L124" s="22">
        <v>0.741</v>
      </c>
      <c r="M124" s="22">
        <v>0.242</v>
      </c>
      <c r="N124" s="22">
        <v>0.766</v>
      </c>
      <c r="O124" s="22">
        <v>0.92</v>
      </c>
      <c r="P124" s="22">
        <v>45.0</v>
      </c>
      <c r="Q124" s="22">
        <v>126.0</v>
      </c>
      <c r="R124" s="22">
        <v>36.0</v>
      </c>
      <c r="S124" s="22">
        <v>412.0</v>
      </c>
    </row>
    <row r="125">
      <c r="A125" s="23"/>
      <c r="B125" s="23"/>
      <c r="C125" s="23"/>
      <c r="D125" s="11"/>
      <c r="E125" s="22">
        <v>0.607</v>
      </c>
      <c r="F125" s="22">
        <v>0.713</v>
      </c>
      <c r="G125" s="22">
        <v>0.74</v>
      </c>
      <c r="H125" s="22">
        <v>0.713</v>
      </c>
      <c r="I125" s="60">
        <f t="shared" si="16"/>
        <v>0.3970037453</v>
      </c>
      <c r="J125" s="60">
        <f t="shared" si="17"/>
        <v>0.8341915551</v>
      </c>
      <c r="K125" s="60">
        <f t="shared" si="18"/>
        <v>0.6155976502</v>
      </c>
      <c r="L125" s="22">
        <v>0.723</v>
      </c>
      <c r="M125" s="22">
        <v>0.264</v>
      </c>
      <c r="N125" s="22">
        <v>0.774</v>
      </c>
      <c r="O125" s="22">
        <v>0.904</v>
      </c>
      <c r="P125" s="22">
        <v>53.0</v>
      </c>
      <c r="Q125" s="22">
        <v>118.0</v>
      </c>
      <c r="R125" s="22">
        <v>43.0</v>
      </c>
      <c r="S125" s="22">
        <v>405.0</v>
      </c>
    </row>
    <row r="126">
      <c r="A126" s="23"/>
      <c r="B126" s="23"/>
      <c r="C126" s="23"/>
      <c r="D126" s="11"/>
      <c r="E126" s="22">
        <v>0.588</v>
      </c>
      <c r="F126" s="22">
        <v>0.72</v>
      </c>
      <c r="G126" s="22">
        <v>0.746</v>
      </c>
      <c r="H126" s="22">
        <v>0.703</v>
      </c>
      <c r="I126" s="60">
        <f t="shared" si="16"/>
        <v>0.3375527426</v>
      </c>
      <c r="J126" s="60">
        <f t="shared" si="17"/>
        <v>0.8431568432</v>
      </c>
      <c r="K126" s="60">
        <f t="shared" si="18"/>
        <v>0.5903547929</v>
      </c>
      <c r="L126" s="22">
        <v>0.756</v>
      </c>
      <c r="M126" s="22">
        <v>0.255</v>
      </c>
      <c r="N126" s="22">
        <v>0.763</v>
      </c>
      <c r="O126" s="22">
        <v>0.942</v>
      </c>
      <c r="P126" s="22">
        <v>40.0</v>
      </c>
      <c r="Q126" s="22">
        <v>131.0</v>
      </c>
      <c r="R126" s="22">
        <v>26.0</v>
      </c>
      <c r="S126" s="22">
        <v>422.0</v>
      </c>
    </row>
    <row r="127">
      <c r="A127" s="23"/>
      <c r="B127" s="23"/>
      <c r="C127" s="23"/>
      <c r="D127" s="11"/>
      <c r="E127" s="22">
        <v>0.574</v>
      </c>
      <c r="F127" s="22">
        <v>0.696</v>
      </c>
      <c r="G127" s="22">
        <v>0.732</v>
      </c>
      <c r="H127" s="22">
        <v>0.69</v>
      </c>
      <c r="I127" s="60">
        <f t="shared" si="16"/>
        <v>0.3140495868</v>
      </c>
      <c r="J127" s="60">
        <f t="shared" si="17"/>
        <v>0.8333333333</v>
      </c>
      <c r="K127" s="60">
        <f t="shared" si="18"/>
        <v>0.5736914601</v>
      </c>
      <c r="L127" s="22">
        <v>0.744</v>
      </c>
      <c r="M127" s="22">
        <v>0.208</v>
      </c>
      <c r="N127" s="22">
        <v>0.757</v>
      </c>
      <c r="O127" s="22">
        <v>0.926</v>
      </c>
      <c r="P127" s="22">
        <v>38.0</v>
      </c>
      <c r="Q127" s="22">
        <v>133.0</v>
      </c>
      <c r="R127" s="22">
        <v>33.0</v>
      </c>
      <c r="S127" s="22">
        <v>415.0</v>
      </c>
    </row>
    <row r="128">
      <c r="A128" s="23"/>
      <c r="B128" s="23"/>
      <c r="C128" s="23"/>
      <c r="D128" s="11"/>
      <c r="E128" s="22">
        <v>0.59</v>
      </c>
      <c r="F128" s="22">
        <v>0.706</v>
      </c>
      <c r="G128" s="22">
        <v>0.737</v>
      </c>
      <c r="H128" s="22">
        <v>0.702</v>
      </c>
      <c r="I128" s="60">
        <f t="shared" si="16"/>
        <v>0.3557312253</v>
      </c>
      <c r="J128" s="60">
        <f t="shared" si="17"/>
        <v>0.8345177665</v>
      </c>
      <c r="K128" s="60">
        <f t="shared" si="18"/>
        <v>0.5951244959</v>
      </c>
      <c r="L128" s="22">
        <v>0.742</v>
      </c>
      <c r="M128" s="22">
        <v>0.238</v>
      </c>
      <c r="N128" s="22">
        <v>0.765</v>
      </c>
      <c r="O128" s="22">
        <v>0.917</v>
      </c>
      <c r="P128" s="22">
        <v>45.0</v>
      </c>
      <c r="Q128" s="22">
        <v>126.0</v>
      </c>
      <c r="R128" s="22">
        <v>37.0</v>
      </c>
      <c r="S128" s="22">
        <v>411.0</v>
      </c>
    </row>
    <row r="129">
      <c r="A129" s="23"/>
      <c r="B129" s="23"/>
      <c r="C129" s="23"/>
      <c r="D129" s="11"/>
      <c r="E129" s="22">
        <v>0.586</v>
      </c>
      <c r="F129" s="22">
        <v>0.707</v>
      </c>
      <c r="G129" s="22">
        <v>0.738</v>
      </c>
      <c r="H129" s="22">
        <v>0.7</v>
      </c>
      <c r="I129" s="60">
        <f t="shared" si="16"/>
        <v>0.3414634146</v>
      </c>
      <c r="J129" s="60">
        <f t="shared" si="17"/>
        <v>0.8366935484</v>
      </c>
      <c r="K129" s="60">
        <f t="shared" si="18"/>
        <v>0.5890784815</v>
      </c>
      <c r="L129" s="22">
        <v>0.749</v>
      </c>
      <c r="M129" s="22">
        <v>0.236</v>
      </c>
      <c r="N129" s="22">
        <v>0.763</v>
      </c>
      <c r="O129" s="22">
        <v>0.926</v>
      </c>
      <c r="P129" s="22">
        <v>42.0</v>
      </c>
      <c r="Q129" s="22">
        <v>129.0</v>
      </c>
      <c r="R129" s="22">
        <v>33.0</v>
      </c>
      <c r="S129" s="22">
        <v>415.0</v>
      </c>
    </row>
    <row r="130">
      <c r="A130" s="23"/>
      <c r="B130" s="23"/>
      <c r="C130" s="23"/>
      <c r="D130" s="11"/>
      <c r="E130" s="22">
        <v>0.61</v>
      </c>
      <c r="F130" s="22">
        <v>0.715</v>
      </c>
      <c r="G130" s="22">
        <v>0.742</v>
      </c>
      <c r="H130" s="22">
        <v>0.716</v>
      </c>
      <c r="I130" s="60">
        <f t="shared" si="16"/>
        <v>0.4029850746</v>
      </c>
      <c r="J130" s="60">
        <f t="shared" si="17"/>
        <v>0.8350515464</v>
      </c>
      <c r="K130" s="60">
        <f t="shared" si="18"/>
        <v>0.6190183105</v>
      </c>
      <c r="L130" s="22">
        <v>0.718</v>
      </c>
      <c r="M130" s="22">
        <v>0.27</v>
      </c>
      <c r="N130" s="22">
        <v>0.776</v>
      </c>
      <c r="O130" s="22">
        <v>0.904</v>
      </c>
      <c r="P130" s="22">
        <v>54.0</v>
      </c>
      <c r="Q130" s="22">
        <v>117.0</v>
      </c>
      <c r="R130" s="22">
        <v>43.0</v>
      </c>
      <c r="S130" s="22">
        <v>405.0</v>
      </c>
    </row>
    <row r="131">
      <c r="A131" s="23"/>
      <c r="B131" s="23"/>
      <c r="C131" s="23"/>
      <c r="D131" s="11"/>
      <c r="E131" s="22">
        <v>0.562</v>
      </c>
      <c r="F131" s="22">
        <v>0.7</v>
      </c>
      <c r="G131" s="22">
        <v>0.735</v>
      </c>
      <c r="H131" s="22">
        <v>0.681</v>
      </c>
      <c r="I131" s="60">
        <f t="shared" si="16"/>
        <v>0.2678571429</v>
      </c>
      <c r="J131" s="60">
        <f t="shared" si="17"/>
        <v>0.8382642998</v>
      </c>
      <c r="K131" s="60">
        <f t="shared" si="18"/>
        <v>0.5530607213</v>
      </c>
      <c r="L131" s="22">
        <v>0.749</v>
      </c>
      <c r="M131" s="22">
        <v>0.198</v>
      </c>
      <c r="N131" s="22">
        <v>0.751</v>
      </c>
      <c r="O131" s="22">
        <v>0.949</v>
      </c>
      <c r="P131" s="22">
        <v>30.0</v>
      </c>
      <c r="Q131" s="22">
        <v>141.0</v>
      </c>
      <c r="R131" s="22">
        <v>23.0</v>
      </c>
      <c r="S131" s="22">
        <v>425.0</v>
      </c>
    </row>
    <row r="132">
      <c r="A132" s="23"/>
      <c r="B132" s="23"/>
      <c r="C132" s="23"/>
      <c r="D132" s="11"/>
      <c r="E132" s="22">
        <v>0.629</v>
      </c>
      <c r="F132" s="22">
        <v>0.706</v>
      </c>
      <c r="G132" s="22">
        <v>0.714</v>
      </c>
      <c r="H132" s="22">
        <v>0.71</v>
      </c>
      <c r="I132" s="60">
        <f t="shared" si="16"/>
        <v>0.4587155963</v>
      </c>
      <c r="J132" s="60">
        <f t="shared" si="17"/>
        <v>0.8057080132</v>
      </c>
      <c r="K132" s="60">
        <f t="shared" si="18"/>
        <v>0.6322118048</v>
      </c>
      <c r="L132" s="22">
        <v>0.707</v>
      </c>
      <c r="M132" s="22">
        <v>0.265</v>
      </c>
      <c r="N132" s="22">
        <v>0.793</v>
      </c>
      <c r="O132" s="22">
        <v>0.819</v>
      </c>
      <c r="P132" s="22">
        <v>75.0</v>
      </c>
      <c r="Q132" s="22">
        <v>96.0</v>
      </c>
      <c r="R132" s="22">
        <v>81.0</v>
      </c>
      <c r="S132" s="22">
        <v>367.0</v>
      </c>
    </row>
    <row r="133">
      <c r="A133" s="23"/>
      <c r="B133" s="23"/>
      <c r="C133" s="23"/>
      <c r="D133" s="71" t="s">
        <v>23</v>
      </c>
      <c r="E133" s="22">
        <v>0.603</v>
      </c>
      <c r="F133" s="22">
        <v>0.713</v>
      </c>
      <c r="G133" s="22">
        <v>0.738</v>
      </c>
      <c r="H133" s="22">
        <v>0.709</v>
      </c>
      <c r="I133" s="60">
        <f t="shared" ref="I133:K133" si="19">MEDIAN(I103:I132)</f>
        <v>0.394580304</v>
      </c>
      <c r="J133" s="60">
        <f t="shared" si="19"/>
        <v>0.8347846564</v>
      </c>
      <c r="K133" s="60">
        <f t="shared" si="19"/>
        <v>0.6149639341</v>
      </c>
      <c r="L133" s="22">
        <v>0.738</v>
      </c>
      <c r="M133" s="22">
        <v>0.259</v>
      </c>
      <c r="N133" s="22">
        <v>0.773</v>
      </c>
      <c r="O133" s="22">
        <v>0.905</v>
      </c>
      <c r="P133" s="22">
        <v>51.6</v>
      </c>
      <c r="Q133" s="22">
        <v>119.4</v>
      </c>
      <c r="R133" s="22">
        <v>42.633</v>
      </c>
      <c r="S133" s="22">
        <v>405.367</v>
      </c>
    </row>
    <row r="134">
      <c r="A134" s="72"/>
      <c r="B134" s="72"/>
      <c r="C134" s="72"/>
      <c r="D134" s="73" t="s">
        <v>232</v>
      </c>
      <c r="E134" s="22">
        <v>0.017</v>
      </c>
      <c r="F134" s="22">
        <v>0.01</v>
      </c>
      <c r="G134" s="22">
        <v>0.01</v>
      </c>
      <c r="H134" s="22">
        <v>0.01</v>
      </c>
      <c r="I134" s="60">
        <f t="shared" ref="I134:K134" si="20"> _xlfn.STDEV.P(I103:I132)</f>
        <v>0.04618250336</v>
      </c>
      <c r="J134" s="60">
        <f t="shared" si="20"/>
        <v>0.009714905087</v>
      </c>
      <c r="K134" s="60">
        <f t="shared" si="20"/>
        <v>0.02055919222</v>
      </c>
      <c r="L134" s="22">
        <v>0.014</v>
      </c>
      <c r="M134" s="22">
        <v>0.024</v>
      </c>
      <c r="N134" s="22">
        <v>0.01</v>
      </c>
      <c r="O134" s="22">
        <v>0.033</v>
      </c>
      <c r="P134" s="22">
        <v>10.682</v>
      </c>
      <c r="Q134" s="22">
        <v>10.682</v>
      </c>
      <c r="R134" s="22">
        <v>14.561</v>
      </c>
      <c r="S134" s="22">
        <v>14.561</v>
      </c>
    </row>
  </sheetData>
  <mergeCells count="12">
    <mergeCell ref="B70:B101"/>
    <mergeCell ref="C70:C101"/>
    <mergeCell ref="A103:A134"/>
    <mergeCell ref="B103:B134"/>
    <mergeCell ref="C103:C134"/>
    <mergeCell ref="A4:A35"/>
    <mergeCell ref="B4:B35"/>
    <mergeCell ref="C4:C35"/>
    <mergeCell ref="A37:A68"/>
    <mergeCell ref="B37:B68"/>
    <mergeCell ref="C37:C68"/>
    <mergeCell ref="A70:A10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5"/>
    <col customWidth="1" min="2" max="2" width="22.88"/>
    <col customWidth="1" min="3" max="3" width="27.25"/>
  </cols>
  <sheetData>
    <row r="1">
      <c r="A1" s="1" t="s">
        <v>0</v>
      </c>
      <c r="B1" s="2" t="s">
        <v>1</v>
      </c>
      <c r="C1" s="3" t="s">
        <v>2</v>
      </c>
      <c r="D1" s="5"/>
      <c r="E1" s="6" t="s">
        <v>3</v>
      </c>
      <c r="F1" s="6" t="s">
        <v>4</v>
      </c>
      <c r="G1" s="6" t="s">
        <v>5</v>
      </c>
      <c r="H1" s="6" t="s">
        <v>6</v>
      </c>
      <c r="I1" s="7" t="s">
        <v>225</v>
      </c>
      <c r="J1" s="7" t="s">
        <v>226</v>
      </c>
      <c r="K1" s="7" t="s">
        <v>227</v>
      </c>
      <c r="L1" s="6" t="s">
        <v>7</v>
      </c>
      <c r="M1" s="6" t="s">
        <v>8</v>
      </c>
      <c r="N1" s="7" t="s">
        <v>9</v>
      </c>
      <c r="O1" s="6" t="s">
        <v>10</v>
      </c>
      <c r="P1" s="6" t="s">
        <v>237</v>
      </c>
      <c r="Q1" s="6" t="s">
        <v>12</v>
      </c>
      <c r="R1" s="6" t="s">
        <v>13</v>
      </c>
      <c r="S1" s="6" t="s">
        <v>238</v>
      </c>
    </row>
    <row r="2" ht="28.5" customHeight="1">
      <c r="A2" s="8" t="s">
        <v>18</v>
      </c>
      <c r="B2" s="9"/>
      <c r="C2" s="82" t="s">
        <v>19</v>
      </c>
      <c r="D2" s="11"/>
      <c r="E2" s="12">
        <v>0.652</v>
      </c>
      <c r="F2" s="12">
        <v>0.724</v>
      </c>
      <c r="G2" s="12">
        <v>0.727</v>
      </c>
      <c r="H2" s="12">
        <v>0.725</v>
      </c>
      <c r="I2" s="60">
        <f>(2*P2)/((2*P2) + Q2 + R2)</f>
        <v>0.4955223881</v>
      </c>
      <c r="J2" s="60">
        <f>(2*S2)/((2*S2) + Q2 + R2)</f>
        <v>0.8128460687</v>
      </c>
      <c r="K2" s="60">
        <f> MEDIAN(I2,J2)</f>
        <v>0.6541842284</v>
      </c>
      <c r="L2" s="12">
        <v>0.684</v>
      </c>
      <c r="M2" s="12">
        <v>0.309</v>
      </c>
      <c r="N2" s="12">
        <v>0.807</v>
      </c>
      <c r="O2" s="12">
        <v>0.819</v>
      </c>
      <c r="P2" s="13">
        <v>83.0</v>
      </c>
      <c r="Q2" s="13">
        <v>88.0</v>
      </c>
      <c r="R2" s="13">
        <v>81.0</v>
      </c>
      <c r="S2" s="14">
        <v>367.0</v>
      </c>
    </row>
    <row r="3">
      <c r="I3" s="60"/>
      <c r="J3" s="60"/>
      <c r="K3" s="60"/>
    </row>
    <row r="4">
      <c r="A4" s="77" t="s">
        <v>230</v>
      </c>
      <c r="B4" s="78" t="s">
        <v>231</v>
      </c>
      <c r="C4" s="78" t="s">
        <v>215</v>
      </c>
      <c r="D4" s="79"/>
      <c r="E4" s="32">
        <v>0.644</v>
      </c>
      <c r="F4" s="32">
        <v>0.72</v>
      </c>
      <c r="G4" s="32">
        <v>0.729</v>
      </c>
      <c r="H4" s="32">
        <v>0.724</v>
      </c>
      <c r="I4" s="60">
        <f t="shared" ref="I4:I33" si="1">(2*P4)/((2*P4) + Q4 + R4)</f>
        <v>0.4814814815</v>
      </c>
      <c r="J4" s="60">
        <f t="shared" ref="J4:J33" si="2">(2*S4)/((2*S4) + Q4 + R4)</f>
        <v>0.8161925602</v>
      </c>
      <c r="K4" s="60">
        <f t="shared" ref="K4:K33" si="3"> MEDIAN(I4,J4)</f>
        <v>0.6488370208</v>
      </c>
      <c r="L4" s="32">
        <v>0.699</v>
      </c>
      <c r="M4" s="32">
        <v>0.299</v>
      </c>
      <c r="N4" s="32">
        <v>0.8</v>
      </c>
      <c r="O4" s="32">
        <v>0.833</v>
      </c>
      <c r="P4" s="32">
        <v>78.0</v>
      </c>
      <c r="Q4" s="32">
        <v>93.0</v>
      </c>
      <c r="R4" s="22">
        <v>75.0</v>
      </c>
      <c r="S4" s="32">
        <v>373.0</v>
      </c>
    </row>
    <row r="5">
      <c r="A5" s="23"/>
      <c r="B5" s="23"/>
      <c r="C5" s="23"/>
      <c r="D5" s="69"/>
      <c r="E5" s="22">
        <v>0.646</v>
      </c>
      <c r="F5" s="32">
        <v>0.717</v>
      </c>
      <c r="G5" s="22">
        <v>0.717</v>
      </c>
      <c r="H5" s="22">
        <v>0.717</v>
      </c>
      <c r="I5" s="60">
        <f t="shared" si="1"/>
        <v>0.4868035191</v>
      </c>
      <c r="J5" s="60">
        <f t="shared" si="2"/>
        <v>0.8049052397</v>
      </c>
      <c r="K5" s="60">
        <f t="shared" si="3"/>
        <v>0.6458543794</v>
      </c>
      <c r="L5" s="22">
        <v>0.662</v>
      </c>
      <c r="M5" s="22">
        <v>0.292</v>
      </c>
      <c r="N5" s="22">
        <v>0.804</v>
      </c>
      <c r="O5" s="32">
        <v>0.806</v>
      </c>
      <c r="P5" s="22">
        <v>83.0</v>
      </c>
      <c r="Q5" s="22">
        <v>88.0</v>
      </c>
      <c r="R5" s="22">
        <v>87.0</v>
      </c>
      <c r="S5" s="22">
        <v>361.0</v>
      </c>
    </row>
    <row r="6">
      <c r="A6" s="23"/>
      <c r="B6" s="23"/>
      <c r="C6" s="23"/>
      <c r="D6" s="70"/>
      <c r="E6" s="22">
        <v>0.632</v>
      </c>
      <c r="F6" s="22">
        <v>0.71</v>
      </c>
      <c r="G6" s="22">
        <v>0.721</v>
      </c>
      <c r="H6" s="22">
        <v>0.715</v>
      </c>
      <c r="I6" s="60">
        <f t="shared" si="1"/>
        <v>0.46105919</v>
      </c>
      <c r="J6" s="60">
        <f t="shared" si="2"/>
        <v>0.8113413304</v>
      </c>
      <c r="K6" s="60">
        <f t="shared" si="3"/>
        <v>0.6362002602</v>
      </c>
      <c r="L6" s="22">
        <v>0.705</v>
      </c>
      <c r="M6" s="22">
        <v>0.275</v>
      </c>
      <c r="N6" s="22">
        <v>0.793</v>
      </c>
      <c r="O6" s="22">
        <v>0.83</v>
      </c>
      <c r="P6" s="22">
        <v>74.0</v>
      </c>
      <c r="Q6" s="22">
        <v>97.0</v>
      </c>
      <c r="R6" s="22">
        <v>76.0</v>
      </c>
      <c r="S6" s="22">
        <v>372.0</v>
      </c>
    </row>
    <row r="7">
      <c r="A7" s="23"/>
      <c r="B7" s="23"/>
      <c r="C7" s="23"/>
      <c r="D7" s="70"/>
      <c r="E7" s="22">
        <v>0.638</v>
      </c>
      <c r="F7" s="22">
        <v>0.718</v>
      </c>
      <c r="G7" s="22">
        <v>0.73</v>
      </c>
      <c r="H7" s="22">
        <v>0.723</v>
      </c>
      <c r="I7" s="60">
        <f t="shared" si="1"/>
        <v>0.4698412698</v>
      </c>
      <c r="J7" s="60">
        <f t="shared" si="2"/>
        <v>0.8190682557</v>
      </c>
      <c r="K7" s="60">
        <f t="shared" si="3"/>
        <v>0.6444547628</v>
      </c>
      <c r="L7" s="22">
        <v>0.696</v>
      </c>
      <c r="M7" s="22">
        <v>0.293</v>
      </c>
      <c r="N7" s="22">
        <v>0.796</v>
      </c>
      <c r="O7" s="22">
        <v>0.844</v>
      </c>
      <c r="P7" s="22">
        <v>74.0</v>
      </c>
      <c r="Q7" s="22">
        <v>97.0</v>
      </c>
      <c r="R7" s="22">
        <v>70.0</v>
      </c>
      <c r="S7" s="22">
        <v>378.0</v>
      </c>
    </row>
    <row r="8">
      <c r="A8" s="23"/>
      <c r="B8" s="23"/>
      <c r="C8" s="23"/>
      <c r="D8" s="70"/>
      <c r="E8" s="22">
        <v>0.634</v>
      </c>
      <c r="F8" s="22">
        <v>0.715</v>
      </c>
      <c r="G8" s="22">
        <v>0.729</v>
      </c>
      <c r="H8" s="22">
        <v>0.72</v>
      </c>
      <c r="I8" s="60">
        <f t="shared" si="1"/>
        <v>0.4615384615</v>
      </c>
      <c r="J8" s="60">
        <f t="shared" si="2"/>
        <v>0.818574514</v>
      </c>
      <c r="K8" s="60">
        <f t="shared" si="3"/>
        <v>0.6400564878</v>
      </c>
      <c r="L8" s="22">
        <v>0.679</v>
      </c>
      <c r="M8" s="22">
        <v>0.285</v>
      </c>
      <c r="N8" s="22">
        <v>0.793</v>
      </c>
      <c r="O8" s="22">
        <v>0.846</v>
      </c>
      <c r="P8" s="22">
        <v>72.0</v>
      </c>
      <c r="Q8" s="22">
        <v>99.0</v>
      </c>
      <c r="R8" s="22">
        <v>69.0</v>
      </c>
      <c r="S8" s="22">
        <v>379.0</v>
      </c>
    </row>
    <row r="9">
      <c r="A9" s="23"/>
      <c r="B9" s="23"/>
      <c r="C9" s="23"/>
      <c r="D9" s="70"/>
      <c r="E9" s="22">
        <v>0.64</v>
      </c>
      <c r="F9" s="22">
        <v>0.717</v>
      </c>
      <c r="G9" s="22">
        <v>0.725</v>
      </c>
      <c r="H9" s="22">
        <v>0.72</v>
      </c>
      <c r="I9" s="60">
        <f t="shared" si="1"/>
        <v>0.475308642</v>
      </c>
      <c r="J9" s="60">
        <f t="shared" si="2"/>
        <v>0.8140043764</v>
      </c>
      <c r="K9" s="60">
        <f t="shared" si="3"/>
        <v>0.6446565092</v>
      </c>
      <c r="L9" s="22">
        <v>0.708</v>
      </c>
      <c r="M9" s="22">
        <v>0.291</v>
      </c>
      <c r="N9" s="22">
        <v>0.798</v>
      </c>
      <c r="O9" s="22">
        <v>0.83</v>
      </c>
      <c r="P9" s="22">
        <v>77.0</v>
      </c>
      <c r="Q9" s="22">
        <v>94.0</v>
      </c>
      <c r="R9" s="22">
        <v>76.0</v>
      </c>
      <c r="S9" s="22">
        <v>372.0</v>
      </c>
    </row>
    <row r="10">
      <c r="A10" s="23"/>
      <c r="B10" s="23"/>
      <c r="C10" s="23"/>
      <c r="D10" s="70"/>
      <c r="E10" s="22">
        <v>0.644</v>
      </c>
      <c r="F10" s="22">
        <v>0.72</v>
      </c>
      <c r="G10" s="22">
        <v>0.73</v>
      </c>
      <c r="H10" s="22">
        <v>0.724</v>
      </c>
      <c r="I10" s="60">
        <f t="shared" si="1"/>
        <v>0.4797507788</v>
      </c>
      <c r="J10" s="60">
        <f t="shared" si="2"/>
        <v>0.8178844057</v>
      </c>
      <c r="K10" s="60">
        <f t="shared" si="3"/>
        <v>0.6488175922</v>
      </c>
      <c r="L10" s="22">
        <v>0.692</v>
      </c>
      <c r="M10" s="22">
        <v>0.3</v>
      </c>
      <c r="N10" s="22">
        <v>0.8</v>
      </c>
      <c r="O10" s="22">
        <v>0.837</v>
      </c>
      <c r="P10" s="22">
        <v>77.0</v>
      </c>
      <c r="Q10" s="22">
        <v>94.0</v>
      </c>
      <c r="R10" s="22">
        <v>73.0</v>
      </c>
      <c r="S10" s="22">
        <v>375.0</v>
      </c>
    </row>
    <row r="11">
      <c r="A11" s="23"/>
      <c r="B11" s="23"/>
      <c r="C11" s="23"/>
      <c r="D11" s="70"/>
      <c r="E11" s="22">
        <v>0.639</v>
      </c>
      <c r="F11" s="22">
        <v>0.716</v>
      </c>
      <c r="G11" s="22">
        <v>0.725</v>
      </c>
      <c r="H11" s="22">
        <v>0.72</v>
      </c>
      <c r="I11" s="60">
        <f t="shared" si="1"/>
        <v>0.4720496894</v>
      </c>
      <c r="J11" s="60">
        <f t="shared" si="2"/>
        <v>0.8144104803</v>
      </c>
      <c r="K11" s="60">
        <f t="shared" si="3"/>
        <v>0.6432300849</v>
      </c>
      <c r="L11" s="22">
        <v>0.687</v>
      </c>
      <c r="M11" s="22">
        <v>0.288</v>
      </c>
      <c r="N11" s="22">
        <v>0.797</v>
      </c>
      <c r="O11" s="22">
        <v>0.833</v>
      </c>
      <c r="P11" s="22">
        <v>76.0</v>
      </c>
      <c r="Q11" s="22">
        <v>95.0</v>
      </c>
      <c r="R11" s="22">
        <v>75.0</v>
      </c>
      <c r="S11" s="22">
        <v>373.0</v>
      </c>
    </row>
    <row r="12">
      <c r="A12" s="23"/>
      <c r="B12" s="23"/>
      <c r="C12" s="23"/>
      <c r="D12" s="70"/>
      <c r="E12" s="22">
        <v>0.647</v>
      </c>
      <c r="F12" s="22">
        <v>0.722</v>
      </c>
      <c r="G12" s="22">
        <v>0.73</v>
      </c>
      <c r="H12" s="22">
        <v>0.726</v>
      </c>
      <c r="I12" s="60">
        <f t="shared" si="1"/>
        <v>0.4861538462</v>
      </c>
      <c r="J12" s="60">
        <f t="shared" si="2"/>
        <v>0.8170865279</v>
      </c>
      <c r="K12" s="60">
        <f t="shared" si="3"/>
        <v>0.651620187</v>
      </c>
      <c r="L12" s="22">
        <v>0.698</v>
      </c>
      <c r="M12" s="22">
        <v>0.305</v>
      </c>
      <c r="N12" s="22">
        <v>0.802</v>
      </c>
      <c r="O12" s="22">
        <v>0.833</v>
      </c>
      <c r="P12" s="22">
        <v>79.0</v>
      </c>
      <c r="Q12" s="22">
        <v>92.0</v>
      </c>
      <c r="R12" s="22">
        <v>75.0</v>
      </c>
      <c r="S12" s="22">
        <v>373.0</v>
      </c>
    </row>
    <row r="13">
      <c r="A13" s="23"/>
      <c r="B13" s="23"/>
      <c r="C13" s="23"/>
      <c r="D13" s="70"/>
      <c r="E13" s="22">
        <v>0.638</v>
      </c>
      <c r="F13" s="22">
        <v>0.714</v>
      </c>
      <c r="G13" s="22">
        <v>0.722</v>
      </c>
      <c r="H13" s="22">
        <v>0.718</v>
      </c>
      <c r="I13" s="60">
        <f t="shared" si="1"/>
        <v>0.472392638</v>
      </c>
      <c r="J13" s="60">
        <f t="shared" si="2"/>
        <v>0.8114035088</v>
      </c>
      <c r="K13" s="60">
        <f t="shared" si="3"/>
        <v>0.6418980734</v>
      </c>
      <c r="L13" s="22">
        <v>0.694</v>
      </c>
      <c r="M13" s="22">
        <v>0.285</v>
      </c>
      <c r="N13" s="22">
        <v>0.797</v>
      </c>
      <c r="O13" s="22">
        <v>0.826</v>
      </c>
      <c r="P13" s="22">
        <v>77.0</v>
      </c>
      <c r="Q13" s="22">
        <v>94.0</v>
      </c>
      <c r="R13" s="22">
        <v>78.0</v>
      </c>
      <c r="S13" s="22">
        <v>370.0</v>
      </c>
    </row>
    <row r="14">
      <c r="A14" s="23"/>
      <c r="B14" s="23"/>
      <c r="C14" s="23"/>
      <c r="D14" s="11"/>
      <c r="E14" s="22">
        <v>0.634</v>
      </c>
      <c r="F14" s="22">
        <v>0.711</v>
      </c>
      <c r="G14" s="22">
        <v>0.719</v>
      </c>
      <c r="H14" s="22">
        <v>0.714</v>
      </c>
      <c r="I14" s="60">
        <f t="shared" si="1"/>
        <v>0.4662576687</v>
      </c>
      <c r="J14" s="60">
        <f t="shared" si="2"/>
        <v>0.8092105263</v>
      </c>
      <c r="K14" s="60">
        <f t="shared" si="3"/>
        <v>0.6377340975</v>
      </c>
      <c r="L14" s="22">
        <v>0.7</v>
      </c>
      <c r="M14" s="22">
        <v>0.277</v>
      </c>
      <c r="N14" s="22">
        <v>0.795</v>
      </c>
      <c r="O14" s="22">
        <v>0.824</v>
      </c>
      <c r="P14" s="22">
        <v>76.0</v>
      </c>
      <c r="Q14" s="22">
        <v>95.0</v>
      </c>
      <c r="R14" s="22">
        <v>79.0</v>
      </c>
      <c r="S14" s="22">
        <v>369.0</v>
      </c>
    </row>
    <row r="15">
      <c r="A15" s="23"/>
      <c r="B15" s="23"/>
      <c r="C15" s="23"/>
      <c r="D15" s="11"/>
      <c r="E15" s="22">
        <v>0.637</v>
      </c>
      <c r="F15" s="22">
        <v>0.712</v>
      </c>
      <c r="G15" s="22">
        <v>0.717</v>
      </c>
      <c r="H15" s="22">
        <v>0.714</v>
      </c>
      <c r="I15" s="60">
        <f t="shared" si="1"/>
        <v>0.4712990937</v>
      </c>
      <c r="J15" s="60">
        <f t="shared" si="2"/>
        <v>0.8070562293</v>
      </c>
      <c r="K15" s="60">
        <f t="shared" si="3"/>
        <v>0.6391776615</v>
      </c>
      <c r="L15" s="22">
        <v>0.701</v>
      </c>
      <c r="M15" s="22">
        <v>0.279</v>
      </c>
      <c r="N15" s="22">
        <v>0.797</v>
      </c>
      <c r="O15" s="22">
        <v>0.817</v>
      </c>
      <c r="P15" s="22">
        <v>78.0</v>
      </c>
      <c r="Q15" s="22">
        <v>93.0</v>
      </c>
      <c r="R15" s="22">
        <v>82.0</v>
      </c>
      <c r="S15" s="22">
        <v>366.0</v>
      </c>
    </row>
    <row r="16">
      <c r="A16" s="23"/>
      <c r="B16" s="23"/>
      <c r="C16" s="23"/>
      <c r="D16" s="11"/>
      <c r="E16" s="22">
        <v>0.632</v>
      </c>
      <c r="F16" s="22">
        <v>0.71</v>
      </c>
      <c r="G16" s="22">
        <v>0.721</v>
      </c>
      <c r="H16" s="22">
        <v>0.715</v>
      </c>
      <c r="I16" s="60">
        <f t="shared" si="1"/>
        <v>0.46105919</v>
      </c>
      <c r="J16" s="60">
        <f t="shared" si="2"/>
        <v>0.8113413304</v>
      </c>
      <c r="K16" s="60">
        <f t="shared" si="3"/>
        <v>0.6362002602</v>
      </c>
      <c r="L16" s="22">
        <v>0.672</v>
      </c>
      <c r="M16" s="22">
        <v>0.275</v>
      </c>
      <c r="N16" s="22">
        <v>0.793</v>
      </c>
      <c r="O16" s="22">
        <v>0.83</v>
      </c>
      <c r="P16" s="22">
        <v>74.0</v>
      </c>
      <c r="Q16" s="22">
        <v>97.0</v>
      </c>
      <c r="R16" s="22">
        <v>76.0</v>
      </c>
      <c r="S16" s="22">
        <v>372.0</v>
      </c>
    </row>
    <row r="17">
      <c r="A17" s="23"/>
      <c r="B17" s="23"/>
      <c r="C17" s="23"/>
      <c r="D17" s="11"/>
      <c r="E17" s="22">
        <v>0.657</v>
      </c>
      <c r="F17" s="22">
        <v>0.727</v>
      </c>
      <c r="G17" s="22">
        <v>0.729</v>
      </c>
      <c r="H17" s="22">
        <v>0.728</v>
      </c>
      <c r="I17" s="60">
        <f t="shared" si="1"/>
        <v>0.5029585799</v>
      </c>
      <c r="J17" s="60">
        <f t="shared" si="2"/>
        <v>0.8133333333</v>
      </c>
      <c r="K17" s="60">
        <f t="shared" si="3"/>
        <v>0.6581459566</v>
      </c>
      <c r="L17" s="22">
        <v>0.663</v>
      </c>
      <c r="M17" s="22">
        <v>0.316</v>
      </c>
      <c r="N17" s="22">
        <v>0.81</v>
      </c>
      <c r="O17" s="22">
        <v>0.817</v>
      </c>
      <c r="P17" s="22">
        <v>85.0</v>
      </c>
      <c r="Q17" s="22">
        <v>86.0</v>
      </c>
      <c r="R17" s="22">
        <v>82.0</v>
      </c>
      <c r="S17" s="22">
        <v>366.0</v>
      </c>
    </row>
    <row r="18">
      <c r="A18" s="23"/>
      <c r="B18" s="23"/>
      <c r="C18" s="23"/>
      <c r="D18" s="11"/>
      <c r="E18" s="22">
        <v>0.629</v>
      </c>
      <c r="F18" s="22">
        <v>0.705</v>
      </c>
      <c r="G18" s="22">
        <v>0.709</v>
      </c>
      <c r="H18" s="22">
        <v>0.707</v>
      </c>
      <c r="I18" s="60">
        <f t="shared" si="1"/>
        <v>0.4610778443</v>
      </c>
      <c r="J18" s="60">
        <f t="shared" si="2"/>
        <v>0.8008849558</v>
      </c>
      <c r="K18" s="60">
        <f t="shared" si="3"/>
        <v>0.6309814</v>
      </c>
      <c r="L18" s="22">
        <v>0.652</v>
      </c>
      <c r="M18" s="22">
        <v>0.262</v>
      </c>
      <c r="N18" s="22">
        <v>0.794</v>
      </c>
      <c r="O18" s="22">
        <v>0.808</v>
      </c>
      <c r="P18" s="22">
        <v>77.0</v>
      </c>
      <c r="Q18" s="22">
        <v>94.0</v>
      </c>
      <c r="R18" s="22">
        <v>86.0</v>
      </c>
      <c r="S18" s="22">
        <v>362.0</v>
      </c>
    </row>
    <row r="19">
      <c r="A19" s="23"/>
      <c r="B19" s="23"/>
      <c r="C19" s="23"/>
      <c r="D19" s="11"/>
      <c r="E19" s="22">
        <v>0.639</v>
      </c>
      <c r="F19" s="22">
        <v>0.716</v>
      </c>
      <c r="G19" s="22">
        <v>0.724</v>
      </c>
      <c r="H19" s="22">
        <v>0.719</v>
      </c>
      <c r="I19" s="60">
        <f t="shared" si="1"/>
        <v>0.4738461538</v>
      </c>
      <c r="J19" s="60">
        <f t="shared" si="2"/>
        <v>0.8127053669</v>
      </c>
      <c r="K19" s="60">
        <f t="shared" si="3"/>
        <v>0.6432757604</v>
      </c>
      <c r="L19" s="22">
        <v>0.684</v>
      </c>
      <c r="M19" s="22">
        <v>0.288</v>
      </c>
      <c r="N19" s="22">
        <v>0.798</v>
      </c>
      <c r="O19" s="22">
        <v>0.828</v>
      </c>
      <c r="P19" s="22">
        <v>77.0</v>
      </c>
      <c r="Q19" s="22">
        <v>94.0</v>
      </c>
      <c r="R19" s="22">
        <v>77.0</v>
      </c>
      <c r="S19" s="22">
        <v>371.0</v>
      </c>
    </row>
    <row r="20">
      <c r="A20" s="23"/>
      <c r="B20" s="23"/>
      <c r="C20" s="23"/>
      <c r="D20" s="11"/>
      <c r="E20" s="22">
        <v>0.643</v>
      </c>
      <c r="F20" s="22">
        <v>0.719</v>
      </c>
      <c r="G20" s="22">
        <v>0.729</v>
      </c>
      <c r="H20" s="22">
        <v>0.723</v>
      </c>
      <c r="I20" s="60">
        <f t="shared" si="1"/>
        <v>0.4782608696</v>
      </c>
      <c r="J20" s="60">
        <f t="shared" si="2"/>
        <v>0.8165938865</v>
      </c>
      <c r="K20" s="60">
        <f t="shared" si="3"/>
        <v>0.647427378</v>
      </c>
      <c r="L20" s="22">
        <v>0.703</v>
      </c>
      <c r="M20" s="22">
        <v>0.297</v>
      </c>
      <c r="N20" s="22">
        <v>0.799</v>
      </c>
      <c r="O20" s="22">
        <v>0.835</v>
      </c>
      <c r="P20" s="22">
        <v>77.0</v>
      </c>
      <c r="Q20" s="22">
        <v>94.0</v>
      </c>
      <c r="R20" s="22">
        <v>74.0</v>
      </c>
      <c r="S20" s="22">
        <v>374.0</v>
      </c>
    </row>
    <row r="21">
      <c r="A21" s="23"/>
      <c r="B21" s="23"/>
      <c r="C21" s="23"/>
      <c r="D21" s="11"/>
      <c r="E21" s="22">
        <v>0.65</v>
      </c>
      <c r="F21" s="22">
        <v>0.723</v>
      </c>
      <c r="G21" s="22">
        <v>0.729</v>
      </c>
      <c r="H21" s="22">
        <v>0.725</v>
      </c>
      <c r="I21" s="60">
        <f t="shared" si="1"/>
        <v>0.4909090909</v>
      </c>
      <c r="J21" s="60">
        <f t="shared" si="2"/>
        <v>0.8149779736</v>
      </c>
      <c r="K21" s="60">
        <f t="shared" si="3"/>
        <v>0.6529435322</v>
      </c>
      <c r="L21" s="22">
        <v>0.665</v>
      </c>
      <c r="M21" s="22">
        <v>0.307</v>
      </c>
      <c r="N21" s="22">
        <v>0.804</v>
      </c>
      <c r="O21" s="22">
        <v>0.826</v>
      </c>
      <c r="P21" s="22">
        <v>81.0</v>
      </c>
      <c r="Q21" s="22">
        <v>90.0</v>
      </c>
      <c r="R21" s="22">
        <v>78.0</v>
      </c>
      <c r="S21" s="22">
        <v>370.0</v>
      </c>
    </row>
    <row r="22">
      <c r="A22" s="23"/>
      <c r="B22" s="23"/>
      <c r="C22" s="23"/>
      <c r="D22" s="11"/>
      <c r="E22" s="22">
        <v>0.635</v>
      </c>
      <c r="F22" s="22">
        <v>0.716</v>
      </c>
      <c r="G22" s="22">
        <v>0.729</v>
      </c>
      <c r="H22" s="22">
        <v>0.721</v>
      </c>
      <c r="I22" s="60">
        <f t="shared" si="1"/>
        <v>0.4649681529</v>
      </c>
      <c r="J22" s="60">
        <f t="shared" si="2"/>
        <v>0.8181818182</v>
      </c>
      <c r="K22" s="60">
        <f t="shared" si="3"/>
        <v>0.6415749855</v>
      </c>
      <c r="L22" s="22">
        <v>0.688</v>
      </c>
      <c r="M22" s="22">
        <v>0.287</v>
      </c>
      <c r="N22" s="22">
        <v>0.794</v>
      </c>
      <c r="O22" s="22">
        <v>0.844</v>
      </c>
      <c r="P22" s="22">
        <v>73.0</v>
      </c>
      <c r="Q22" s="22">
        <v>98.0</v>
      </c>
      <c r="R22" s="22">
        <v>70.0</v>
      </c>
      <c r="S22" s="22">
        <v>378.0</v>
      </c>
    </row>
    <row r="23">
      <c r="A23" s="23"/>
      <c r="B23" s="23"/>
      <c r="C23" s="23"/>
      <c r="D23" s="11"/>
      <c r="E23" s="22">
        <v>0.641</v>
      </c>
      <c r="F23" s="22">
        <v>0.715</v>
      </c>
      <c r="G23" s="22">
        <v>0.721</v>
      </c>
      <c r="H23" s="22">
        <v>0.718</v>
      </c>
      <c r="I23" s="60">
        <f t="shared" si="1"/>
        <v>0.4773413897</v>
      </c>
      <c r="J23" s="60">
        <f t="shared" si="2"/>
        <v>0.809261301</v>
      </c>
      <c r="K23" s="60">
        <f t="shared" si="3"/>
        <v>0.6433013454</v>
      </c>
      <c r="L23" s="22">
        <v>0.698</v>
      </c>
      <c r="M23" s="22">
        <v>0.287</v>
      </c>
      <c r="N23" s="22">
        <v>0.8</v>
      </c>
      <c r="O23" s="22">
        <v>0.819</v>
      </c>
      <c r="P23" s="22">
        <v>79.0</v>
      </c>
      <c r="Q23" s="22">
        <v>92.0</v>
      </c>
      <c r="R23" s="22">
        <v>81.0</v>
      </c>
      <c r="S23" s="22">
        <v>367.0</v>
      </c>
    </row>
    <row r="24">
      <c r="A24" s="23"/>
      <c r="B24" s="23"/>
      <c r="C24" s="23"/>
      <c r="D24" s="11"/>
      <c r="E24" s="22">
        <v>0.648</v>
      </c>
      <c r="F24" s="22">
        <v>0.724</v>
      </c>
      <c r="G24" s="22">
        <v>0.733</v>
      </c>
      <c r="H24" s="22">
        <v>0.728</v>
      </c>
      <c r="I24" s="60">
        <f t="shared" si="1"/>
        <v>0.4859813084</v>
      </c>
      <c r="J24" s="60">
        <f t="shared" si="2"/>
        <v>0.8200654308</v>
      </c>
      <c r="K24" s="60">
        <f t="shared" si="3"/>
        <v>0.6530233696</v>
      </c>
      <c r="L24" s="22">
        <v>0.698</v>
      </c>
      <c r="M24" s="22">
        <v>0.308</v>
      </c>
      <c r="N24" s="22">
        <v>0.802</v>
      </c>
      <c r="O24" s="22">
        <v>0.839</v>
      </c>
      <c r="P24" s="22">
        <v>78.0</v>
      </c>
      <c r="Q24" s="22">
        <v>93.0</v>
      </c>
      <c r="R24" s="22">
        <v>72.0</v>
      </c>
      <c r="S24" s="22">
        <v>376.0</v>
      </c>
    </row>
    <row r="25">
      <c r="A25" s="23"/>
      <c r="B25" s="23"/>
      <c r="C25" s="23"/>
      <c r="D25" s="11"/>
      <c r="E25" s="22">
        <v>0.667</v>
      </c>
      <c r="F25" s="22">
        <v>0.737</v>
      </c>
      <c r="G25" s="22">
        <v>0.743</v>
      </c>
      <c r="H25" s="22">
        <v>0.74</v>
      </c>
      <c r="I25" s="60">
        <f t="shared" si="1"/>
        <v>0.5167173252</v>
      </c>
      <c r="J25" s="60">
        <f t="shared" si="2"/>
        <v>0.8250825083</v>
      </c>
      <c r="K25" s="60">
        <f t="shared" si="3"/>
        <v>0.6708999167</v>
      </c>
      <c r="L25" s="22">
        <v>0.684</v>
      </c>
      <c r="M25" s="22">
        <v>0.343</v>
      </c>
      <c r="N25" s="22">
        <v>0.813</v>
      </c>
      <c r="O25" s="22">
        <v>0.837</v>
      </c>
      <c r="P25" s="22">
        <v>85.0</v>
      </c>
      <c r="Q25" s="22">
        <v>86.0</v>
      </c>
      <c r="R25" s="22">
        <v>73.0</v>
      </c>
      <c r="S25" s="22">
        <v>375.0</v>
      </c>
    </row>
    <row r="26">
      <c r="A26" s="23"/>
      <c r="B26" s="23"/>
      <c r="C26" s="23"/>
      <c r="D26" s="11"/>
      <c r="E26" s="22">
        <v>0.647</v>
      </c>
      <c r="F26" s="22">
        <v>0.722</v>
      </c>
      <c r="G26" s="22">
        <v>0.73</v>
      </c>
      <c r="H26" s="22">
        <v>0.726</v>
      </c>
      <c r="I26" s="60">
        <f t="shared" si="1"/>
        <v>0.4861538462</v>
      </c>
      <c r="J26" s="60">
        <f t="shared" si="2"/>
        <v>0.8170865279</v>
      </c>
      <c r="K26" s="60">
        <f t="shared" si="3"/>
        <v>0.651620187</v>
      </c>
      <c r="L26" s="22">
        <v>0.696</v>
      </c>
      <c r="M26" s="22">
        <v>0.305</v>
      </c>
      <c r="N26" s="22">
        <v>0.802</v>
      </c>
      <c r="O26" s="22">
        <v>0.833</v>
      </c>
      <c r="P26" s="22">
        <v>79.0</v>
      </c>
      <c r="Q26" s="22">
        <v>92.0</v>
      </c>
      <c r="R26" s="22">
        <v>75.0</v>
      </c>
      <c r="S26" s="22">
        <v>373.0</v>
      </c>
    </row>
    <row r="27">
      <c r="A27" s="23"/>
      <c r="B27" s="23"/>
      <c r="C27" s="23"/>
      <c r="D27" s="11"/>
      <c r="E27" s="22">
        <v>0.646</v>
      </c>
      <c r="F27" s="22">
        <v>0.721</v>
      </c>
      <c r="G27" s="22">
        <v>0.729</v>
      </c>
      <c r="H27" s="22">
        <v>0.724</v>
      </c>
      <c r="I27" s="60">
        <f t="shared" si="1"/>
        <v>0.4846625767</v>
      </c>
      <c r="J27" s="60">
        <f t="shared" si="2"/>
        <v>0.8157894737</v>
      </c>
      <c r="K27" s="60">
        <f t="shared" si="3"/>
        <v>0.6502260252</v>
      </c>
      <c r="L27" s="22">
        <v>0.701</v>
      </c>
      <c r="M27" s="22">
        <v>0.302</v>
      </c>
      <c r="N27" s="22">
        <v>0.802</v>
      </c>
      <c r="O27" s="22">
        <v>0.83</v>
      </c>
      <c r="P27" s="22">
        <v>79.0</v>
      </c>
      <c r="Q27" s="22">
        <v>92.0</v>
      </c>
      <c r="R27" s="22">
        <v>76.0</v>
      </c>
      <c r="S27" s="22">
        <v>372.0</v>
      </c>
    </row>
    <row r="28">
      <c r="A28" s="23"/>
      <c r="B28" s="23"/>
      <c r="C28" s="23"/>
      <c r="D28" s="11"/>
      <c r="E28" s="22">
        <v>0.641</v>
      </c>
      <c r="F28" s="22">
        <v>0.718</v>
      </c>
      <c r="G28" s="22">
        <v>0.727</v>
      </c>
      <c r="H28" s="22">
        <v>0.722</v>
      </c>
      <c r="I28" s="60">
        <f t="shared" si="1"/>
        <v>0.4767801858</v>
      </c>
      <c r="J28" s="60">
        <f t="shared" si="2"/>
        <v>0.8153005464</v>
      </c>
      <c r="K28" s="60">
        <f t="shared" si="3"/>
        <v>0.6460403661</v>
      </c>
      <c r="L28" s="22">
        <v>0.698</v>
      </c>
      <c r="M28" s="22">
        <v>0.294</v>
      </c>
      <c r="N28" s="22">
        <v>0.799</v>
      </c>
      <c r="O28" s="22">
        <v>0.833</v>
      </c>
      <c r="P28" s="22">
        <v>77.0</v>
      </c>
      <c r="Q28" s="22">
        <v>94.0</v>
      </c>
      <c r="R28" s="22">
        <v>75.0</v>
      </c>
      <c r="S28" s="22">
        <v>373.0</v>
      </c>
    </row>
    <row r="29">
      <c r="A29" s="23"/>
      <c r="B29" s="23"/>
      <c r="C29" s="23"/>
      <c r="D29" s="11"/>
      <c r="E29" s="22">
        <v>0.647</v>
      </c>
      <c r="F29" s="22">
        <v>0.721</v>
      </c>
      <c r="G29" s="22">
        <v>0.727</v>
      </c>
      <c r="H29" s="22">
        <v>0.724</v>
      </c>
      <c r="I29" s="60">
        <f t="shared" si="1"/>
        <v>0.4863221884</v>
      </c>
      <c r="J29" s="60">
        <f t="shared" si="2"/>
        <v>0.8140814081</v>
      </c>
      <c r="K29" s="60">
        <f t="shared" si="3"/>
        <v>0.6502017983</v>
      </c>
      <c r="L29" s="22">
        <v>0.695</v>
      </c>
      <c r="M29" s="22">
        <v>0.301</v>
      </c>
      <c r="N29" s="22">
        <v>0.803</v>
      </c>
      <c r="O29" s="22">
        <v>0.826</v>
      </c>
      <c r="P29" s="22">
        <v>80.0</v>
      </c>
      <c r="Q29" s="22">
        <v>91.0</v>
      </c>
      <c r="R29" s="22">
        <v>78.0</v>
      </c>
      <c r="S29" s="22">
        <v>370.0</v>
      </c>
    </row>
    <row r="30">
      <c r="A30" s="23"/>
      <c r="B30" s="23"/>
      <c r="C30" s="23"/>
      <c r="D30" s="11"/>
      <c r="E30" s="22">
        <v>0.639</v>
      </c>
      <c r="F30" s="22">
        <v>0.717</v>
      </c>
      <c r="G30" s="22">
        <v>0.729</v>
      </c>
      <c r="H30" s="22">
        <v>0.722</v>
      </c>
      <c r="I30" s="60">
        <f t="shared" si="1"/>
        <v>0.4716981132</v>
      </c>
      <c r="J30" s="60">
        <f t="shared" si="2"/>
        <v>0.8173913043</v>
      </c>
      <c r="K30" s="60">
        <f t="shared" si="3"/>
        <v>0.6445447088</v>
      </c>
      <c r="L30" s="22">
        <v>0.71</v>
      </c>
      <c r="M30" s="22">
        <v>0.292</v>
      </c>
      <c r="N30" s="22">
        <v>0.797</v>
      </c>
      <c r="O30" s="22">
        <v>0.839</v>
      </c>
      <c r="P30" s="22">
        <v>75.0</v>
      </c>
      <c r="Q30" s="22">
        <v>96.0</v>
      </c>
      <c r="R30" s="22">
        <v>72.0</v>
      </c>
      <c r="S30" s="22">
        <v>376.0</v>
      </c>
    </row>
    <row r="31">
      <c r="A31" s="23"/>
      <c r="B31" s="23"/>
      <c r="C31" s="23"/>
      <c r="D31" s="11"/>
      <c r="E31" s="22">
        <v>0.63</v>
      </c>
      <c r="F31" s="22">
        <v>0.709</v>
      </c>
      <c r="G31" s="22">
        <v>0.721</v>
      </c>
      <c r="H31" s="22">
        <v>0.714</v>
      </c>
      <c r="I31" s="60">
        <f t="shared" si="1"/>
        <v>0.4576802508</v>
      </c>
      <c r="J31" s="60">
        <f t="shared" si="2"/>
        <v>0.8117519042</v>
      </c>
      <c r="K31" s="60">
        <f t="shared" si="3"/>
        <v>0.6347160775</v>
      </c>
      <c r="L31" s="22">
        <v>0.693</v>
      </c>
      <c r="M31" s="22">
        <v>0.272</v>
      </c>
      <c r="N31" s="22">
        <v>0.792</v>
      </c>
      <c r="O31" s="22">
        <v>0.833</v>
      </c>
      <c r="P31" s="22">
        <v>73.0</v>
      </c>
      <c r="Q31" s="22">
        <v>98.0</v>
      </c>
      <c r="R31" s="22">
        <v>75.0</v>
      </c>
      <c r="S31" s="22">
        <v>373.0</v>
      </c>
    </row>
    <row r="32">
      <c r="A32" s="23"/>
      <c r="B32" s="23"/>
      <c r="C32" s="23"/>
      <c r="D32" s="11"/>
      <c r="E32" s="22">
        <v>0.646</v>
      </c>
      <c r="F32" s="22">
        <v>0.715</v>
      </c>
      <c r="G32" s="22">
        <v>0.708</v>
      </c>
      <c r="H32" s="22">
        <v>0.711</v>
      </c>
      <c r="I32" s="60">
        <f t="shared" si="1"/>
        <v>0.4901408451</v>
      </c>
      <c r="J32" s="60">
        <f t="shared" si="2"/>
        <v>0.7950169875</v>
      </c>
      <c r="K32" s="60">
        <f t="shared" si="3"/>
        <v>0.6425789163</v>
      </c>
      <c r="L32" s="22">
        <v>0.668</v>
      </c>
      <c r="M32" s="22">
        <v>0.286</v>
      </c>
      <c r="N32" s="22">
        <v>0.807</v>
      </c>
      <c r="O32" s="22">
        <v>0.783</v>
      </c>
      <c r="P32" s="22">
        <v>87.0</v>
      </c>
      <c r="Q32" s="22">
        <v>84.0</v>
      </c>
      <c r="R32" s="22">
        <v>97.0</v>
      </c>
      <c r="S32" s="22">
        <v>351.0</v>
      </c>
    </row>
    <row r="33">
      <c r="A33" s="23"/>
      <c r="B33" s="23"/>
      <c r="C33" s="23"/>
      <c r="D33" s="11"/>
      <c r="E33" s="22">
        <v>0.624</v>
      </c>
      <c r="F33" s="22">
        <v>0.703</v>
      </c>
      <c r="G33" s="22">
        <v>0.712</v>
      </c>
      <c r="H33" s="22">
        <v>0.707</v>
      </c>
      <c r="I33" s="60">
        <f t="shared" si="1"/>
        <v>0.450617284</v>
      </c>
      <c r="J33" s="60">
        <f t="shared" si="2"/>
        <v>0.8052516411</v>
      </c>
      <c r="K33" s="60">
        <f t="shared" si="3"/>
        <v>0.6279344625</v>
      </c>
      <c r="L33" s="22">
        <v>0.659</v>
      </c>
      <c r="M33" s="22">
        <v>0.257</v>
      </c>
      <c r="N33" s="22">
        <v>0.79</v>
      </c>
      <c r="O33" s="22">
        <v>0.821</v>
      </c>
      <c r="P33" s="22">
        <v>73.0</v>
      </c>
      <c r="Q33" s="22">
        <v>98.0</v>
      </c>
      <c r="R33" s="22">
        <v>80.0</v>
      </c>
      <c r="S33" s="22">
        <v>368.0</v>
      </c>
    </row>
    <row r="34">
      <c r="A34" s="23"/>
      <c r="B34" s="23"/>
      <c r="C34" s="23"/>
      <c r="D34" s="71" t="s">
        <v>23</v>
      </c>
      <c r="E34" s="22">
        <v>0.641</v>
      </c>
      <c r="F34" s="22">
        <v>0.717</v>
      </c>
      <c r="G34" s="22">
        <v>0.725</v>
      </c>
      <c r="H34" s="22">
        <v>0.72</v>
      </c>
      <c r="I34" s="60">
        <f t="shared" ref="I34:K34" si="4">MEDIAN(I4:I33)</f>
        <v>0.4760444139</v>
      </c>
      <c r="J34" s="60">
        <f t="shared" si="4"/>
        <v>0.8142459442</v>
      </c>
      <c r="K34" s="60">
        <f t="shared" si="4"/>
        <v>0.6444997358</v>
      </c>
      <c r="L34" s="22">
        <v>0.688</v>
      </c>
      <c r="M34" s="22">
        <v>0.292</v>
      </c>
      <c r="N34" s="22">
        <v>0.799</v>
      </c>
      <c r="O34" s="22">
        <v>0.828</v>
      </c>
      <c r="P34" s="22">
        <v>77.667</v>
      </c>
      <c r="Q34" s="22">
        <v>93.333</v>
      </c>
      <c r="R34" s="22">
        <v>77.067</v>
      </c>
      <c r="S34" s="22">
        <v>370.933</v>
      </c>
    </row>
    <row r="35">
      <c r="A35" s="72"/>
      <c r="B35" s="72"/>
      <c r="C35" s="72"/>
      <c r="D35" s="73" t="s">
        <v>232</v>
      </c>
      <c r="E35" s="22">
        <v>0.009</v>
      </c>
      <c r="F35" s="22">
        <v>0.007</v>
      </c>
      <c r="G35" s="22">
        <v>0.007</v>
      </c>
      <c r="H35" s="22">
        <v>0.007</v>
      </c>
      <c r="I35" s="60">
        <f t="shared" ref="I35:K35" si="5">_xlfn.STDEV.P(I4:I33)</f>
        <v>0.01370506234</v>
      </c>
      <c r="J35" s="60">
        <f t="shared" si="5"/>
        <v>0.005999291035</v>
      </c>
      <c r="K35" s="60">
        <f t="shared" si="5"/>
        <v>0.008259040821</v>
      </c>
      <c r="L35" s="22">
        <v>0.016</v>
      </c>
      <c r="M35" s="22">
        <v>0.016</v>
      </c>
      <c r="N35" s="22">
        <v>0.005</v>
      </c>
      <c r="O35" s="22">
        <v>0.013</v>
      </c>
      <c r="P35" s="22">
        <v>3.655</v>
      </c>
      <c r="Q35" s="22">
        <v>3.655</v>
      </c>
      <c r="R35" s="22">
        <v>5.609</v>
      </c>
      <c r="S35" s="22">
        <v>5.609</v>
      </c>
    </row>
    <row r="36">
      <c r="I36" s="60"/>
      <c r="J36" s="60"/>
      <c r="K36" s="60"/>
    </row>
    <row r="37">
      <c r="A37" s="77" t="s">
        <v>233</v>
      </c>
      <c r="B37" s="78" t="s">
        <v>231</v>
      </c>
      <c r="C37" s="78" t="s">
        <v>19</v>
      </c>
      <c r="D37" s="79"/>
      <c r="E37" s="32">
        <v>0.637</v>
      </c>
      <c r="F37" s="32">
        <v>0.717</v>
      </c>
      <c r="G37" s="32">
        <v>0.729</v>
      </c>
      <c r="H37" s="32">
        <v>0.721</v>
      </c>
      <c r="I37" s="60">
        <f t="shared" ref="I37:I66" si="6">(2*P37)/((2*P37) + Q37 + R37)</f>
        <v>0.4683544304</v>
      </c>
      <c r="J37" s="60">
        <f t="shared" ref="J37:J66" si="7">(2*S37)/((2*S37) + Q37 + R37)</f>
        <v>0.8177874187</v>
      </c>
      <c r="K37" s="60">
        <f t="shared" ref="K37:K66" si="8"> MEDIAN(I37,J37)</f>
        <v>0.6430709245</v>
      </c>
      <c r="L37" s="32">
        <v>0.674</v>
      </c>
      <c r="M37" s="32">
        <v>0.29</v>
      </c>
      <c r="N37" s="32">
        <v>0.795</v>
      </c>
      <c r="O37" s="32">
        <v>0.842</v>
      </c>
      <c r="P37" s="32">
        <v>74.0</v>
      </c>
      <c r="Q37" s="32">
        <v>97.0</v>
      </c>
      <c r="R37" s="22">
        <v>71.0</v>
      </c>
      <c r="S37" s="32">
        <v>377.0</v>
      </c>
    </row>
    <row r="38">
      <c r="A38" s="23"/>
      <c r="B38" s="23"/>
      <c r="C38" s="23"/>
      <c r="D38" s="69"/>
      <c r="E38" s="22">
        <v>0.625</v>
      </c>
      <c r="F38" s="32">
        <v>0.703</v>
      </c>
      <c r="G38" s="22">
        <v>0.711</v>
      </c>
      <c r="H38" s="22">
        <v>0.707</v>
      </c>
      <c r="I38" s="60">
        <f t="shared" si="6"/>
        <v>0.4525993884</v>
      </c>
      <c r="J38" s="60">
        <f t="shared" si="7"/>
        <v>0.8035126235</v>
      </c>
      <c r="K38" s="60">
        <f t="shared" si="8"/>
        <v>0.6280560059</v>
      </c>
      <c r="L38" s="22">
        <v>0.677</v>
      </c>
      <c r="M38" s="22">
        <v>0.257</v>
      </c>
      <c r="N38" s="22">
        <v>0.79</v>
      </c>
      <c r="O38" s="32">
        <v>0.817</v>
      </c>
      <c r="P38" s="22">
        <v>74.0</v>
      </c>
      <c r="Q38" s="22">
        <v>97.0</v>
      </c>
      <c r="R38" s="22">
        <v>82.0</v>
      </c>
      <c r="S38" s="22">
        <v>366.0</v>
      </c>
    </row>
    <row r="39">
      <c r="A39" s="23"/>
      <c r="B39" s="23"/>
      <c r="C39" s="23"/>
      <c r="D39" s="70"/>
      <c r="E39" s="22">
        <v>0.65</v>
      </c>
      <c r="F39" s="22">
        <v>0.721</v>
      </c>
      <c r="G39" s="22">
        <v>0.724</v>
      </c>
      <c r="H39" s="22">
        <v>0.722</v>
      </c>
      <c r="I39" s="60">
        <f t="shared" si="6"/>
        <v>0.4925816024</v>
      </c>
      <c r="J39" s="60">
        <f t="shared" si="7"/>
        <v>0.8102108768</v>
      </c>
      <c r="K39" s="60">
        <f t="shared" si="8"/>
        <v>0.6513962396</v>
      </c>
      <c r="L39" s="22">
        <v>0.666</v>
      </c>
      <c r="M39" s="22">
        <v>0.303</v>
      </c>
      <c r="N39" s="22">
        <v>0.806</v>
      </c>
      <c r="O39" s="22">
        <v>0.815</v>
      </c>
      <c r="P39" s="22">
        <v>83.0</v>
      </c>
      <c r="Q39" s="22">
        <v>88.0</v>
      </c>
      <c r="R39" s="22">
        <v>83.0</v>
      </c>
      <c r="S39" s="22">
        <v>365.0</v>
      </c>
    </row>
    <row r="40">
      <c r="A40" s="23"/>
      <c r="B40" s="23"/>
      <c r="C40" s="23"/>
      <c r="D40" s="70"/>
      <c r="E40" s="22">
        <v>0.651</v>
      </c>
      <c r="F40" s="22">
        <v>0.726</v>
      </c>
      <c r="G40" s="22">
        <v>0.733</v>
      </c>
      <c r="H40" s="22">
        <v>0.729</v>
      </c>
      <c r="I40" s="60">
        <f t="shared" si="6"/>
        <v>0.4923076923</v>
      </c>
      <c r="J40" s="60">
        <f t="shared" si="7"/>
        <v>0.8192771084</v>
      </c>
      <c r="K40" s="60">
        <f t="shared" si="8"/>
        <v>0.6557924004</v>
      </c>
      <c r="L40" s="22">
        <v>0.676</v>
      </c>
      <c r="M40" s="22">
        <v>0.313</v>
      </c>
      <c r="N40" s="22">
        <v>0.804</v>
      </c>
      <c r="O40" s="22">
        <v>0.835</v>
      </c>
      <c r="P40" s="22">
        <v>80.0</v>
      </c>
      <c r="Q40" s="22">
        <v>91.0</v>
      </c>
      <c r="R40" s="22">
        <v>74.0</v>
      </c>
      <c r="S40" s="22">
        <v>374.0</v>
      </c>
    </row>
    <row r="41">
      <c r="A41" s="23"/>
      <c r="B41" s="23"/>
      <c r="C41" s="23"/>
      <c r="D41" s="70"/>
      <c r="E41" s="22">
        <v>0.625</v>
      </c>
      <c r="F41" s="22">
        <v>0.708</v>
      </c>
      <c r="G41" s="22">
        <v>0.722</v>
      </c>
      <c r="H41" s="22">
        <v>0.713</v>
      </c>
      <c r="I41" s="60">
        <f t="shared" si="6"/>
        <v>0.4487179487</v>
      </c>
      <c r="J41" s="60">
        <f t="shared" si="7"/>
        <v>0.8142548596</v>
      </c>
      <c r="K41" s="60">
        <f t="shared" si="8"/>
        <v>0.6314864042</v>
      </c>
      <c r="L41" s="22">
        <v>0.678</v>
      </c>
      <c r="M41" s="22">
        <v>0.267</v>
      </c>
      <c r="N41" s="22">
        <v>0.789</v>
      </c>
      <c r="O41" s="22">
        <v>0.842</v>
      </c>
      <c r="P41" s="22">
        <v>70.0</v>
      </c>
      <c r="Q41" s="22">
        <v>101.0</v>
      </c>
      <c r="R41" s="22">
        <v>71.0</v>
      </c>
      <c r="S41" s="22">
        <v>377.0</v>
      </c>
    </row>
    <row r="42">
      <c r="A42" s="23"/>
      <c r="B42" s="23"/>
      <c r="C42" s="23"/>
      <c r="D42" s="70"/>
      <c r="E42" s="22">
        <v>0.631</v>
      </c>
      <c r="F42" s="22">
        <v>0.709</v>
      </c>
      <c r="G42" s="22">
        <v>0.717</v>
      </c>
      <c r="H42" s="22">
        <v>0.713</v>
      </c>
      <c r="I42" s="60">
        <f t="shared" si="6"/>
        <v>0.4615384615</v>
      </c>
      <c r="J42" s="60">
        <f t="shared" si="7"/>
        <v>0.8083242059</v>
      </c>
      <c r="K42" s="60">
        <f t="shared" si="8"/>
        <v>0.6349313337</v>
      </c>
      <c r="L42" s="22">
        <v>0.656</v>
      </c>
      <c r="M42" s="22">
        <v>0.271</v>
      </c>
      <c r="N42" s="22">
        <v>0.794</v>
      </c>
      <c r="O42" s="22">
        <v>0.824</v>
      </c>
      <c r="P42" s="22">
        <v>75.0</v>
      </c>
      <c r="Q42" s="22">
        <v>96.0</v>
      </c>
      <c r="R42" s="22">
        <v>79.0</v>
      </c>
      <c r="S42" s="22">
        <v>369.0</v>
      </c>
    </row>
    <row r="43">
      <c r="A43" s="23"/>
      <c r="B43" s="23"/>
      <c r="C43" s="23"/>
      <c r="D43" s="70"/>
      <c r="E43" s="22">
        <v>0.625</v>
      </c>
      <c r="F43" s="22">
        <v>0.708</v>
      </c>
      <c r="G43" s="22">
        <v>0.722</v>
      </c>
      <c r="H43" s="22">
        <v>0.713</v>
      </c>
      <c r="I43" s="60">
        <f t="shared" si="6"/>
        <v>0.4487179487</v>
      </c>
      <c r="J43" s="60">
        <f t="shared" si="7"/>
        <v>0.8142548596</v>
      </c>
      <c r="K43" s="60">
        <f t="shared" si="8"/>
        <v>0.6314864042</v>
      </c>
      <c r="L43" s="22">
        <v>0.659</v>
      </c>
      <c r="M43" s="22">
        <v>0.267</v>
      </c>
      <c r="N43" s="22">
        <v>0.789</v>
      </c>
      <c r="O43" s="22">
        <v>0.842</v>
      </c>
      <c r="P43" s="22">
        <v>70.0</v>
      </c>
      <c r="Q43" s="22">
        <v>101.0</v>
      </c>
      <c r="R43" s="22">
        <v>71.0</v>
      </c>
      <c r="S43" s="22">
        <v>377.0</v>
      </c>
    </row>
    <row r="44">
      <c r="A44" s="23"/>
      <c r="B44" s="23"/>
      <c r="C44" s="23"/>
      <c r="D44" s="70"/>
      <c r="E44" s="22">
        <v>0.64</v>
      </c>
      <c r="F44" s="22">
        <v>0.717</v>
      </c>
      <c r="G44" s="22">
        <v>0.727</v>
      </c>
      <c r="H44" s="22">
        <v>0.721</v>
      </c>
      <c r="I44" s="60">
        <f t="shared" si="6"/>
        <v>0.4735202492</v>
      </c>
      <c r="J44" s="60">
        <f t="shared" si="7"/>
        <v>0.8157033806</v>
      </c>
      <c r="K44" s="60">
        <f t="shared" si="8"/>
        <v>0.6446118149</v>
      </c>
      <c r="L44" s="22">
        <v>0.685</v>
      </c>
      <c r="M44" s="22">
        <v>0.291</v>
      </c>
      <c r="N44" s="22">
        <v>0.797</v>
      </c>
      <c r="O44" s="22">
        <v>0.835</v>
      </c>
      <c r="P44" s="22">
        <v>76.0</v>
      </c>
      <c r="Q44" s="22">
        <v>95.0</v>
      </c>
      <c r="R44" s="22">
        <v>74.0</v>
      </c>
      <c r="S44" s="22">
        <v>374.0</v>
      </c>
    </row>
    <row r="45">
      <c r="A45" s="23"/>
      <c r="B45" s="23"/>
      <c r="C45" s="23"/>
      <c r="D45" s="70"/>
      <c r="E45" s="22">
        <v>0.628</v>
      </c>
      <c r="F45" s="22">
        <v>0.707</v>
      </c>
      <c r="G45" s="22">
        <v>0.717</v>
      </c>
      <c r="H45" s="22">
        <v>0.711</v>
      </c>
      <c r="I45" s="60">
        <f t="shared" si="6"/>
        <v>0.4548286604</v>
      </c>
      <c r="J45" s="60">
        <f t="shared" si="7"/>
        <v>0.8091603053</v>
      </c>
      <c r="K45" s="60">
        <f t="shared" si="8"/>
        <v>0.6319944829</v>
      </c>
      <c r="L45" s="22">
        <v>0.672</v>
      </c>
      <c r="M45" s="22">
        <v>0.266</v>
      </c>
      <c r="N45" s="22">
        <v>0.791</v>
      </c>
      <c r="O45" s="22">
        <v>0.828</v>
      </c>
      <c r="P45" s="22">
        <v>73.0</v>
      </c>
      <c r="Q45" s="22">
        <v>98.0</v>
      </c>
      <c r="R45" s="22">
        <v>77.0</v>
      </c>
      <c r="S45" s="22">
        <v>371.0</v>
      </c>
    </row>
    <row r="46">
      <c r="A46" s="23"/>
      <c r="B46" s="23"/>
      <c r="C46" s="23"/>
      <c r="D46" s="70"/>
      <c r="E46" s="22">
        <v>0.64</v>
      </c>
      <c r="F46" s="22">
        <v>0.717</v>
      </c>
      <c r="G46" s="22">
        <v>0.727</v>
      </c>
      <c r="H46" s="22">
        <v>0.721</v>
      </c>
      <c r="I46" s="60">
        <f t="shared" si="6"/>
        <v>0.4735202492</v>
      </c>
      <c r="J46" s="60">
        <f t="shared" si="7"/>
        <v>0.8157033806</v>
      </c>
      <c r="K46" s="60">
        <f t="shared" si="8"/>
        <v>0.6446118149</v>
      </c>
      <c r="L46" s="22">
        <v>0.637</v>
      </c>
      <c r="M46" s="22">
        <v>0.291</v>
      </c>
      <c r="N46" s="22">
        <v>0.797</v>
      </c>
      <c r="O46" s="22">
        <v>0.835</v>
      </c>
      <c r="P46" s="22">
        <v>76.0</v>
      </c>
      <c r="Q46" s="22">
        <v>95.0</v>
      </c>
      <c r="R46" s="22">
        <v>74.0</v>
      </c>
      <c r="S46" s="22">
        <v>374.0</v>
      </c>
    </row>
    <row r="47">
      <c r="A47" s="23"/>
      <c r="B47" s="23"/>
      <c r="C47" s="23"/>
      <c r="D47" s="11"/>
      <c r="E47" s="22">
        <v>0.656</v>
      </c>
      <c r="F47" s="22">
        <v>0.723</v>
      </c>
      <c r="G47" s="22">
        <v>0.719</v>
      </c>
      <c r="H47" s="22">
        <v>0.721</v>
      </c>
      <c r="I47" s="60">
        <f t="shared" si="6"/>
        <v>0.5028571429</v>
      </c>
      <c r="J47" s="60">
        <f t="shared" si="7"/>
        <v>0.8040540541</v>
      </c>
      <c r="K47" s="60">
        <f t="shared" si="8"/>
        <v>0.6534555985</v>
      </c>
      <c r="L47" s="22">
        <v>0.683</v>
      </c>
      <c r="M47" s="22">
        <v>0.307</v>
      </c>
      <c r="N47" s="22">
        <v>0.811</v>
      </c>
      <c r="O47" s="22">
        <v>0.797</v>
      </c>
      <c r="P47" s="22">
        <v>88.0</v>
      </c>
      <c r="Q47" s="22">
        <v>83.0</v>
      </c>
      <c r="R47" s="22">
        <v>91.0</v>
      </c>
      <c r="S47" s="22">
        <v>357.0</v>
      </c>
    </row>
    <row r="48">
      <c r="A48" s="23"/>
      <c r="B48" s="23"/>
      <c r="C48" s="23"/>
      <c r="D48" s="11"/>
      <c r="E48" s="22">
        <v>0.637</v>
      </c>
      <c r="F48" s="22">
        <v>0.715</v>
      </c>
      <c r="G48" s="22">
        <v>0.725</v>
      </c>
      <c r="H48" s="22">
        <v>0.719</v>
      </c>
      <c r="I48" s="60">
        <f t="shared" si="6"/>
        <v>0.46875</v>
      </c>
      <c r="J48" s="60">
        <f t="shared" si="7"/>
        <v>0.8148148148</v>
      </c>
      <c r="K48" s="60">
        <f t="shared" si="8"/>
        <v>0.6417824074</v>
      </c>
      <c r="L48" s="22">
        <v>0.692</v>
      </c>
      <c r="M48" s="22">
        <v>0.286</v>
      </c>
      <c r="N48" s="22">
        <v>0.796</v>
      </c>
      <c r="O48" s="22">
        <v>0.835</v>
      </c>
      <c r="P48" s="22">
        <v>75.0</v>
      </c>
      <c r="Q48" s="22">
        <v>96.0</v>
      </c>
      <c r="R48" s="22">
        <v>74.0</v>
      </c>
      <c r="S48" s="22">
        <v>374.0</v>
      </c>
    </row>
    <row r="49">
      <c r="A49" s="23"/>
      <c r="B49" s="23"/>
      <c r="C49" s="23"/>
      <c r="D49" s="11"/>
      <c r="E49" s="22">
        <v>0.637</v>
      </c>
      <c r="F49" s="22">
        <v>0.715</v>
      </c>
      <c r="G49" s="22">
        <v>0.725</v>
      </c>
      <c r="H49" s="22">
        <v>0.719</v>
      </c>
      <c r="I49" s="60">
        <f t="shared" si="6"/>
        <v>0.46875</v>
      </c>
      <c r="J49" s="60">
        <f t="shared" si="7"/>
        <v>0.8148148148</v>
      </c>
      <c r="K49" s="60">
        <f t="shared" si="8"/>
        <v>0.6417824074</v>
      </c>
      <c r="L49" s="22">
        <v>0.68</v>
      </c>
      <c r="M49" s="22">
        <v>0.286</v>
      </c>
      <c r="N49" s="22">
        <v>0.796</v>
      </c>
      <c r="O49" s="22">
        <v>0.835</v>
      </c>
      <c r="P49" s="22">
        <v>75.0</v>
      </c>
      <c r="Q49" s="22">
        <v>96.0</v>
      </c>
      <c r="R49" s="22">
        <v>74.0</v>
      </c>
      <c r="S49" s="22">
        <v>374.0</v>
      </c>
    </row>
    <row r="50">
      <c r="A50" s="23"/>
      <c r="B50" s="23"/>
      <c r="C50" s="23"/>
      <c r="D50" s="11"/>
      <c r="E50" s="22">
        <v>0.634</v>
      </c>
      <c r="F50" s="22">
        <v>0.713</v>
      </c>
      <c r="G50" s="22">
        <v>0.724</v>
      </c>
      <c r="H50" s="22">
        <v>0.717</v>
      </c>
      <c r="I50" s="60">
        <f t="shared" si="6"/>
        <v>0.4639498433</v>
      </c>
      <c r="J50" s="60">
        <f t="shared" si="7"/>
        <v>0.8139281828</v>
      </c>
      <c r="K50" s="60">
        <f t="shared" si="8"/>
        <v>0.638939013</v>
      </c>
      <c r="L50" s="22">
        <v>0.682</v>
      </c>
      <c r="M50" s="22">
        <v>0.281</v>
      </c>
      <c r="N50" s="22">
        <v>0.794</v>
      </c>
      <c r="O50" s="22">
        <v>0.835</v>
      </c>
      <c r="P50" s="22">
        <v>74.0</v>
      </c>
      <c r="Q50" s="22">
        <v>97.0</v>
      </c>
      <c r="R50" s="22">
        <v>74.0</v>
      </c>
      <c r="S50" s="22">
        <v>374.0</v>
      </c>
    </row>
    <row r="51">
      <c r="A51" s="23"/>
      <c r="B51" s="23"/>
      <c r="C51" s="23"/>
      <c r="D51" s="11"/>
      <c r="E51" s="22">
        <v>0.633</v>
      </c>
      <c r="F51" s="22">
        <v>0.712</v>
      </c>
      <c r="G51" s="22">
        <v>0.722</v>
      </c>
      <c r="H51" s="22">
        <v>0.716</v>
      </c>
      <c r="I51" s="60">
        <f t="shared" si="6"/>
        <v>0.4625</v>
      </c>
      <c r="J51" s="60">
        <f t="shared" si="7"/>
        <v>0.8126361656</v>
      </c>
      <c r="K51" s="60">
        <f t="shared" si="8"/>
        <v>0.6375680828</v>
      </c>
      <c r="L51" s="22">
        <v>0.683</v>
      </c>
      <c r="M51" s="22">
        <v>0.278</v>
      </c>
      <c r="N51" s="22">
        <v>0.794</v>
      </c>
      <c r="O51" s="22">
        <v>0.833</v>
      </c>
      <c r="P51" s="22">
        <v>74.0</v>
      </c>
      <c r="Q51" s="22">
        <v>97.0</v>
      </c>
      <c r="R51" s="22">
        <v>75.0</v>
      </c>
      <c r="S51" s="22">
        <v>373.0</v>
      </c>
    </row>
    <row r="52">
      <c r="A52" s="23"/>
      <c r="B52" s="23"/>
      <c r="C52" s="23"/>
      <c r="D52" s="11"/>
      <c r="E52" s="22">
        <v>0.633</v>
      </c>
      <c r="F52" s="22">
        <v>0.712</v>
      </c>
      <c r="G52" s="22">
        <v>0.722</v>
      </c>
      <c r="H52" s="22">
        <v>0.716</v>
      </c>
      <c r="I52" s="60">
        <f t="shared" si="6"/>
        <v>0.4625</v>
      </c>
      <c r="J52" s="60">
        <f t="shared" si="7"/>
        <v>0.8126361656</v>
      </c>
      <c r="K52" s="60">
        <f t="shared" si="8"/>
        <v>0.6375680828</v>
      </c>
      <c r="L52" s="22">
        <v>0.666</v>
      </c>
      <c r="M52" s="22">
        <v>0.278</v>
      </c>
      <c r="N52" s="22">
        <v>0.794</v>
      </c>
      <c r="O52" s="22">
        <v>0.833</v>
      </c>
      <c r="P52" s="22">
        <v>74.0</v>
      </c>
      <c r="Q52" s="22">
        <v>97.0</v>
      </c>
      <c r="R52" s="22">
        <v>75.0</v>
      </c>
      <c r="S52" s="22">
        <v>373.0</v>
      </c>
    </row>
    <row r="53">
      <c r="A53" s="23"/>
      <c r="B53" s="23"/>
      <c r="C53" s="23"/>
      <c r="D53" s="11"/>
      <c r="E53" s="22">
        <v>0.637</v>
      </c>
      <c r="F53" s="22">
        <v>0.717</v>
      </c>
      <c r="G53" s="22">
        <v>0.729</v>
      </c>
      <c r="H53" s="22">
        <v>0.721</v>
      </c>
      <c r="I53" s="60">
        <f t="shared" si="6"/>
        <v>0.4683544304</v>
      </c>
      <c r="J53" s="60">
        <f t="shared" si="7"/>
        <v>0.8177874187</v>
      </c>
      <c r="K53" s="60">
        <f t="shared" si="8"/>
        <v>0.6430709245</v>
      </c>
      <c r="L53" s="22">
        <v>0.687</v>
      </c>
      <c r="M53" s="22">
        <v>0.29</v>
      </c>
      <c r="N53" s="22">
        <v>0.795</v>
      </c>
      <c r="O53" s="22">
        <v>0.842</v>
      </c>
      <c r="P53" s="22">
        <v>74.0</v>
      </c>
      <c r="Q53" s="22">
        <v>97.0</v>
      </c>
      <c r="R53" s="22">
        <v>71.0</v>
      </c>
      <c r="S53" s="22">
        <v>377.0</v>
      </c>
    </row>
    <row r="54">
      <c r="A54" s="23"/>
      <c r="B54" s="23"/>
      <c r="C54" s="23"/>
      <c r="D54" s="11"/>
      <c r="E54" s="22">
        <v>0.635</v>
      </c>
      <c r="F54" s="22">
        <v>0.714</v>
      </c>
      <c r="G54" s="22">
        <v>0.725</v>
      </c>
      <c r="H54" s="22">
        <v>0.719</v>
      </c>
      <c r="I54" s="60">
        <f t="shared" si="6"/>
        <v>0.465408805</v>
      </c>
      <c r="J54" s="60">
        <f t="shared" si="7"/>
        <v>0.8152173913</v>
      </c>
      <c r="K54" s="60">
        <f t="shared" si="8"/>
        <v>0.6403130982</v>
      </c>
      <c r="L54" s="22">
        <v>0.69</v>
      </c>
      <c r="M54" s="22">
        <v>0.283</v>
      </c>
      <c r="N54" s="22">
        <v>0.794</v>
      </c>
      <c r="O54" s="22">
        <v>0.837</v>
      </c>
      <c r="P54" s="22">
        <v>74.0</v>
      </c>
      <c r="Q54" s="22">
        <v>97.0</v>
      </c>
      <c r="R54" s="22">
        <v>73.0</v>
      </c>
      <c r="S54" s="22">
        <v>375.0</v>
      </c>
    </row>
    <row r="55">
      <c r="A55" s="23"/>
      <c r="B55" s="23"/>
      <c r="C55" s="23"/>
      <c r="D55" s="11"/>
      <c r="E55" s="22">
        <v>0.632</v>
      </c>
      <c r="F55" s="22">
        <v>0.712</v>
      </c>
      <c r="G55" s="22">
        <v>0.724</v>
      </c>
      <c r="H55" s="22">
        <v>0.717</v>
      </c>
      <c r="I55" s="60">
        <f t="shared" si="6"/>
        <v>0.4605678233</v>
      </c>
      <c r="J55" s="60">
        <f t="shared" si="7"/>
        <v>0.8143322476</v>
      </c>
      <c r="K55" s="60">
        <f t="shared" si="8"/>
        <v>0.6374500355</v>
      </c>
      <c r="L55" s="22">
        <v>0.677</v>
      </c>
      <c r="M55" s="22">
        <v>0.278</v>
      </c>
      <c r="N55" s="22">
        <v>0.793</v>
      </c>
      <c r="O55" s="22">
        <v>0.837</v>
      </c>
      <c r="P55" s="22">
        <v>73.0</v>
      </c>
      <c r="Q55" s="22">
        <v>98.0</v>
      </c>
      <c r="R55" s="22">
        <v>73.0</v>
      </c>
      <c r="S55" s="22">
        <v>375.0</v>
      </c>
    </row>
    <row r="56">
      <c r="A56" s="23"/>
      <c r="B56" s="23"/>
      <c r="C56" s="23"/>
      <c r="D56" s="11"/>
      <c r="E56" s="22">
        <v>0.636</v>
      </c>
      <c r="F56" s="22">
        <v>0.714</v>
      </c>
      <c r="G56" s="22">
        <v>0.724</v>
      </c>
      <c r="H56" s="22">
        <v>0.718</v>
      </c>
      <c r="I56" s="60">
        <f t="shared" si="6"/>
        <v>0.4672897196</v>
      </c>
      <c r="J56" s="60">
        <f t="shared" si="7"/>
        <v>0.8135223555</v>
      </c>
      <c r="K56" s="60">
        <f t="shared" si="8"/>
        <v>0.6404060376</v>
      </c>
      <c r="L56" s="22">
        <v>0.682</v>
      </c>
      <c r="M56" s="22">
        <v>0.283</v>
      </c>
      <c r="N56" s="22">
        <v>0.795</v>
      </c>
      <c r="O56" s="22">
        <v>0.833</v>
      </c>
      <c r="P56" s="22">
        <v>75.0</v>
      </c>
      <c r="Q56" s="22">
        <v>96.0</v>
      </c>
      <c r="R56" s="22">
        <v>75.0</v>
      </c>
      <c r="S56" s="22">
        <v>373.0</v>
      </c>
    </row>
    <row r="57">
      <c r="A57" s="23"/>
      <c r="B57" s="23"/>
      <c r="C57" s="23"/>
      <c r="D57" s="11"/>
      <c r="E57" s="22">
        <v>0.643</v>
      </c>
      <c r="F57" s="22">
        <v>0.719</v>
      </c>
      <c r="G57" s="22">
        <v>0.729</v>
      </c>
      <c r="H57" s="22">
        <v>0.723</v>
      </c>
      <c r="I57" s="60">
        <f t="shared" si="6"/>
        <v>0.4782608696</v>
      </c>
      <c r="J57" s="60">
        <f t="shared" si="7"/>
        <v>0.8165938865</v>
      </c>
      <c r="K57" s="60">
        <f t="shared" si="8"/>
        <v>0.647427378</v>
      </c>
      <c r="L57" s="22">
        <v>0.643</v>
      </c>
      <c r="M57" s="22">
        <v>0.297</v>
      </c>
      <c r="N57" s="22">
        <v>0.799</v>
      </c>
      <c r="O57" s="22">
        <v>0.835</v>
      </c>
      <c r="P57" s="22">
        <v>77.0</v>
      </c>
      <c r="Q57" s="22">
        <v>94.0</v>
      </c>
      <c r="R57" s="22">
        <v>74.0</v>
      </c>
      <c r="S57" s="22">
        <v>374.0</v>
      </c>
    </row>
    <row r="58">
      <c r="A58" s="23"/>
      <c r="B58" s="23"/>
      <c r="C58" s="23"/>
      <c r="D58" s="11"/>
      <c r="E58" s="22">
        <v>0.629</v>
      </c>
      <c r="F58" s="22">
        <v>0.71</v>
      </c>
      <c r="G58" s="22">
        <v>0.722</v>
      </c>
      <c r="H58" s="22">
        <v>0.715</v>
      </c>
      <c r="I58" s="60">
        <f t="shared" si="6"/>
        <v>0.4556962025</v>
      </c>
      <c r="J58" s="60">
        <f t="shared" si="7"/>
        <v>0.8134490239</v>
      </c>
      <c r="K58" s="60">
        <f t="shared" si="8"/>
        <v>0.6345726132</v>
      </c>
      <c r="L58" s="22">
        <v>0.676</v>
      </c>
      <c r="M58" s="22">
        <v>0.272</v>
      </c>
      <c r="N58" s="22">
        <v>0.791</v>
      </c>
      <c r="O58" s="22">
        <v>0.837</v>
      </c>
      <c r="P58" s="22">
        <v>72.0</v>
      </c>
      <c r="Q58" s="22">
        <v>99.0</v>
      </c>
      <c r="R58" s="22">
        <v>73.0</v>
      </c>
      <c r="S58" s="22">
        <v>375.0</v>
      </c>
    </row>
    <row r="59">
      <c r="A59" s="23"/>
      <c r="B59" s="23"/>
      <c r="C59" s="23"/>
      <c r="D59" s="11"/>
      <c r="E59" s="22">
        <v>0.627</v>
      </c>
      <c r="F59" s="22">
        <v>0.707</v>
      </c>
      <c r="G59" s="22">
        <v>0.719</v>
      </c>
      <c r="H59" s="22">
        <v>0.712</v>
      </c>
      <c r="I59" s="60">
        <f t="shared" si="6"/>
        <v>0.4528301887</v>
      </c>
      <c r="J59" s="60">
        <f t="shared" si="7"/>
        <v>0.8108695652</v>
      </c>
      <c r="K59" s="60">
        <f t="shared" si="8"/>
        <v>0.6318498769</v>
      </c>
      <c r="L59" s="22">
        <v>0.662</v>
      </c>
      <c r="M59" s="22">
        <v>0.267</v>
      </c>
      <c r="N59" s="22">
        <v>0.79</v>
      </c>
      <c r="O59" s="22">
        <v>0.833</v>
      </c>
      <c r="P59" s="22">
        <v>72.0</v>
      </c>
      <c r="Q59" s="22">
        <v>99.0</v>
      </c>
      <c r="R59" s="22">
        <v>75.0</v>
      </c>
      <c r="S59" s="22">
        <v>373.0</v>
      </c>
    </row>
    <row r="60">
      <c r="A60" s="23"/>
      <c r="B60" s="23"/>
      <c r="C60" s="23"/>
      <c r="D60" s="11"/>
      <c r="E60" s="22">
        <v>0.64</v>
      </c>
      <c r="F60" s="22">
        <v>0.717</v>
      </c>
      <c r="G60" s="22">
        <v>0.725</v>
      </c>
      <c r="H60" s="22">
        <v>0.72</v>
      </c>
      <c r="I60" s="60">
        <f t="shared" si="6"/>
        <v>0.475308642</v>
      </c>
      <c r="J60" s="60">
        <f t="shared" si="7"/>
        <v>0.8140043764</v>
      </c>
      <c r="K60" s="60">
        <f t="shared" si="8"/>
        <v>0.6446565092</v>
      </c>
      <c r="L60" s="22">
        <v>0.68</v>
      </c>
      <c r="M60" s="22">
        <v>0.291</v>
      </c>
      <c r="N60" s="22">
        <v>0.798</v>
      </c>
      <c r="O60" s="22">
        <v>0.83</v>
      </c>
      <c r="P60" s="22">
        <v>77.0</v>
      </c>
      <c r="Q60" s="22">
        <v>94.0</v>
      </c>
      <c r="R60" s="22">
        <v>76.0</v>
      </c>
      <c r="S60" s="22">
        <v>372.0</v>
      </c>
    </row>
    <row r="61">
      <c r="A61" s="23"/>
      <c r="B61" s="23"/>
      <c r="C61" s="23"/>
      <c r="D61" s="11"/>
      <c r="E61" s="22">
        <v>0.638</v>
      </c>
      <c r="F61" s="22">
        <v>0.716</v>
      </c>
      <c r="G61" s="22">
        <v>0.727</v>
      </c>
      <c r="H61" s="22">
        <v>0.721</v>
      </c>
      <c r="I61" s="60">
        <f t="shared" si="6"/>
        <v>0.4702194357</v>
      </c>
      <c r="J61" s="60">
        <f t="shared" si="7"/>
        <v>0.8161044614</v>
      </c>
      <c r="K61" s="60">
        <f t="shared" si="8"/>
        <v>0.6431619486</v>
      </c>
      <c r="L61" s="22">
        <v>0.697</v>
      </c>
      <c r="M61" s="22">
        <v>0.289</v>
      </c>
      <c r="N61" s="22">
        <v>0.796</v>
      </c>
      <c r="O61" s="22">
        <v>0.837</v>
      </c>
      <c r="P61" s="22">
        <v>75.0</v>
      </c>
      <c r="Q61" s="22">
        <v>96.0</v>
      </c>
      <c r="R61" s="22">
        <v>73.0</v>
      </c>
      <c r="S61" s="22">
        <v>375.0</v>
      </c>
    </row>
    <row r="62">
      <c r="A62" s="23"/>
      <c r="B62" s="23"/>
      <c r="C62" s="23"/>
      <c r="D62" s="11"/>
      <c r="E62" s="22">
        <v>0.631</v>
      </c>
      <c r="F62" s="22">
        <v>0.712</v>
      </c>
      <c r="G62" s="22">
        <v>0.725</v>
      </c>
      <c r="H62" s="22">
        <v>0.717</v>
      </c>
      <c r="I62" s="60">
        <f t="shared" si="6"/>
        <v>0.4585987261</v>
      </c>
      <c r="J62" s="60">
        <f t="shared" si="7"/>
        <v>0.816017316</v>
      </c>
      <c r="K62" s="60">
        <f t="shared" si="8"/>
        <v>0.6373080211</v>
      </c>
      <c r="L62" s="22">
        <v>0.661</v>
      </c>
      <c r="M62" s="22">
        <v>0.279</v>
      </c>
      <c r="N62" s="22">
        <v>0.792</v>
      </c>
      <c r="O62" s="22">
        <v>0.842</v>
      </c>
      <c r="P62" s="22">
        <v>72.0</v>
      </c>
      <c r="Q62" s="22">
        <v>99.0</v>
      </c>
      <c r="R62" s="22">
        <v>71.0</v>
      </c>
      <c r="S62" s="22">
        <v>377.0</v>
      </c>
    </row>
    <row r="63">
      <c r="A63" s="23"/>
      <c r="B63" s="23"/>
      <c r="C63" s="23"/>
      <c r="D63" s="11"/>
      <c r="E63" s="22">
        <v>0.633</v>
      </c>
      <c r="F63" s="22">
        <v>0.711</v>
      </c>
      <c r="G63" s="22">
        <v>0.721</v>
      </c>
      <c r="H63" s="22">
        <v>0.715</v>
      </c>
      <c r="I63" s="60">
        <f t="shared" si="6"/>
        <v>0.4643962848</v>
      </c>
      <c r="J63" s="60">
        <f t="shared" si="7"/>
        <v>0.8109289617</v>
      </c>
      <c r="K63" s="60">
        <f t="shared" si="8"/>
        <v>0.6376626233</v>
      </c>
      <c r="L63" s="22">
        <v>0.684</v>
      </c>
      <c r="M63" s="22">
        <v>0.277</v>
      </c>
      <c r="N63" s="22">
        <v>0.794</v>
      </c>
      <c r="O63" s="22">
        <v>0.828</v>
      </c>
      <c r="P63" s="22">
        <v>75.0</v>
      </c>
      <c r="Q63" s="22">
        <v>96.0</v>
      </c>
      <c r="R63" s="22">
        <v>77.0</v>
      </c>
      <c r="S63" s="22">
        <v>371.0</v>
      </c>
    </row>
    <row r="64">
      <c r="A64" s="23"/>
      <c r="B64" s="23"/>
      <c r="C64" s="23"/>
      <c r="D64" s="11"/>
      <c r="E64" s="22">
        <v>0.637</v>
      </c>
      <c r="F64" s="22">
        <v>0.715</v>
      </c>
      <c r="G64" s="22">
        <v>0.724</v>
      </c>
      <c r="H64" s="22">
        <v>0.718</v>
      </c>
      <c r="I64" s="60">
        <f t="shared" si="6"/>
        <v>0.4705882353</v>
      </c>
      <c r="J64" s="60">
        <f t="shared" si="7"/>
        <v>0.8131147541</v>
      </c>
      <c r="K64" s="60">
        <f t="shared" si="8"/>
        <v>0.6418514947</v>
      </c>
      <c r="L64" s="22">
        <v>0.675</v>
      </c>
      <c r="M64" s="22">
        <v>0.285</v>
      </c>
      <c r="N64" s="22">
        <v>0.797</v>
      </c>
      <c r="O64" s="22">
        <v>0.83</v>
      </c>
      <c r="P64" s="22">
        <v>76.0</v>
      </c>
      <c r="Q64" s="22">
        <v>95.0</v>
      </c>
      <c r="R64" s="22">
        <v>76.0</v>
      </c>
      <c r="S64" s="22">
        <v>372.0</v>
      </c>
    </row>
    <row r="65">
      <c r="A65" s="23"/>
      <c r="B65" s="23"/>
      <c r="C65" s="23"/>
      <c r="D65" s="11"/>
      <c r="E65" s="22">
        <v>0.637</v>
      </c>
      <c r="F65" s="22">
        <v>0.715</v>
      </c>
      <c r="G65" s="22">
        <v>0.724</v>
      </c>
      <c r="H65" s="22">
        <v>0.718</v>
      </c>
      <c r="I65" s="60">
        <f t="shared" si="6"/>
        <v>0.4705882353</v>
      </c>
      <c r="J65" s="60">
        <f t="shared" si="7"/>
        <v>0.8131147541</v>
      </c>
      <c r="K65" s="60">
        <f t="shared" si="8"/>
        <v>0.6418514947</v>
      </c>
      <c r="L65" s="22">
        <v>0.683</v>
      </c>
      <c r="M65" s="22">
        <v>0.285</v>
      </c>
      <c r="N65" s="22">
        <v>0.797</v>
      </c>
      <c r="O65" s="22">
        <v>0.83</v>
      </c>
      <c r="P65" s="22">
        <v>76.0</v>
      </c>
      <c r="Q65" s="22">
        <v>95.0</v>
      </c>
      <c r="R65" s="22">
        <v>76.0</v>
      </c>
      <c r="S65" s="22">
        <v>372.0</v>
      </c>
    </row>
    <row r="66">
      <c r="A66" s="23"/>
      <c r="B66" s="23"/>
      <c r="C66" s="23"/>
      <c r="D66" s="11"/>
      <c r="E66" s="22">
        <v>0.634</v>
      </c>
      <c r="F66" s="22">
        <v>0.708</v>
      </c>
      <c r="G66" s="22">
        <v>0.711</v>
      </c>
      <c r="H66" s="22">
        <v>0.709</v>
      </c>
      <c r="I66" s="60">
        <f t="shared" si="6"/>
        <v>0.46884273</v>
      </c>
      <c r="J66" s="60">
        <f t="shared" si="7"/>
        <v>0.8013318535</v>
      </c>
      <c r="K66" s="60">
        <f t="shared" si="8"/>
        <v>0.6350872917</v>
      </c>
      <c r="L66" s="22">
        <v>0.631</v>
      </c>
      <c r="M66" s="22">
        <v>0.27</v>
      </c>
      <c r="N66" s="22">
        <v>0.797</v>
      </c>
      <c r="O66" s="22">
        <v>0.806</v>
      </c>
      <c r="P66" s="22">
        <v>79.0</v>
      </c>
      <c r="Q66" s="22">
        <v>92.0</v>
      </c>
      <c r="R66" s="22">
        <v>87.0</v>
      </c>
      <c r="S66" s="22">
        <v>361.0</v>
      </c>
    </row>
    <row r="67">
      <c r="A67" s="23"/>
      <c r="B67" s="23"/>
      <c r="C67" s="23"/>
      <c r="D67" s="71" t="s">
        <v>23</v>
      </c>
      <c r="E67" s="22">
        <v>0.636</v>
      </c>
      <c r="F67" s="22">
        <v>0.714</v>
      </c>
      <c r="G67" s="22">
        <v>0.723</v>
      </c>
      <c r="H67" s="22">
        <v>0.717</v>
      </c>
      <c r="I67" s="60">
        <f t="shared" ref="I67:K67" si="9">MEDIAN(I37:I66)</f>
        <v>0.467822075</v>
      </c>
      <c r="J67" s="60">
        <f t="shared" si="9"/>
        <v>0.8139662796</v>
      </c>
      <c r="K67" s="60">
        <f t="shared" si="9"/>
        <v>0.6403595679</v>
      </c>
      <c r="L67" s="22">
        <v>0.673</v>
      </c>
      <c r="M67" s="22">
        <v>0.283</v>
      </c>
      <c r="N67" s="22">
        <v>0.796</v>
      </c>
      <c r="O67" s="22">
        <v>0.831</v>
      </c>
      <c r="P67" s="22">
        <v>75.267</v>
      </c>
      <c r="Q67" s="22">
        <v>95.733</v>
      </c>
      <c r="R67" s="22">
        <v>75.633</v>
      </c>
      <c r="S67" s="22">
        <v>372.367</v>
      </c>
    </row>
    <row r="68">
      <c r="A68" s="72"/>
      <c r="B68" s="72"/>
      <c r="C68" s="72"/>
      <c r="D68" s="73" t="s">
        <v>232</v>
      </c>
      <c r="E68" s="22">
        <v>0.007</v>
      </c>
      <c r="F68" s="22">
        <v>0.005</v>
      </c>
      <c r="G68" s="22">
        <v>0.005</v>
      </c>
      <c r="H68" s="22">
        <v>0.005</v>
      </c>
      <c r="I68" s="60">
        <f t="shared" ref="I68:K68" si="10">_xlfn.STDEV.P(I37:I66)</f>
        <v>0.0121911818</v>
      </c>
      <c r="J68" s="60">
        <f t="shared" si="10"/>
        <v>0.004122151052</v>
      </c>
      <c r="K68" s="60">
        <f t="shared" si="10"/>
        <v>0.006456849808</v>
      </c>
      <c r="L68" s="22">
        <v>0.015</v>
      </c>
      <c r="M68" s="22">
        <v>0.013</v>
      </c>
      <c r="N68" s="22">
        <v>0.005</v>
      </c>
      <c r="O68" s="22">
        <v>0.01</v>
      </c>
      <c r="P68" s="22">
        <v>3.54</v>
      </c>
      <c r="Q68" s="22">
        <v>3.54</v>
      </c>
      <c r="R68" s="22">
        <v>4.586</v>
      </c>
      <c r="S68" s="22">
        <v>4.586</v>
      </c>
    </row>
    <row r="69">
      <c r="I69" s="60"/>
      <c r="J69" s="60"/>
      <c r="K69" s="60"/>
    </row>
    <row r="70">
      <c r="A70" s="77" t="s">
        <v>234</v>
      </c>
      <c r="B70" s="78" t="s">
        <v>231</v>
      </c>
      <c r="C70" s="78" t="s">
        <v>48</v>
      </c>
      <c r="D70" s="79"/>
      <c r="E70" s="32">
        <v>0.592</v>
      </c>
      <c r="F70" s="32">
        <v>0.732</v>
      </c>
      <c r="G70" s="32">
        <v>0.753</v>
      </c>
      <c r="H70" s="32">
        <v>0.708</v>
      </c>
      <c r="I70" s="60">
        <f t="shared" ref="I70:I99" si="11">(2*P70)/((2*P70) + Q70 + R70)</f>
        <v>0.3433476395</v>
      </c>
      <c r="J70" s="60">
        <f t="shared" ref="J70:J99" si="12">(2*S70)/((2*S70) + Q70 + R70)</f>
        <v>0.847761194</v>
      </c>
      <c r="K70" s="60">
        <f t="shared" ref="K70:K99" si="13"> MEDIAN(I70,J70)</f>
        <v>0.5955544168</v>
      </c>
      <c r="L70" s="32">
        <v>0.69</v>
      </c>
      <c r="M70" s="32">
        <v>0.275</v>
      </c>
      <c r="N70" s="32">
        <v>0.765</v>
      </c>
      <c r="O70" s="32">
        <v>0.951</v>
      </c>
      <c r="P70" s="32">
        <v>40.0</v>
      </c>
      <c r="Q70" s="32">
        <v>131.0</v>
      </c>
      <c r="R70" s="22">
        <v>22.0</v>
      </c>
      <c r="S70" s="32">
        <v>426.0</v>
      </c>
    </row>
    <row r="71">
      <c r="A71" s="23"/>
      <c r="B71" s="23"/>
      <c r="C71" s="23"/>
      <c r="D71" s="69"/>
      <c r="E71" s="22">
        <v>0.602</v>
      </c>
      <c r="F71" s="32">
        <v>0.71</v>
      </c>
      <c r="G71" s="22">
        <v>0.738</v>
      </c>
      <c r="H71" s="22">
        <v>0.71</v>
      </c>
      <c r="I71" s="60">
        <f t="shared" si="11"/>
        <v>0.3863636364</v>
      </c>
      <c r="J71" s="60">
        <f t="shared" si="12"/>
        <v>0.8336755647</v>
      </c>
      <c r="K71" s="60">
        <f t="shared" si="13"/>
        <v>0.6100196005</v>
      </c>
      <c r="L71" s="22">
        <v>0.74</v>
      </c>
      <c r="M71" s="22">
        <v>0.256</v>
      </c>
      <c r="N71" s="22">
        <v>0.772</v>
      </c>
      <c r="O71" s="32">
        <v>0.906</v>
      </c>
      <c r="P71" s="22">
        <v>51.0</v>
      </c>
      <c r="Q71" s="22">
        <v>120.0</v>
      </c>
      <c r="R71" s="22">
        <v>42.0</v>
      </c>
      <c r="S71" s="22">
        <v>406.0</v>
      </c>
    </row>
    <row r="72">
      <c r="A72" s="23"/>
      <c r="B72" s="23"/>
      <c r="C72" s="23"/>
      <c r="D72" s="70"/>
      <c r="E72" s="22">
        <v>0.571</v>
      </c>
      <c r="F72" s="22">
        <v>0.685</v>
      </c>
      <c r="G72" s="22">
        <v>0.724</v>
      </c>
      <c r="H72" s="22">
        <v>0.685</v>
      </c>
      <c r="I72" s="60">
        <f t="shared" si="11"/>
        <v>0.313253012</v>
      </c>
      <c r="J72" s="60">
        <f t="shared" si="12"/>
        <v>0.8270980789</v>
      </c>
      <c r="K72" s="60">
        <f t="shared" si="13"/>
        <v>0.5701755455</v>
      </c>
      <c r="L72" s="22">
        <v>0.666</v>
      </c>
      <c r="M72" s="22">
        <v>0.19</v>
      </c>
      <c r="N72" s="22">
        <v>0.756</v>
      </c>
      <c r="O72" s="22">
        <v>0.913</v>
      </c>
      <c r="P72" s="22">
        <v>39.0</v>
      </c>
      <c r="Q72" s="22">
        <v>132.0</v>
      </c>
      <c r="R72" s="22">
        <v>39.0</v>
      </c>
      <c r="S72" s="22">
        <v>409.0</v>
      </c>
    </row>
    <row r="73">
      <c r="A73" s="23"/>
      <c r="B73" s="23"/>
      <c r="C73" s="23"/>
      <c r="D73" s="70"/>
      <c r="E73" s="22">
        <v>0.621</v>
      </c>
      <c r="F73" s="22">
        <v>0.703</v>
      </c>
      <c r="G73" s="22">
        <v>0.716</v>
      </c>
      <c r="H73" s="22">
        <v>0.708</v>
      </c>
      <c r="I73" s="60">
        <f t="shared" si="11"/>
        <v>0.4430379747</v>
      </c>
      <c r="J73" s="60">
        <f t="shared" si="12"/>
        <v>0.8091106291</v>
      </c>
      <c r="K73" s="60">
        <f t="shared" si="13"/>
        <v>0.6260743019</v>
      </c>
      <c r="L73" s="22">
        <v>0.7</v>
      </c>
      <c r="M73" s="22">
        <v>0.255</v>
      </c>
      <c r="N73" s="22">
        <v>0.787</v>
      </c>
      <c r="O73" s="22">
        <v>0.833</v>
      </c>
      <c r="P73" s="22">
        <v>70.0</v>
      </c>
      <c r="Q73" s="22">
        <v>101.0</v>
      </c>
      <c r="R73" s="22">
        <v>75.0</v>
      </c>
      <c r="S73" s="22">
        <v>373.0</v>
      </c>
    </row>
    <row r="74">
      <c r="A74" s="23"/>
      <c r="B74" s="23"/>
      <c r="C74" s="23"/>
      <c r="D74" s="70"/>
      <c r="E74" s="22">
        <v>0.618</v>
      </c>
      <c r="F74" s="22">
        <v>0.729</v>
      </c>
      <c r="G74" s="22">
        <v>0.753</v>
      </c>
      <c r="H74" s="22">
        <v>0.725</v>
      </c>
      <c r="I74" s="60">
        <f t="shared" si="11"/>
        <v>0.4137931034</v>
      </c>
      <c r="J74" s="60">
        <f t="shared" si="12"/>
        <v>0.8433981576</v>
      </c>
      <c r="K74" s="60">
        <f t="shared" si="13"/>
        <v>0.6285956305</v>
      </c>
      <c r="L74" s="22">
        <v>0.741</v>
      </c>
      <c r="M74" s="22">
        <v>0.299</v>
      </c>
      <c r="N74" s="22">
        <v>0.779</v>
      </c>
      <c r="O74" s="22">
        <v>0.92</v>
      </c>
      <c r="P74" s="22">
        <v>54.0</v>
      </c>
      <c r="Q74" s="22">
        <v>117.0</v>
      </c>
      <c r="R74" s="22">
        <v>36.0</v>
      </c>
      <c r="S74" s="22">
        <v>412.0</v>
      </c>
    </row>
    <row r="75">
      <c r="A75" s="23"/>
      <c r="B75" s="23"/>
      <c r="C75" s="23"/>
      <c r="D75" s="70"/>
      <c r="E75" s="22">
        <v>0.566</v>
      </c>
      <c r="F75" s="22">
        <v>0.686</v>
      </c>
      <c r="G75" s="22">
        <v>0.725</v>
      </c>
      <c r="H75" s="22">
        <v>0.682</v>
      </c>
      <c r="I75" s="60">
        <f t="shared" si="11"/>
        <v>0.2975206612</v>
      </c>
      <c r="J75" s="60">
        <f t="shared" si="12"/>
        <v>0.8293172691</v>
      </c>
      <c r="K75" s="60">
        <f t="shared" si="13"/>
        <v>0.5634189651</v>
      </c>
      <c r="L75" s="22">
        <v>0.683</v>
      </c>
      <c r="M75" s="22">
        <v>0.186</v>
      </c>
      <c r="N75" s="22">
        <v>0.754</v>
      </c>
      <c r="O75" s="22">
        <v>0.922</v>
      </c>
      <c r="P75" s="22">
        <v>36.0</v>
      </c>
      <c r="Q75" s="22">
        <v>135.0</v>
      </c>
      <c r="R75" s="22">
        <v>35.0</v>
      </c>
      <c r="S75" s="22">
        <v>413.0</v>
      </c>
    </row>
    <row r="76">
      <c r="A76" s="23"/>
      <c r="B76" s="23"/>
      <c r="C76" s="23"/>
      <c r="D76" s="70"/>
      <c r="E76" s="22">
        <v>0.6</v>
      </c>
      <c r="F76" s="22">
        <v>0.689</v>
      </c>
      <c r="G76" s="22">
        <v>0.709</v>
      </c>
      <c r="H76" s="22">
        <v>0.696</v>
      </c>
      <c r="I76" s="60">
        <f t="shared" si="11"/>
        <v>0.4039735099</v>
      </c>
      <c r="J76" s="60">
        <f t="shared" si="12"/>
        <v>0.8076923077</v>
      </c>
      <c r="K76" s="60">
        <f t="shared" si="13"/>
        <v>0.6058329088</v>
      </c>
      <c r="L76" s="22">
        <v>0.644</v>
      </c>
      <c r="M76" s="22">
        <v>0.219</v>
      </c>
      <c r="N76" s="22">
        <v>0.775</v>
      </c>
      <c r="O76" s="22">
        <v>0.844</v>
      </c>
      <c r="P76" s="22">
        <v>61.0</v>
      </c>
      <c r="Q76" s="22">
        <v>110.0</v>
      </c>
      <c r="R76" s="22">
        <v>70.0</v>
      </c>
      <c r="S76" s="22">
        <v>378.0</v>
      </c>
    </row>
    <row r="77">
      <c r="A77" s="23"/>
      <c r="B77" s="23"/>
      <c r="C77" s="23"/>
      <c r="D77" s="70"/>
      <c r="E77" s="22">
        <v>0.613</v>
      </c>
      <c r="F77" s="22">
        <v>0.739</v>
      </c>
      <c r="G77" s="22">
        <v>0.759</v>
      </c>
      <c r="H77" s="22">
        <v>0.725</v>
      </c>
      <c r="I77" s="60">
        <f t="shared" si="11"/>
        <v>0.3967611336</v>
      </c>
      <c r="J77" s="60">
        <f t="shared" si="12"/>
        <v>0.8496468214</v>
      </c>
      <c r="K77" s="60">
        <f t="shared" si="13"/>
        <v>0.6232039775</v>
      </c>
      <c r="L77" s="22">
        <v>0.745</v>
      </c>
      <c r="M77" s="22">
        <v>0.308</v>
      </c>
      <c r="N77" s="22">
        <v>0.775</v>
      </c>
      <c r="O77" s="22">
        <v>0.94</v>
      </c>
      <c r="P77" s="22">
        <v>49.0</v>
      </c>
      <c r="Q77" s="22">
        <v>122.0</v>
      </c>
      <c r="R77" s="22">
        <v>27.0</v>
      </c>
      <c r="S77" s="22">
        <v>421.0</v>
      </c>
    </row>
    <row r="78">
      <c r="A78" s="23"/>
      <c r="B78" s="23"/>
      <c r="C78" s="23"/>
      <c r="D78" s="70"/>
      <c r="E78" s="22">
        <v>0.592</v>
      </c>
      <c r="F78" s="22">
        <v>0.719</v>
      </c>
      <c r="G78" s="22">
        <v>0.746</v>
      </c>
      <c r="H78" s="22">
        <v>0.706</v>
      </c>
      <c r="I78" s="60">
        <f t="shared" si="11"/>
        <v>0.3485477178</v>
      </c>
      <c r="J78" s="60">
        <f t="shared" si="12"/>
        <v>0.8425275827</v>
      </c>
      <c r="K78" s="60">
        <f t="shared" si="13"/>
        <v>0.5955376503</v>
      </c>
      <c r="L78" s="22">
        <v>0.753</v>
      </c>
      <c r="M78" s="22">
        <v>0.259</v>
      </c>
      <c r="N78" s="22">
        <v>0.765</v>
      </c>
      <c r="O78" s="22">
        <v>0.938</v>
      </c>
      <c r="P78" s="22">
        <v>42.0</v>
      </c>
      <c r="Q78" s="22">
        <v>129.0</v>
      </c>
      <c r="R78" s="22">
        <v>28.0</v>
      </c>
      <c r="S78" s="22">
        <v>420.0</v>
      </c>
    </row>
    <row r="79">
      <c r="A79" s="23"/>
      <c r="B79" s="23"/>
      <c r="C79" s="23"/>
      <c r="D79" s="70"/>
      <c r="E79" s="22">
        <v>0.626</v>
      </c>
      <c r="F79" s="22">
        <v>0.717</v>
      </c>
      <c r="G79" s="22">
        <v>0.737</v>
      </c>
      <c r="H79" s="22">
        <v>0.721</v>
      </c>
      <c r="I79" s="60">
        <f t="shared" si="11"/>
        <v>0.4436860068</v>
      </c>
      <c r="J79" s="60">
        <f t="shared" si="12"/>
        <v>0.8275132275</v>
      </c>
      <c r="K79" s="60">
        <f t="shared" si="13"/>
        <v>0.6355996172</v>
      </c>
      <c r="L79" s="22">
        <v>0.741</v>
      </c>
      <c r="M79" s="22">
        <v>0.284</v>
      </c>
      <c r="N79" s="22">
        <v>0.787</v>
      </c>
      <c r="O79" s="22">
        <v>0.873</v>
      </c>
      <c r="P79" s="22">
        <v>65.0</v>
      </c>
      <c r="Q79" s="22">
        <v>106.0</v>
      </c>
      <c r="R79" s="22">
        <v>57.0</v>
      </c>
      <c r="S79" s="22">
        <v>391.0</v>
      </c>
    </row>
    <row r="80">
      <c r="A80" s="23"/>
      <c r="B80" s="23"/>
      <c r="C80" s="23"/>
      <c r="D80" s="11"/>
      <c r="E80" s="22">
        <v>0.593</v>
      </c>
      <c r="F80" s="22">
        <v>0.687</v>
      </c>
      <c r="G80" s="22">
        <v>0.712</v>
      </c>
      <c r="H80" s="22">
        <v>0.695</v>
      </c>
      <c r="I80" s="60">
        <f t="shared" si="11"/>
        <v>0.3862068966</v>
      </c>
      <c r="J80" s="60">
        <f t="shared" si="12"/>
        <v>0.8122362869</v>
      </c>
      <c r="K80" s="60">
        <f t="shared" si="13"/>
        <v>0.5992215917</v>
      </c>
      <c r="L80" s="22">
        <v>0.702</v>
      </c>
      <c r="M80" s="22">
        <v>0.212</v>
      </c>
      <c r="N80" s="22">
        <v>0.77</v>
      </c>
      <c r="O80" s="22">
        <v>0.859</v>
      </c>
      <c r="P80" s="22">
        <v>56.0</v>
      </c>
      <c r="Q80" s="22">
        <v>115.0</v>
      </c>
      <c r="R80" s="22">
        <v>63.0</v>
      </c>
      <c r="S80" s="22">
        <v>385.0</v>
      </c>
    </row>
    <row r="81">
      <c r="A81" s="23"/>
      <c r="B81" s="23"/>
      <c r="C81" s="23"/>
      <c r="D81" s="11"/>
      <c r="E81" s="22">
        <v>0.618</v>
      </c>
      <c r="F81" s="22">
        <v>0.719</v>
      </c>
      <c r="G81" s="22">
        <v>0.743</v>
      </c>
      <c r="H81" s="22">
        <v>0.721</v>
      </c>
      <c r="I81" s="60">
        <f t="shared" si="11"/>
        <v>0.4218181818</v>
      </c>
      <c r="J81" s="60">
        <f t="shared" si="12"/>
        <v>0.8348909657</v>
      </c>
      <c r="K81" s="60">
        <f t="shared" si="13"/>
        <v>0.6283545738</v>
      </c>
      <c r="L81" s="22">
        <v>0.732</v>
      </c>
      <c r="M81" s="22">
        <v>0.283</v>
      </c>
      <c r="N81" s="22">
        <v>0.781</v>
      </c>
      <c r="O81" s="22">
        <v>0.897</v>
      </c>
      <c r="P81" s="22">
        <v>58.0</v>
      </c>
      <c r="Q81" s="22">
        <v>113.0</v>
      </c>
      <c r="R81" s="22">
        <v>46.0</v>
      </c>
      <c r="S81" s="22">
        <v>402.0</v>
      </c>
    </row>
    <row r="82">
      <c r="A82" s="23"/>
      <c r="B82" s="23"/>
      <c r="C82" s="23"/>
      <c r="D82" s="11"/>
      <c r="E82" s="22">
        <v>0.615</v>
      </c>
      <c r="F82" s="22">
        <v>0.707</v>
      </c>
      <c r="G82" s="22">
        <v>0.729</v>
      </c>
      <c r="H82" s="22">
        <v>0.713</v>
      </c>
      <c r="I82" s="60">
        <f t="shared" si="11"/>
        <v>0.4246575342</v>
      </c>
      <c r="J82" s="60">
        <f t="shared" si="12"/>
        <v>0.822410148</v>
      </c>
      <c r="K82" s="60">
        <f t="shared" si="13"/>
        <v>0.6235338411</v>
      </c>
      <c r="L82" s="22">
        <v>0.683</v>
      </c>
      <c r="M82" s="22">
        <v>0.26</v>
      </c>
      <c r="N82" s="22">
        <v>0.781</v>
      </c>
      <c r="O82" s="22">
        <v>0.868</v>
      </c>
      <c r="P82" s="22">
        <v>62.0</v>
      </c>
      <c r="Q82" s="22">
        <v>109.0</v>
      </c>
      <c r="R82" s="22">
        <v>59.0</v>
      </c>
      <c r="S82" s="22">
        <v>389.0</v>
      </c>
    </row>
    <row r="83">
      <c r="A83" s="23"/>
      <c r="B83" s="23"/>
      <c r="C83" s="23"/>
      <c r="D83" s="11"/>
      <c r="E83" s="22">
        <v>0.583</v>
      </c>
      <c r="F83" s="22">
        <v>0.728</v>
      </c>
      <c r="G83" s="22">
        <v>0.75</v>
      </c>
      <c r="H83" s="22">
        <v>0.7</v>
      </c>
      <c r="I83" s="60">
        <f t="shared" si="11"/>
        <v>0.3171806167</v>
      </c>
      <c r="J83" s="60">
        <f t="shared" si="12"/>
        <v>0.8466864491</v>
      </c>
      <c r="K83" s="60">
        <f t="shared" si="13"/>
        <v>0.5819335329</v>
      </c>
      <c r="L83" s="22">
        <v>0.696</v>
      </c>
      <c r="M83" s="22">
        <v>0.259</v>
      </c>
      <c r="N83" s="22">
        <v>0.76</v>
      </c>
      <c r="O83" s="22">
        <v>0.955</v>
      </c>
      <c r="P83" s="22">
        <v>36.0</v>
      </c>
      <c r="Q83" s="22">
        <v>135.0</v>
      </c>
      <c r="R83" s="22">
        <v>20.0</v>
      </c>
      <c r="S83" s="22">
        <v>428.0</v>
      </c>
    </row>
    <row r="84">
      <c r="A84" s="23"/>
      <c r="B84" s="23"/>
      <c r="C84" s="23"/>
      <c r="D84" s="11"/>
      <c r="E84" s="22">
        <v>0.595</v>
      </c>
      <c r="F84" s="22">
        <v>0.728</v>
      </c>
      <c r="G84" s="22">
        <v>0.751</v>
      </c>
      <c r="H84" s="22">
        <v>0.71</v>
      </c>
      <c r="I84" s="60">
        <f t="shared" si="11"/>
        <v>0.3529411765</v>
      </c>
      <c r="J84" s="60">
        <f t="shared" si="12"/>
        <v>0.846</v>
      </c>
      <c r="K84" s="60">
        <f t="shared" si="13"/>
        <v>0.5994705882</v>
      </c>
      <c r="L84" s="22">
        <v>0.757</v>
      </c>
      <c r="M84" s="22">
        <v>0.273</v>
      </c>
      <c r="N84" s="22">
        <v>0.766</v>
      </c>
      <c r="O84" s="22">
        <v>0.944</v>
      </c>
      <c r="P84" s="22">
        <v>42.0</v>
      </c>
      <c r="Q84" s="22">
        <v>129.0</v>
      </c>
      <c r="R84" s="22">
        <v>25.0</v>
      </c>
      <c r="S84" s="22">
        <v>423.0</v>
      </c>
    </row>
    <row r="85">
      <c r="A85" s="23"/>
      <c r="B85" s="23"/>
      <c r="C85" s="23"/>
      <c r="D85" s="11"/>
      <c r="E85" s="22">
        <v>0.625</v>
      </c>
      <c r="F85" s="22">
        <v>0.708</v>
      </c>
      <c r="G85" s="22">
        <v>0.724</v>
      </c>
      <c r="H85" s="22">
        <v>0.714</v>
      </c>
      <c r="I85" s="60">
        <f t="shared" si="11"/>
        <v>0.4466019417</v>
      </c>
      <c r="J85" s="60">
        <f t="shared" si="12"/>
        <v>0.8159311087</v>
      </c>
      <c r="K85" s="60">
        <f t="shared" si="13"/>
        <v>0.6312665252</v>
      </c>
      <c r="L85" s="22">
        <v>0.718</v>
      </c>
      <c r="M85" s="22">
        <v>0.268</v>
      </c>
      <c r="N85" s="22">
        <v>0.788</v>
      </c>
      <c r="O85" s="22">
        <v>0.846</v>
      </c>
      <c r="P85" s="22">
        <v>69.0</v>
      </c>
      <c r="Q85" s="22">
        <v>102.0</v>
      </c>
      <c r="R85" s="22">
        <v>69.0</v>
      </c>
      <c r="S85" s="22">
        <v>379.0</v>
      </c>
    </row>
    <row r="86">
      <c r="A86" s="23"/>
      <c r="B86" s="23"/>
      <c r="C86" s="23"/>
      <c r="D86" s="11"/>
      <c r="E86" s="22">
        <v>0.585</v>
      </c>
      <c r="F86" s="22">
        <v>0.669</v>
      </c>
      <c r="G86" s="22">
        <v>0.674</v>
      </c>
      <c r="H86" s="22">
        <v>0.671</v>
      </c>
      <c r="I86" s="60">
        <f t="shared" si="11"/>
        <v>0.3952095808</v>
      </c>
      <c r="J86" s="60">
        <f t="shared" si="12"/>
        <v>0.7765486726</v>
      </c>
      <c r="K86" s="60">
        <f t="shared" si="13"/>
        <v>0.5858791267</v>
      </c>
      <c r="L86" s="22">
        <v>0.649</v>
      </c>
      <c r="M86" s="22">
        <v>0.172</v>
      </c>
      <c r="N86" s="22">
        <v>0.77</v>
      </c>
      <c r="O86" s="22">
        <v>0.783</v>
      </c>
      <c r="P86" s="22">
        <v>66.0</v>
      </c>
      <c r="Q86" s="22">
        <v>105.0</v>
      </c>
      <c r="R86" s="22">
        <v>97.0</v>
      </c>
      <c r="S86" s="22">
        <v>351.0</v>
      </c>
    </row>
    <row r="87">
      <c r="A87" s="23"/>
      <c r="B87" s="23"/>
      <c r="C87" s="23"/>
      <c r="D87" s="11"/>
      <c r="E87" s="22">
        <v>0.589</v>
      </c>
      <c r="F87" s="22">
        <v>0.717</v>
      </c>
      <c r="G87" s="22">
        <v>0.745</v>
      </c>
      <c r="H87" s="22">
        <v>0.704</v>
      </c>
      <c r="I87" s="60">
        <f t="shared" si="11"/>
        <v>0.3416666667</v>
      </c>
      <c r="J87" s="60">
        <f t="shared" si="12"/>
        <v>0.8416833667</v>
      </c>
      <c r="K87" s="60">
        <f t="shared" si="13"/>
        <v>0.5916750167</v>
      </c>
      <c r="L87" s="22">
        <v>0.756</v>
      </c>
      <c r="M87" s="22">
        <v>0.252</v>
      </c>
      <c r="N87" s="22">
        <v>0.764</v>
      </c>
      <c r="O87" s="22">
        <v>0.938</v>
      </c>
      <c r="P87" s="22">
        <v>41.0</v>
      </c>
      <c r="Q87" s="22">
        <v>130.0</v>
      </c>
      <c r="R87" s="22">
        <v>28.0</v>
      </c>
      <c r="S87" s="22">
        <v>420.0</v>
      </c>
    </row>
    <row r="88">
      <c r="A88" s="23"/>
      <c r="B88" s="23"/>
      <c r="C88" s="23"/>
      <c r="D88" s="11"/>
      <c r="E88" s="22">
        <v>0.621</v>
      </c>
      <c r="F88" s="22">
        <v>0.73</v>
      </c>
      <c r="G88" s="22">
        <v>0.753</v>
      </c>
      <c r="H88" s="22">
        <v>0.727</v>
      </c>
      <c r="I88" s="60">
        <f t="shared" si="11"/>
        <v>0.4226415094</v>
      </c>
      <c r="J88" s="60">
        <f t="shared" si="12"/>
        <v>0.8427543679</v>
      </c>
      <c r="K88" s="60">
        <f t="shared" si="13"/>
        <v>0.6326979387</v>
      </c>
      <c r="L88" s="22">
        <v>0.736</v>
      </c>
      <c r="M88" s="22">
        <v>0.302</v>
      </c>
      <c r="N88" s="22">
        <v>0.781</v>
      </c>
      <c r="O88" s="22">
        <v>0.915</v>
      </c>
      <c r="P88" s="22">
        <v>56.0</v>
      </c>
      <c r="Q88" s="22">
        <v>115.0</v>
      </c>
      <c r="R88" s="22">
        <v>38.0</v>
      </c>
      <c r="S88" s="22">
        <v>410.0</v>
      </c>
    </row>
    <row r="89">
      <c r="A89" s="23"/>
      <c r="B89" s="23"/>
      <c r="C89" s="23"/>
      <c r="D89" s="11"/>
      <c r="E89" s="22">
        <v>0.649</v>
      </c>
      <c r="F89" s="22">
        <v>0.72</v>
      </c>
      <c r="G89" s="22">
        <v>0.722</v>
      </c>
      <c r="H89" s="22">
        <v>0.721</v>
      </c>
      <c r="I89" s="60">
        <f t="shared" si="11"/>
        <v>0.4911242604</v>
      </c>
      <c r="J89" s="60">
        <f t="shared" si="12"/>
        <v>0.8088888889</v>
      </c>
      <c r="K89" s="60">
        <f t="shared" si="13"/>
        <v>0.6500065746</v>
      </c>
      <c r="L89" s="22">
        <v>0.696</v>
      </c>
      <c r="M89" s="22">
        <v>0.3</v>
      </c>
      <c r="N89" s="22">
        <v>0.805</v>
      </c>
      <c r="O89" s="22">
        <v>0.812</v>
      </c>
      <c r="P89" s="22">
        <v>83.0</v>
      </c>
      <c r="Q89" s="22">
        <v>88.0</v>
      </c>
      <c r="R89" s="22">
        <v>84.0</v>
      </c>
      <c r="S89" s="22">
        <v>364.0</v>
      </c>
    </row>
    <row r="90">
      <c r="A90" s="23"/>
      <c r="B90" s="23"/>
      <c r="C90" s="23"/>
      <c r="D90" s="11"/>
      <c r="E90" s="22">
        <v>0.597</v>
      </c>
      <c r="F90" s="22">
        <v>0.691</v>
      </c>
      <c r="G90" s="22">
        <v>0.716</v>
      </c>
      <c r="H90" s="22">
        <v>0.698</v>
      </c>
      <c r="I90" s="60">
        <f t="shared" si="11"/>
        <v>0.3931034483</v>
      </c>
      <c r="J90" s="60">
        <f t="shared" si="12"/>
        <v>0.8143459916</v>
      </c>
      <c r="K90" s="60">
        <f t="shared" si="13"/>
        <v>0.6037247199</v>
      </c>
      <c r="L90" s="22">
        <v>0.676</v>
      </c>
      <c r="M90" s="22">
        <v>0.221</v>
      </c>
      <c r="N90" s="22">
        <v>0.772</v>
      </c>
      <c r="O90" s="22">
        <v>0.862</v>
      </c>
      <c r="P90" s="22">
        <v>57.0</v>
      </c>
      <c r="Q90" s="22">
        <v>114.0</v>
      </c>
      <c r="R90" s="22">
        <v>62.0</v>
      </c>
      <c r="S90" s="22">
        <v>386.0</v>
      </c>
    </row>
    <row r="91">
      <c r="A91" s="23"/>
      <c r="B91" s="23"/>
      <c r="C91" s="23"/>
      <c r="D91" s="11"/>
      <c r="E91" s="22">
        <v>0.655</v>
      </c>
      <c r="F91" s="22">
        <v>0.719</v>
      </c>
      <c r="G91" s="22">
        <v>0.704</v>
      </c>
      <c r="H91" s="22">
        <v>0.711</v>
      </c>
      <c r="I91" s="60">
        <f t="shared" si="11"/>
        <v>0.5040650407</v>
      </c>
      <c r="J91" s="60">
        <f t="shared" si="12"/>
        <v>0.7894131185</v>
      </c>
      <c r="K91" s="60">
        <f t="shared" si="13"/>
        <v>0.6467390796</v>
      </c>
      <c r="L91" s="22">
        <v>0.728</v>
      </c>
      <c r="M91" s="22">
        <v>0.297</v>
      </c>
      <c r="N91" s="22">
        <v>0.815</v>
      </c>
      <c r="O91" s="22">
        <v>0.766</v>
      </c>
      <c r="P91" s="22">
        <v>93.0</v>
      </c>
      <c r="Q91" s="22">
        <v>78.0</v>
      </c>
      <c r="R91" s="22">
        <v>105.0</v>
      </c>
      <c r="S91" s="22">
        <v>343.0</v>
      </c>
    </row>
    <row r="92">
      <c r="A92" s="23"/>
      <c r="B92" s="23"/>
      <c r="C92" s="23"/>
      <c r="D92" s="11"/>
      <c r="E92" s="22">
        <v>0.581</v>
      </c>
      <c r="F92" s="22">
        <v>0.729</v>
      </c>
      <c r="G92" s="22">
        <v>0.75</v>
      </c>
      <c r="H92" s="22">
        <v>0.699</v>
      </c>
      <c r="I92" s="60">
        <f t="shared" si="11"/>
        <v>0.3111111111</v>
      </c>
      <c r="J92" s="60">
        <f t="shared" si="12"/>
        <v>0.8469891412</v>
      </c>
      <c r="K92" s="60">
        <f t="shared" si="13"/>
        <v>0.5790501261</v>
      </c>
      <c r="L92" s="22">
        <v>0.718</v>
      </c>
      <c r="M92" s="22">
        <v>0.257</v>
      </c>
      <c r="N92" s="22">
        <v>0.759</v>
      </c>
      <c r="O92" s="22">
        <v>0.958</v>
      </c>
      <c r="P92" s="22">
        <v>35.0</v>
      </c>
      <c r="Q92" s="22">
        <v>136.0</v>
      </c>
      <c r="R92" s="22">
        <v>19.0</v>
      </c>
      <c r="S92" s="22">
        <v>429.0</v>
      </c>
    </row>
    <row r="93">
      <c r="A93" s="23"/>
      <c r="B93" s="23"/>
      <c r="C93" s="23"/>
      <c r="D93" s="11"/>
      <c r="E93" s="22">
        <v>0.582</v>
      </c>
      <c r="F93" s="22">
        <v>0.702</v>
      </c>
      <c r="G93" s="22">
        <v>0.735</v>
      </c>
      <c r="H93" s="22">
        <v>0.696</v>
      </c>
      <c r="I93" s="60">
        <f t="shared" si="11"/>
        <v>0.3333333333</v>
      </c>
      <c r="J93" s="60">
        <f t="shared" si="12"/>
        <v>0.8346774194</v>
      </c>
      <c r="K93" s="60">
        <f t="shared" si="13"/>
        <v>0.5840053763</v>
      </c>
      <c r="L93" s="22">
        <v>0.736</v>
      </c>
      <c r="M93" s="22">
        <v>0.225</v>
      </c>
      <c r="N93" s="22">
        <v>0.761</v>
      </c>
      <c r="O93" s="22">
        <v>0.924</v>
      </c>
      <c r="P93" s="22">
        <v>41.0</v>
      </c>
      <c r="Q93" s="22">
        <v>130.0</v>
      </c>
      <c r="R93" s="22">
        <v>34.0</v>
      </c>
      <c r="S93" s="22">
        <v>414.0</v>
      </c>
    </row>
    <row r="94">
      <c r="A94" s="23"/>
      <c r="B94" s="23"/>
      <c r="C94" s="23"/>
      <c r="D94" s="11"/>
      <c r="E94" s="22">
        <v>0.619</v>
      </c>
      <c r="F94" s="22">
        <v>0.718</v>
      </c>
      <c r="G94" s="22">
        <v>0.742</v>
      </c>
      <c r="H94" s="22">
        <v>0.72</v>
      </c>
      <c r="I94" s="60">
        <f t="shared" si="11"/>
        <v>0.4244604317</v>
      </c>
      <c r="J94" s="60">
        <f t="shared" si="12"/>
        <v>0.8333333333</v>
      </c>
      <c r="K94" s="60">
        <f t="shared" si="13"/>
        <v>0.6288968825</v>
      </c>
      <c r="L94" s="22">
        <v>0.716</v>
      </c>
      <c r="M94" s="22">
        <v>0.281</v>
      </c>
      <c r="N94" s="22">
        <v>0.781</v>
      </c>
      <c r="O94" s="22">
        <v>0.893</v>
      </c>
      <c r="P94" s="22">
        <v>59.0</v>
      </c>
      <c r="Q94" s="22">
        <v>112.0</v>
      </c>
      <c r="R94" s="22">
        <v>48.0</v>
      </c>
      <c r="S94" s="22">
        <v>400.0</v>
      </c>
    </row>
    <row r="95">
      <c r="A95" s="23"/>
      <c r="B95" s="23"/>
      <c r="C95" s="23"/>
      <c r="D95" s="11"/>
      <c r="E95" s="22">
        <v>0.656</v>
      </c>
      <c r="F95" s="22">
        <v>0.719</v>
      </c>
      <c r="G95" s="22">
        <v>0.659</v>
      </c>
      <c r="H95" s="22">
        <v>0.676</v>
      </c>
      <c r="I95" s="60">
        <f t="shared" si="11"/>
        <v>0.5127020785</v>
      </c>
      <c r="J95" s="60">
        <f t="shared" si="12"/>
        <v>0.7378881988</v>
      </c>
      <c r="K95" s="60">
        <f t="shared" si="13"/>
        <v>0.6252951386</v>
      </c>
      <c r="L95" s="22">
        <v>0.682</v>
      </c>
      <c r="M95" s="22">
        <v>0.282</v>
      </c>
      <c r="N95" s="22">
        <v>0.832</v>
      </c>
      <c r="O95" s="22">
        <v>0.663</v>
      </c>
      <c r="P95" s="22">
        <v>111.0</v>
      </c>
      <c r="Q95" s="22">
        <v>60.0</v>
      </c>
      <c r="R95" s="22">
        <v>151.0</v>
      </c>
      <c r="S95" s="22">
        <v>297.0</v>
      </c>
    </row>
    <row r="96">
      <c r="A96" s="23"/>
      <c r="B96" s="23"/>
      <c r="C96" s="23"/>
      <c r="D96" s="11"/>
      <c r="E96" s="22">
        <v>0.589</v>
      </c>
      <c r="F96" s="22">
        <v>0.68</v>
      </c>
      <c r="G96" s="22">
        <v>0.701</v>
      </c>
      <c r="H96" s="22">
        <v>0.687</v>
      </c>
      <c r="I96" s="60">
        <f t="shared" si="11"/>
        <v>0.3853820598</v>
      </c>
      <c r="J96" s="60">
        <f t="shared" si="12"/>
        <v>0.8025613661</v>
      </c>
      <c r="K96" s="60">
        <f t="shared" si="13"/>
        <v>0.5939717129</v>
      </c>
      <c r="L96" s="22">
        <v>0.594</v>
      </c>
      <c r="M96" s="22">
        <v>0.196</v>
      </c>
      <c r="N96" s="22">
        <v>0.769</v>
      </c>
      <c r="O96" s="22">
        <v>0.839</v>
      </c>
      <c r="P96" s="22">
        <v>58.0</v>
      </c>
      <c r="Q96" s="22">
        <v>113.0</v>
      </c>
      <c r="R96" s="22">
        <v>72.0</v>
      </c>
      <c r="S96" s="22">
        <v>376.0</v>
      </c>
    </row>
    <row r="97">
      <c r="A97" s="23"/>
      <c r="B97" s="23"/>
      <c r="C97" s="23"/>
      <c r="D97" s="11"/>
      <c r="E97" s="22">
        <v>0.617</v>
      </c>
      <c r="F97" s="22">
        <v>0.727</v>
      </c>
      <c r="G97" s="22">
        <v>0.751</v>
      </c>
      <c r="H97" s="22">
        <v>0.723</v>
      </c>
      <c r="I97" s="60">
        <f t="shared" si="11"/>
        <v>0.4122137405</v>
      </c>
      <c r="J97" s="60">
        <f t="shared" si="12"/>
        <v>0.8422131148</v>
      </c>
      <c r="K97" s="60">
        <f t="shared" si="13"/>
        <v>0.6272134276</v>
      </c>
      <c r="L97" s="22">
        <v>0.741</v>
      </c>
      <c r="M97" s="22">
        <v>0.294</v>
      </c>
      <c r="N97" s="22">
        <v>0.778</v>
      </c>
      <c r="O97" s="22">
        <v>0.917</v>
      </c>
      <c r="P97" s="22">
        <v>54.0</v>
      </c>
      <c r="Q97" s="22">
        <v>117.0</v>
      </c>
      <c r="R97" s="22">
        <v>37.0</v>
      </c>
      <c r="S97" s="22">
        <v>411.0</v>
      </c>
    </row>
    <row r="98">
      <c r="A98" s="23"/>
      <c r="B98" s="23"/>
      <c r="C98" s="23"/>
      <c r="D98" s="11"/>
      <c r="E98" s="22">
        <v>0.605</v>
      </c>
      <c r="F98" s="22">
        <v>0.745</v>
      </c>
      <c r="G98" s="22">
        <v>0.761</v>
      </c>
      <c r="H98" s="22">
        <v>0.72</v>
      </c>
      <c r="I98" s="60">
        <f t="shared" si="11"/>
        <v>0.3728813559</v>
      </c>
      <c r="J98" s="60">
        <f t="shared" si="12"/>
        <v>0.8522954092</v>
      </c>
      <c r="K98" s="60">
        <f t="shared" si="13"/>
        <v>0.6125883826</v>
      </c>
      <c r="L98" s="22">
        <v>0.738</v>
      </c>
      <c r="M98" s="22">
        <v>0.307</v>
      </c>
      <c r="N98" s="22">
        <v>0.771</v>
      </c>
      <c r="O98" s="22">
        <v>0.953</v>
      </c>
      <c r="P98" s="22">
        <v>44.0</v>
      </c>
      <c r="Q98" s="22">
        <v>127.0</v>
      </c>
      <c r="R98" s="22">
        <v>21.0</v>
      </c>
      <c r="S98" s="22">
        <v>427.0</v>
      </c>
    </row>
    <row r="99">
      <c r="A99" s="23"/>
      <c r="B99" s="23"/>
      <c r="C99" s="23"/>
      <c r="D99" s="11"/>
      <c r="E99" s="22">
        <v>0.635</v>
      </c>
      <c r="F99" s="22">
        <v>0.718</v>
      </c>
      <c r="G99" s="22">
        <v>0.733</v>
      </c>
      <c r="H99" s="22">
        <v>0.723</v>
      </c>
      <c r="I99" s="60">
        <f t="shared" si="11"/>
        <v>0.4625407166</v>
      </c>
      <c r="J99" s="60">
        <f t="shared" si="12"/>
        <v>0.8227712137</v>
      </c>
      <c r="K99" s="60">
        <f t="shared" si="13"/>
        <v>0.6426559652</v>
      </c>
      <c r="L99" s="22">
        <v>0.73</v>
      </c>
      <c r="M99" s="22">
        <v>0.292</v>
      </c>
      <c r="N99" s="22">
        <v>0.793</v>
      </c>
      <c r="O99" s="22">
        <v>0.855</v>
      </c>
      <c r="P99" s="22">
        <v>71.0</v>
      </c>
      <c r="Q99" s="22">
        <v>100.0</v>
      </c>
      <c r="R99" s="22">
        <v>65.0</v>
      </c>
      <c r="S99" s="22">
        <v>383.0</v>
      </c>
    </row>
    <row r="100">
      <c r="A100" s="23"/>
      <c r="B100" s="23"/>
      <c r="C100" s="23"/>
      <c r="D100" s="71" t="s">
        <v>23</v>
      </c>
      <c r="E100" s="22">
        <v>0.607</v>
      </c>
      <c r="F100" s="22">
        <v>0.712</v>
      </c>
      <c r="G100" s="22">
        <v>0.73</v>
      </c>
      <c r="H100" s="22">
        <v>0.707</v>
      </c>
      <c r="I100" s="60">
        <f t="shared" ref="I100:K100" si="14">MEDIAN(I70:I99)</f>
        <v>0.3959853572</v>
      </c>
      <c r="J100" s="60">
        <f t="shared" si="14"/>
        <v>0.8313253012</v>
      </c>
      <c r="K100" s="60">
        <f t="shared" si="14"/>
        <v>0.6113039915</v>
      </c>
      <c r="L100" s="22">
        <v>0.71</v>
      </c>
      <c r="M100" s="22">
        <v>0.259</v>
      </c>
      <c r="N100" s="22">
        <v>0.777</v>
      </c>
      <c r="O100" s="22">
        <v>0.883</v>
      </c>
      <c r="P100" s="22">
        <v>56.633</v>
      </c>
      <c r="Q100" s="22">
        <v>114.367</v>
      </c>
      <c r="R100" s="22">
        <v>52.467</v>
      </c>
      <c r="S100" s="22">
        <v>395.533</v>
      </c>
    </row>
    <row r="101">
      <c r="A101" s="72"/>
      <c r="B101" s="72"/>
      <c r="C101" s="72"/>
      <c r="D101" s="73" t="s">
        <v>232</v>
      </c>
      <c r="E101" s="22">
        <v>0.023</v>
      </c>
      <c r="F101" s="22">
        <v>0.019</v>
      </c>
      <c r="G101" s="22">
        <v>0.024</v>
      </c>
      <c r="H101" s="22">
        <v>0.015</v>
      </c>
      <c r="I101" s="60">
        <f t="shared" ref="I101:K101" si="15">_xlfn.STDEV.P(I70:I99)</f>
        <v>0.05598269022</v>
      </c>
      <c r="J101" s="60">
        <f t="shared" si="15"/>
        <v>0.02453049695</v>
      </c>
      <c r="K101" s="60">
        <f t="shared" si="15"/>
        <v>0.02299925312</v>
      </c>
      <c r="L101" s="22">
        <v>0.038</v>
      </c>
      <c r="M101" s="22">
        <v>0.039</v>
      </c>
      <c r="N101" s="22">
        <v>0.017</v>
      </c>
      <c r="O101" s="22">
        <v>0.065</v>
      </c>
      <c r="P101" s="22">
        <v>17.142</v>
      </c>
      <c r="Q101" s="22">
        <v>17.142</v>
      </c>
      <c r="R101" s="22">
        <v>29.297</v>
      </c>
      <c r="S101" s="22">
        <v>29.297</v>
      </c>
    </row>
    <row r="102">
      <c r="I102" s="60"/>
      <c r="J102" s="60"/>
      <c r="K102" s="60"/>
    </row>
    <row r="103">
      <c r="A103" s="77" t="s">
        <v>235</v>
      </c>
      <c r="B103" s="78" t="s">
        <v>231</v>
      </c>
      <c r="C103" s="81" t="s">
        <v>236</v>
      </c>
      <c r="D103" s="79"/>
      <c r="E103" s="32">
        <v>0.629</v>
      </c>
      <c r="F103" s="32">
        <v>0.706</v>
      </c>
      <c r="G103" s="32">
        <v>0.714</v>
      </c>
      <c r="H103" s="32">
        <v>0.71</v>
      </c>
      <c r="I103" s="60">
        <f t="shared" ref="I103:I132" si="16">(2*P103)/((2*P103) + Q103 + R103)</f>
        <v>0.4587155963</v>
      </c>
      <c r="J103" s="60">
        <f t="shared" ref="J103:J132" si="17">(2*S103)/((2*S103) + Q103 + R103)</f>
        <v>0.8057080132</v>
      </c>
      <c r="K103" s="60">
        <f t="shared" ref="K103:K132" si="18"> MEDIAN(I103,J103)</f>
        <v>0.6322118048</v>
      </c>
      <c r="L103" s="32">
        <v>0.719</v>
      </c>
      <c r="M103" s="32">
        <v>0.265</v>
      </c>
      <c r="N103" s="32">
        <v>0.793</v>
      </c>
      <c r="O103" s="32">
        <v>0.819</v>
      </c>
      <c r="P103" s="32">
        <v>75.0</v>
      </c>
      <c r="Q103" s="32">
        <v>96.0</v>
      </c>
      <c r="R103" s="22">
        <v>81.0</v>
      </c>
      <c r="S103" s="32">
        <v>367.0</v>
      </c>
    </row>
    <row r="104">
      <c r="A104" s="23"/>
      <c r="B104" s="23"/>
      <c r="C104" s="23"/>
      <c r="D104" s="69"/>
      <c r="E104" s="22">
        <v>0.587</v>
      </c>
      <c r="F104" s="32">
        <v>0.727</v>
      </c>
      <c r="G104" s="22">
        <v>0.75</v>
      </c>
      <c r="H104" s="22">
        <v>0.703</v>
      </c>
      <c r="I104" s="60">
        <f t="shared" si="16"/>
        <v>0.329004329</v>
      </c>
      <c r="J104" s="60">
        <f t="shared" si="17"/>
        <v>0.8460774578</v>
      </c>
      <c r="K104" s="60">
        <f t="shared" si="18"/>
        <v>0.5875408934</v>
      </c>
      <c r="L104" s="22">
        <v>0.764</v>
      </c>
      <c r="M104" s="22">
        <v>0.262</v>
      </c>
      <c r="N104" s="22">
        <v>0.762</v>
      </c>
      <c r="O104" s="32">
        <v>0.951</v>
      </c>
      <c r="P104" s="22">
        <v>38.0</v>
      </c>
      <c r="Q104" s="22">
        <v>133.0</v>
      </c>
      <c r="R104" s="22">
        <v>22.0</v>
      </c>
      <c r="S104" s="22">
        <v>426.0</v>
      </c>
    </row>
    <row r="105">
      <c r="A105" s="23"/>
      <c r="B105" s="23"/>
      <c r="C105" s="23"/>
      <c r="D105" s="70"/>
      <c r="E105" s="22">
        <v>0.597</v>
      </c>
      <c r="F105" s="22">
        <v>0.709</v>
      </c>
      <c r="G105" s="22">
        <v>0.738</v>
      </c>
      <c r="H105" s="22">
        <v>0.707</v>
      </c>
      <c r="I105" s="60">
        <f t="shared" si="16"/>
        <v>0.3720930233</v>
      </c>
      <c r="J105" s="60">
        <f t="shared" si="17"/>
        <v>0.8346938776</v>
      </c>
      <c r="K105" s="60">
        <f t="shared" si="18"/>
        <v>0.6033934504</v>
      </c>
      <c r="L105" s="22">
        <v>0.703</v>
      </c>
      <c r="M105" s="22">
        <v>0.249</v>
      </c>
      <c r="N105" s="22">
        <v>0.769</v>
      </c>
      <c r="O105" s="22">
        <v>0.913</v>
      </c>
      <c r="P105" s="22">
        <v>48.0</v>
      </c>
      <c r="Q105" s="22">
        <v>123.0</v>
      </c>
      <c r="R105" s="22">
        <v>39.0</v>
      </c>
      <c r="S105" s="22">
        <v>409.0</v>
      </c>
    </row>
    <row r="106">
      <c r="A106" s="23"/>
      <c r="B106" s="23"/>
      <c r="C106" s="23"/>
      <c r="D106" s="70"/>
      <c r="E106" s="22">
        <v>0.617</v>
      </c>
      <c r="F106" s="22">
        <v>0.708</v>
      </c>
      <c r="G106" s="22">
        <v>0.729</v>
      </c>
      <c r="H106" s="22">
        <v>0.713</v>
      </c>
      <c r="I106" s="60">
        <f t="shared" si="16"/>
        <v>0.4285714286</v>
      </c>
      <c r="J106" s="60">
        <f t="shared" si="17"/>
        <v>0.8220338983</v>
      </c>
      <c r="K106" s="60">
        <f t="shared" si="18"/>
        <v>0.6253026634</v>
      </c>
      <c r="L106" s="22">
        <v>0.723</v>
      </c>
      <c r="M106" s="22">
        <v>0.263</v>
      </c>
      <c r="N106" s="22">
        <v>0.782</v>
      </c>
      <c r="O106" s="22">
        <v>0.866</v>
      </c>
      <c r="P106" s="22">
        <v>63.0</v>
      </c>
      <c r="Q106" s="22">
        <v>108.0</v>
      </c>
      <c r="R106" s="22">
        <v>60.0</v>
      </c>
      <c r="S106" s="22">
        <v>388.0</v>
      </c>
    </row>
    <row r="107">
      <c r="A107" s="23"/>
      <c r="B107" s="23"/>
      <c r="C107" s="23"/>
      <c r="D107" s="70"/>
      <c r="E107" s="22">
        <v>0.603</v>
      </c>
      <c r="F107" s="22">
        <v>0.709</v>
      </c>
      <c r="G107" s="22">
        <v>0.737</v>
      </c>
      <c r="H107" s="22">
        <v>0.71</v>
      </c>
      <c r="I107" s="60">
        <f t="shared" si="16"/>
        <v>0.3895131086</v>
      </c>
      <c r="J107" s="60">
        <f t="shared" si="17"/>
        <v>0.8321318229</v>
      </c>
      <c r="K107" s="60">
        <f t="shared" si="18"/>
        <v>0.6108224657</v>
      </c>
      <c r="L107" s="22">
        <v>0.72</v>
      </c>
      <c r="M107" s="22">
        <v>0.254</v>
      </c>
      <c r="N107" s="22">
        <v>0.772</v>
      </c>
      <c r="O107" s="22">
        <v>0.902</v>
      </c>
      <c r="P107" s="22">
        <v>52.0</v>
      </c>
      <c r="Q107" s="22">
        <v>119.0</v>
      </c>
      <c r="R107" s="22">
        <v>44.0</v>
      </c>
      <c r="S107" s="22">
        <v>404.0</v>
      </c>
    </row>
    <row r="108">
      <c r="A108" s="23"/>
      <c r="B108" s="23"/>
      <c r="C108" s="23"/>
      <c r="D108" s="70"/>
      <c r="E108" s="22">
        <v>0.608</v>
      </c>
      <c r="F108" s="22">
        <v>0.724</v>
      </c>
      <c r="G108" s="22">
        <v>0.75</v>
      </c>
      <c r="H108" s="22">
        <v>0.718</v>
      </c>
      <c r="I108" s="60">
        <f t="shared" si="16"/>
        <v>0.3921568627</v>
      </c>
      <c r="J108" s="60">
        <f t="shared" si="17"/>
        <v>0.8423194303</v>
      </c>
      <c r="K108" s="60">
        <f t="shared" si="18"/>
        <v>0.6172381465</v>
      </c>
      <c r="L108" s="22">
        <v>0.761</v>
      </c>
      <c r="M108" s="22">
        <v>0.283</v>
      </c>
      <c r="N108" s="22">
        <v>0.774</v>
      </c>
      <c r="O108" s="22">
        <v>0.924</v>
      </c>
      <c r="P108" s="22">
        <v>50.0</v>
      </c>
      <c r="Q108" s="22">
        <v>121.0</v>
      </c>
      <c r="R108" s="22">
        <v>34.0</v>
      </c>
      <c r="S108" s="22">
        <v>414.0</v>
      </c>
    </row>
    <row r="109">
      <c r="A109" s="23"/>
      <c r="B109" s="23"/>
      <c r="C109" s="23"/>
      <c r="D109" s="70"/>
      <c r="E109" s="22">
        <v>0.619</v>
      </c>
      <c r="F109" s="22">
        <v>0.714</v>
      </c>
      <c r="G109" s="22">
        <v>0.737</v>
      </c>
      <c r="H109" s="22">
        <v>0.718</v>
      </c>
      <c r="I109" s="60">
        <f t="shared" si="16"/>
        <v>0.4280701754</v>
      </c>
      <c r="J109" s="60">
        <f t="shared" si="17"/>
        <v>0.8289611752</v>
      </c>
      <c r="K109" s="60">
        <f t="shared" si="18"/>
        <v>0.6285156753</v>
      </c>
      <c r="L109" s="22">
        <v>0.729</v>
      </c>
      <c r="M109" s="22">
        <v>0.275</v>
      </c>
      <c r="N109" s="22">
        <v>0.782</v>
      </c>
      <c r="O109" s="22">
        <v>0.882</v>
      </c>
      <c r="P109" s="22">
        <v>61.0</v>
      </c>
      <c r="Q109" s="22">
        <v>110.0</v>
      </c>
      <c r="R109" s="22">
        <v>53.0</v>
      </c>
      <c r="S109" s="22">
        <v>395.0</v>
      </c>
    </row>
    <row r="110">
      <c r="A110" s="23"/>
      <c r="B110" s="23"/>
      <c r="C110" s="23"/>
      <c r="D110" s="70"/>
      <c r="E110" s="22">
        <v>0.626</v>
      </c>
      <c r="F110" s="22">
        <v>0.706</v>
      </c>
      <c r="G110" s="22">
        <v>0.717</v>
      </c>
      <c r="H110" s="22">
        <v>0.711</v>
      </c>
      <c r="I110" s="60">
        <f t="shared" si="16"/>
        <v>0.4514106583</v>
      </c>
      <c r="J110" s="60">
        <f t="shared" si="17"/>
        <v>0.8095756257</v>
      </c>
      <c r="K110" s="60">
        <f t="shared" si="18"/>
        <v>0.630493142</v>
      </c>
      <c r="L110" s="22">
        <v>0.714</v>
      </c>
      <c r="M110" s="22">
        <v>0.264</v>
      </c>
      <c r="N110" s="22">
        <v>0.79</v>
      </c>
      <c r="O110" s="22">
        <v>0.83</v>
      </c>
      <c r="P110" s="22">
        <v>72.0</v>
      </c>
      <c r="Q110" s="22">
        <v>99.0</v>
      </c>
      <c r="R110" s="22">
        <v>76.0</v>
      </c>
      <c r="S110" s="22">
        <v>372.0</v>
      </c>
    </row>
    <row r="111">
      <c r="A111" s="23"/>
      <c r="B111" s="23"/>
      <c r="C111" s="23"/>
      <c r="D111" s="70"/>
      <c r="E111" s="22">
        <v>0.626</v>
      </c>
      <c r="F111" s="22">
        <v>0.727</v>
      </c>
      <c r="G111" s="22">
        <v>0.75</v>
      </c>
      <c r="H111" s="22">
        <v>0.728</v>
      </c>
      <c r="I111" s="60">
        <f t="shared" si="16"/>
        <v>0.4363636364</v>
      </c>
      <c r="J111" s="60">
        <f t="shared" si="17"/>
        <v>0.8390446521</v>
      </c>
      <c r="K111" s="60">
        <f t="shared" si="18"/>
        <v>0.6377041442</v>
      </c>
      <c r="L111" s="22">
        <v>0.741</v>
      </c>
      <c r="M111" s="22">
        <v>0.302</v>
      </c>
      <c r="N111" s="22">
        <v>0.784</v>
      </c>
      <c r="O111" s="22">
        <v>0.902</v>
      </c>
      <c r="P111" s="22">
        <v>60.0</v>
      </c>
      <c r="Q111" s="22">
        <v>111.0</v>
      </c>
      <c r="R111" s="22">
        <v>44.0</v>
      </c>
      <c r="S111" s="22">
        <v>404.0</v>
      </c>
    </row>
    <row r="112">
      <c r="A112" s="23"/>
      <c r="B112" s="23"/>
      <c r="C112" s="23"/>
      <c r="D112" s="70"/>
      <c r="E112" s="22">
        <v>0.581</v>
      </c>
      <c r="F112" s="22">
        <v>0.704</v>
      </c>
      <c r="G112" s="22">
        <v>0.737</v>
      </c>
      <c r="H112" s="22">
        <v>0.696</v>
      </c>
      <c r="I112" s="60">
        <f t="shared" si="16"/>
        <v>0.329218107</v>
      </c>
      <c r="J112" s="60">
        <f t="shared" si="17"/>
        <v>0.8361809045</v>
      </c>
      <c r="K112" s="60">
        <f t="shared" si="18"/>
        <v>0.5826995058</v>
      </c>
      <c r="L112" s="22">
        <v>0.717</v>
      </c>
      <c r="M112" s="22">
        <v>0.227</v>
      </c>
      <c r="N112" s="22">
        <v>0.761</v>
      </c>
      <c r="O112" s="22">
        <v>0.929</v>
      </c>
      <c r="P112" s="22">
        <v>40.0</v>
      </c>
      <c r="Q112" s="22">
        <v>131.0</v>
      </c>
      <c r="R112" s="22">
        <v>32.0</v>
      </c>
      <c r="S112" s="22">
        <v>416.0</v>
      </c>
    </row>
    <row r="113">
      <c r="A113" s="23"/>
      <c r="B113" s="23"/>
      <c r="C113" s="23"/>
      <c r="D113" s="11"/>
      <c r="E113" s="22">
        <v>0.643</v>
      </c>
      <c r="F113" s="22">
        <v>0.723</v>
      </c>
      <c r="G113" s="22">
        <v>0.737</v>
      </c>
      <c r="H113" s="22">
        <v>0.728</v>
      </c>
      <c r="I113" s="60">
        <f t="shared" si="16"/>
        <v>0.4758842444</v>
      </c>
      <c r="J113" s="60">
        <f t="shared" si="17"/>
        <v>0.8241639698</v>
      </c>
      <c r="K113" s="60">
        <f t="shared" si="18"/>
        <v>0.6500241071</v>
      </c>
      <c r="L113" s="22">
        <v>0.719</v>
      </c>
      <c r="M113" s="22">
        <v>0.305</v>
      </c>
      <c r="N113" s="22">
        <v>0.797</v>
      </c>
      <c r="O113" s="22">
        <v>0.853</v>
      </c>
      <c r="P113" s="22">
        <v>74.0</v>
      </c>
      <c r="Q113" s="22">
        <v>97.0</v>
      </c>
      <c r="R113" s="22">
        <v>66.0</v>
      </c>
      <c r="S113" s="22">
        <v>382.0</v>
      </c>
    </row>
    <row r="114">
      <c r="A114" s="23"/>
      <c r="B114" s="23"/>
      <c r="C114" s="23"/>
      <c r="D114" s="11"/>
      <c r="E114" s="22">
        <v>0.618</v>
      </c>
      <c r="F114" s="22">
        <v>0.712</v>
      </c>
      <c r="G114" s="22">
        <v>0.735</v>
      </c>
      <c r="H114" s="22">
        <v>0.717</v>
      </c>
      <c r="I114" s="60">
        <f t="shared" si="16"/>
        <v>0.4265734266</v>
      </c>
      <c r="J114" s="60">
        <f t="shared" si="17"/>
        <v>0.8277310924</v>
      </c>
      <c r="K114" s="60">
        <f t="shared" si="18"/>
        <v>0.6271522595</v>
      </c>
      <c r="L114" s="22">
        <v>0.729</v>
      </c>
      <c r="M114" s="22">
        <v>0.272</v>
      </c>
      <c r="N114" s="22">
        <v>0.782</v>
      </c>
      <c r="O114" s="22">
        <v>0.879</v>
      </c>
      <c r="P114" s="22">
        <v>61.0</v>
      </c>
      <c r="Q114" s="22">
        <v>110.0</v>
      </c>
      <c r="R114" s="22">
        <v>54.0</v>
      </c>
      <c r="S114" s="22">
        <v>394.0</v>
      </c>
    </row>
    <row r="115">
      <c r="A115" s="23"/>
      <c r="B115" s="23"/>
      <c r="C115" s="23"/>
      <c r="D115" s="11"/>
      <c r="E115" s="22">
        <v>0.63</v>
      </c>
      <c r="F115" s="22">
        <v>0.728</v>
      </c>
      <c r="G115" s="22">
        <v>0.75</v>
      </c>
      <c r="H115" s="22">
        <v>0.73</v>
      </c>
      <c r="I115" s="60">
        <f t="shared" si="16"/>
        <v>0.4444444444</v>
      </c>
      <c r="J115" s="60">
        <f t="shared" si="17"/>
        <v>0.8383733055</v>
      </c>
      <c r="K115" s="60">
        <f t="shared" si="18"/>
        <v>0.641408875</v>
      </c>
      <c r="L115" s="22">
        <v>0.755</v>
      </c>
      <c r="M115" s="22">
        <v>0.306</v>
      </c>
      <c r="N115" s="22">
        <v>0.787</v>
      </c>
      <c r="O115" s="22">
        <v>0.897</v>
      </c>
      <c r="P115" s="22">
        <v>62.0</v>
      </c>
      <c r="Q115" s="22">
        <v>109.0</v>
      </c>
      <c r="R115" s="22">
        <v>46.0</v>
      </c>
      <c r="S115" s="22">
        <v>402.0</v>
      </c>
    </row>
    <row r="116">
      <c r="A116" s="23"/>
      <c r="B116" s="23"/>
      <c r="C116" s="23"/>
      <c r="D116" s="11"/>
      <c r="E116" s="22">
        <v>0.59</v>
      </c>
      <c r="F116" s="22">
        <v>0.706</v>
      </c>
      <c r="G116" s="22">
        <v>0.737</v>
      </c>
      <c r="H116" s="22">
        <v>0.702</v>
      </c>
      <c r="I116" s="60">
        <f t="shared" si="16"/>
        <v>0.3557312253</v>
      </c>
      <c r="J116" s="60">
        <f t="shared" si="17"/>
        <v>0.8345177665</v>
      </c>
      <c r="K116" s="60">
        <f t="shared" si="18"/>
        <v>0.5951244959</v>
      </c>
      <c r="L116" s="22">
        <v>0.741</v>
      </c>
      <c r="M116" s="22">
        <v>0.238</v>
      </c>
      <c r="N116" s="22">
        <v>0.765</v>
      </c>
      <c r="O116" s="22">
        <v>0.917</v>
      </c>
      <c r="P116" s="22">
        <v>45.0</v>
      </c>
      <c r="Q116" s="22">
        <v>126.0</v>
      </c>
      <c r="R116" s="22">
        <v>37.0</v>
      </c>
      <c r="S116" s="22">
        <v>411.0</v>
      </c>
    </row>
    <row r="117">
      <c r="A117" s="23"/>
      <c r="B117" s="23"/>
      <c r="C117" s="23"/>
      <c r="D117" s="11"/>
      <c r="E117" s="22">
        <v>0.592</v>
      </c>
      <c r="F117" s="22">
        <v>0.701</v>
      </c>
      <c r="G117" s="22">
        <v>0.732</v>
      </c>
      <c r="H117" s="22">
        <v>0.702</v>
      </c>
      <c r="I117" s="60">
        <f t="shared" si="16"/>
        <v>0.3664122137</v>
      </c>
      <c r="J117" s="60">
        <f t="shared" si="17"/>
        <v>0.8299180328</v>
      </c>
      <c r="K117" s="60">
        <f t="shared" si="18"/>
        <v>0.5981651233</v>
      </c>
      <c r="L117" s="22">
        <v>0.732</v>
      </c>
      <c r="M117" s="22">
        <v>0.233</v>
      </c>
      <c r="N117" s="22">
        <v>0.767</v>
      </c>
      <c r="O117" s="22">
        <v>0.904</v>
      </c>
      <c r="P117" s="22">
        <v>48.0</v>
      </c>
      <c r="Q117" s="22">
        <v>123.0</v>
      </c>
      <c r="R117" s="22">
        <v>43.0</v>
      </c>
      <c r="S117" s="22">
        <v>405.0</v>
      </c>
    </row>
    <row r="118">
      <c r="A118" s="23"/>
      <c r="B118" s="23"/>
      <c r="C118" s="23"/>
      <c r="D118" s="11"/>
      <c r="E118" s="22">
        <v>0.583</v>
      </c>
      <c r="F118" s="22">
        <v>0.687</v>
      </c>
      <c r="G118" s="22">
        <v>0.721</v>
      </c>
      <c r="H118" s="22">
        <v>0.692</v>
      </c>
      <c r="I118" s="60">
        <f t="shared" si="16"/>
        <v>0.3520599251</v>
      </c>
      <c r="J118" s="60">
        <f t="shared" si="17"/>
        <v>0.8218331617</v>
      </c>
      <c r="K118" s="60">
        <f t="shared" si="18"/>
        <v>0.5869465434</v>
      </c>
      <c r="L118" s="22">
        <v>0.712</v>
      </c>
      <c r="M118" s="22">
        <v>0.204</v>
      </c>
      <c r="N118" s="22">
        <v>0.763</v>
      </c>
      <c r="O118" s="22">
        <v>0.891</v>
      </c>
      <c r="P118" s="22">
        <v>47.0</v>
      </c>
      <c r="Q118" s="22">
        <v>124.0</v>
      </c>
      <c r="R118" s="22">
        <v>49.0</v>
      </c>
      <c r="S118" s="22">
        <v>399.0</v>
      </c>
    </row>
    <row r="119">
      <c r="A119" s="23"/>
      <c r="B119" s="23"/>
      <c r="C119" s="23"/>
      <c r="D119" s="11"/>
      <c r="E119" s="22">
        <v>0.626</v>
      </c>
      <c r="F119" s="22">
        <v>0.703</v>
      </c>
      <c r="G119" s="22">
        <v>0.709</v>
      </c>
      <c r="H119" s="22">
        <v>0.706</v>
      </c>
      <c r="I119" s="60">
        <f t="shared" si="16"/>
        <v>0.4545454545</v>
      </c>
      <c r="J119" s="60">
        <f t="shared" si="17"/>
        <v>0.8017621145</v>
      </c>
      <c r="K119" s="60">
        <f t="shared" si="18"/>
        <v>0.6281537845</v>
      </c>
      <c r="L119" s="22">
        <v>0.677</v>
      </c>
      <c r="M119" s="22">
        <v>0.257</v>
      </c>
      <c r="N119" s="22">
        <v>0.791</v>
      </c>
      <c r="O119" s="22">
        <v>0.812</v>
      </c>
      <c r="P119" s="22">
        <v>75.0</v>
      </c>
      <c r="Q119" s="22">
        <v>96.0</v>
      </c>
      <c r="R119" s="22">
        <v>84.0</v>
      </c>
      <c r="S119" s="22">
        <v>364.0</v>
      </c>
    </row>
    <row r="120">
      <c r="A120" s="23"/>
      <c r="B120" s="23"/>
      <c r="C120" s="23"/>
      <c r="D120" s="11"/>
      <c r="E120" s="22">
        <v>0.643</v>
      </c>
      <c r="F120" s="22">
        <v>0.742</v>
      </c>
      <c r="G120" s="22">
        <v>0.761</v>
      </c>
      <c r="H120" s="22">
        <v>0.741</v>
      </c>
      <c r="I120" s="60">
        <f t="shared" si="16"/>
        <v>0.4676258993</v>
      </c>
      <c r="J120" s="60">
        <f t="shared" si="17"/>
        <v>0.8458333333</v>
      </c>
      <c r="K120" s="60">
        <f t="shared" si="18"/>
        <v>0.6567296163</v>
      </c>
      <c r="L120" s="22">
        <v>0.771</v>
      </c>
      <c r="M120" s="22">
        <v>0.339</v>
      </c>
      <c r="N120" s="22">
        <v>0.793</v>
      </c>
      <c r="O120" s="22">
        <v>0.906</v>
      </c>
      <c r="P120" s="22">
        <v>65.0</v>
      </c>
      <c r="Q120" s="22">
        <v>106.0</v>
      </c>
      <c r="R120" s="22">
        <v>42.0</v>
      </c>
      <c r="S120" s="22">
        <v>406.0</v>
      </c>
    </row>
    <row r="121">
      <c r="A121" s="23"/>
      <c r="B121" s="23"/>
      <c r="C121" s="23"/>
      <c r="D121" s="11"/>
      <c r="E121" s="22">
        <v>0.614</v>
      </c>
      <c r="F121" s="22">
        <v>0.72</v>
      </c>
      <c r="G121" s="22">
        <v>0.745</v>
      </c>
      <c r="H121" s="22">
        <v>0.719</v>
      </c>
      <c r="I121" s="60">
        <f t="shared" si="16"/>
        <v>0.4104477612</v>
      </c>
      <c r="J121" s="60">
        <f t="shared" si="17"/>
        <v>0.8371134021</v>
      </c>
      <c r="K121" s="60">
        <f t="shared" si="18"/>
        <v>0.6237805816</v>
      </c>
      <c r="L121" s="22">
        <v>0.737</v>
      </c>
      <c r="M121" s="22">
        <v>0.28</v>
      </c>
      <c r="N121" s="22">
        <v>0.778</v>
      </c>
      <c r="O121" s="22">
        <v>0.906</v>
      </c>
      <c r="P121" s="22">
        <v>55.0</v>
      </c>
      <c r="Q121" s="22">
        <v>116.0</v>
      </c>
      <c r="R121" s="22">
        <v>42.0</v>
      </c>
      <c r="S121" s="22">
        <v>406.0</v>
      </c>
    </row>
    <row r="122">
      <c r="A122" s="23"/>
      <c r="B122" s="23"/>
      <c r="C122" s="23"/>
      <c r="D122" s="11"/>
      <c r="E122" s="22">
        <v>0.622</v>
      </c>
      <c r="F122" s="22">
        <v>0.711</v>
      </c>
      <c r="G122" s="22">
        <v>0.73</v>
      </c>
      <c r="H122" s="22">
        <v>0.716</v>
      </c>
      <c r="I122" s="60">
        <f t="shared" si="16"/>
        <v>0.4377104377</v>
      </c>
      <c r="J122" s="60">
        <f t="shared" si="17"/>
        <v>0.8225292242</v>
      </c>
      <c r="K122" s="60">
        <f t="shared" si="18"/>
        <v>0.630119831</v>
      </c>
      <c r="L122" s="22">
        <v>0.7</v>
      </c>
      <c r="M122" s="22">
        <v>0.271</v>
      </c>
      <c r="N122" s="22">
        <v>0.785</v>
      </c>
      <c r="O122" s="22">
        <v>0.864</v>
      </c>
      <c r="P122" s="22">
        <v>65.0</v>
      </c>
      <c r="Q122" s="22">
        <v>106.0</v>
      </c>
      <c r="R122" s="22">
        <v>61.0</v>
      </c>
      <c r="S122" s="22">
        <v>387.0</v>
      </c>
    </row>
    <row r="123">
      <c r="A123" s="23"/>
      <c r="B123" s="23"/>
      <c r="C123" s="23"/>
      <c r="D123" s="11"/>
      <c r="E123" s="22">
        <v>0.668</v>
      </c>
      <c r="F123" s="22">
        <v>0.734</v>
      </c>
      <c r="G123" s="22">
        <v>0.733</v>
      </c>
      <c r="H123" s="22">
        <v>0.734</v>
      </c>
      <c r="I123" s="60">
        <f t="shared" si="16"/>
        <v>0.5189504373</v>
      </c>
      <c r="J123" s="60">
        <f t="shared" si="17"/>
        <v>0.8156424581</v>
      </c>
      <c r="K123" s="60">
        <f t="shared" si="18"/>
        <v>0.6672964477</v>
      </c>
      <c r="L123" s="22">
        <v>0.731</v>
      </c>
      <c r="M123" s="22">
        <v>0.335</v>
      </c>
      <c r="N123" s="22">
        <v>0.817</v>
      </c>
      <c r="O123" s="22">
        <v>0.815</v>
      </c>
      <c r="P123" s="22">
        <v>89.0</v>
      </c>
      <c r="Q123" s="22">
        <v>82.0</v>
      </c>
      <c r="R123" s="22">
        <v>83.0</v>
      </c>
      <c r="S123" s="22">
        <v>365.0</v>
      </c>
    </row>
    <row r="124">
      <c r="A124" s="23"/>
      <c r="B124" s="23"/>
      <c r="C124" s="23"/>
      <c r="D124" s="11"/>
      <c r="E124" s="22">
        <v>0.594</v>
      </c>
      <c r="F124" s="22">
        <v>0.678</v>
      </c>
      <c r="G124" s="22">
        <v>0.685</v>
      </c>
      <c r="H124" s="22">
        <v>0.681</v>
      </c>
      <c r="I124" s="60">
        <f t="shared" si="16"/>
        <v>0.4072948328</v>
      </c>
      <c r="J124" s="60">
        <f t="shared" si="17"/>
        <v>0.7854785479</v>
      </c>
      <c r="K124" s="60">
        <f t="shared" si="18"/>
        <v>0.5963866903</v>
      </c>
      <c r="L124" s="22">
        <v>0.682</v>
      </c>
      <c r="M124" s="22">
        <v>0.194</v>
      </c>
      <c r="N124" s="22">
        <v>0.774</v>
      </c>
      <c r="O124" s="22">
        <v>0.797</v>
      </c>
      <c r="P124" s="22">
        <v>67.0</v>
      </c>
      <c r="Q124" s="22">
        <v>104.0</v>
      </c>
      <c r="R124" s="22">
        <v>91.0</v>
      </c>
      <c r="S124" s="22">
        <v>357.0</v>
      </c>
    </row>
    <row r="125">
      <c r="A125" s="23"/>
      <c r="B125" s="23"/>
      <c r="C125" s="23"/>
      <c r="D125" s="11"/>
      <c r="E125" s="22">
        <v>0.632</v>
      </c>
      <c r="F125" s="22">
        <v>0.722</v>
      </c>
      <c r="G125" s="22">
        <v>0.742</v>
      </c>
      <c r="H125" s="22">
        <v>0.726</v>
      </c>
      <c r="I125" s="60">
        <f t="shared" si="16"/>
        <v>0.4520547945</v>
      </c>
      <c r="J125" s="60">
        <f t="shared" si="17"/>
        <v>0.8308668076</v>
      </c>
      <c r="K125" s="60">
        <f t="shared" si="18"/>
        <v>0.6414608011</v>
      </c>
      <c r="L125" s="22">
        <v>0.729</v>
      </c>
      <c r="M125" s="22">
        <v>0.297</v>
      </c>
      <c r="N125" s="22">
        <v>0.789</v>
      </c>
      <c r="O125" s="22">
        <v>0.877</v>
      </c>
      <c r="P125" s="22">
        <v>66.0</v>
      </c>
      <c r="Q125" s="22">
        <v>105.0</v>
      </c>
      <c r="R125" s="22">
        <v>55.0</v>
      </c>
      <c r="S125" s="22">
        <v>393.0</v>
      </c>
    </row>
    <row r="126">
      <c r="A126" s="23"/>
      <c r="B126" s="23"/>
      <c r="C126" s="23"/>
      <c r="D126" s="11"/>
      <c r="E126" s="22">
        <v>0.588</v>
      </c>
      <c r="F126" s="22">
        <v>0.72</v>
      </c>
      <c r="G126" s="22">
        <v>0.746</v>
      </c>
      <c r="H126" s="22">
        <v>0.703</v>
      </c>
      <c r="I126" s="60">
        <f t="shared" si="16"/>
        <v>0.3375527426</v>
      </c>
      <c r="J126" s="60">
        <f t="shared" si="17"/>
        <v>0.8431568432</v>
      </c>
      <c r="K126" s="60">
        <f t="shared" si="18"/>
        <v>0.5903547929</v>
      </c>
      <c r="L126" s="22">
        <v>0.756</v>
      </c>
      <c r="M126" s="22">
        <v>0.255</v>
      </c>
      <c r="N126" s="22">
        <v>0.763</v>
      </c>
      <c r="O126" s="22">
        <v>0.942</v>
      </c>
      <c r="P126" s="22">
        <v>40.0</v>
      </c>
      <c r="Q126" s="22">
        <v>131.0</v>
      </c>
      <c r="R126" s="22">
        <v>26.0</v>
      </c>
      <c r="S126" s="22">
        <v>422.0</v>
      </c>
    </row>
    <row r="127">
      <c r="A127" s="23"/>
      <c r="B127" s="23"/>
      <c r="C127" s="23"/>
      <c r="D127" s="11"/>
      <c r="E127" s="22">
        <v>0.611</v>
      </c>
      <c r="F127" s="22">
        <v>0.704</v>
      </c>
      <c r="G127" s="22">
        <v>0.727</v>
      </c>
      <c r="H127" s="22">
        <v>0.71</v>
      </c>
      <c r="I127" s="60">
        <f t="shared" si="16"/>
        <v>0.4152249135</v>
      </c>
      <c r="J127" s="60">
        <f t="shared" si="17"/>
        <v>0.8219178082</v>
      </c>
      <c r="K127" s="60">
        <f t="shared" si="18"/>
        <v>0.6185713609</v>
      </c>
      <c r="L127" s="22">
        <v>0.709</v>
      </c>
      <c r="M127" s="22">
        <v>0.252</v>
      </c>
      <c r="N127" s="22">
        <v>0.778</v>
      </c>
      <c r="O127" s="22">
        <v>0.871</v>
      </c>
      <c r="P127" s="22">
        <v>60.0</v>
      </c>
      <c r="Q127" s="22">
        <v>111.0</v>
      </c>
      <c r="R127" s="22">
        <v>58.0</v>
      </c>
      <c r="S127" s="22">
        <v>390.0</v>
      </c>
    </row>
    <row r="128">
      <c r="A128" s="23"/>
      <c r="B128" s="23"/>
      <c r="C128" s="23"/>
      <c r="D128" s="11"/>
      <c r="E128" s="22">
        <v>0.606</v>
      </c>
      <c r="F128" s="22">
        <v>0.704</v>
      </c>
      <c r="G128" s="22">
        <v>0.73</v>
      </c>
      <c r="H128" s="22">
        <v>0.709</v>
      </c>
      <c r="I128" s="60">
        <f t="shared" si="16"/>
        <v>0.4014336918</v>
      </c>
      <c r="J128" s="60">
        <f t="shared" si="17"/>
        <v>0.8258602711</v>
      </c>
      <c r="K128" s="60">
        <f t="shared" si="18"/>
        <v>0.6136469814</v>
      </c>
      <c r="L128" s="22">
        <v>0.722</v>
      </c>
      <c r="M128" s="22">
        <v>0.249</v>
      </c>
      <c r="N128" s="22">
        <v>0.775</v>
      </c>
      <c r="O128" s="22">
        <v>0.884</v>
      </c>
      <c r="P128" s="22">
        <v>56.0</v>
      </c>
      <c r="Q128" s="22">
        <v>115.0</v>
      </c>
      <c r="R128" s="22">
        <v>52.0</v>
      </c>
      <c r="S128" s="22">
        <v>396.0</v>
      </c>
    </row>
    <row r="129">
      <c r="A129" s="23"/>
      <c r="B129" s="23"/>
      <c r="C129" s="23"/>
      <c r="D129" s="11"/>
      <c r="E129" s="22">
        <v>0.587</v>
      </c>
      <c r="F129" s="22">
        <v>0.703</v>
      </c>
      <c r="G129" s="22">
        <v>0.735</v>
      </c>
      <c r="H129" s="22">
        <v>0.7</v>
      </c>
      <c r="I129" s="60">
        <f t="shared" si="16"/>
        <v>0.3492063492</v>
      </c>
      <c r="J129" s="60">
        <f t="shared" si="17"/>
        <v>0.8336713996</v>
      </c>
      <c r="K129" s="60">
        <f t="shared" si="18"/>
        <v>0.5914388744</v>
      </c>
      <c r="L129" s="22">
        <v>0.748</v>
      </c>
      <c r="M129" s="22">
        <v>0.232</v>
      </c>
      <c r="N129" s="22">
        <v>0.764</v>
      </c>
      <c r="O129" s="22">
        <v>0.917</v>
      </c>
      <c r="P129" s="22">
        <v>44.0</v>
      </c>
      <c r="Q129" s="22">
        <v>127.0</v>
      </c>
      <c r="R129" s="22">
        <v>37.0</v>
      </c>
      <c r="S129" s="22">
        <v>411.0</v>
      </c>
    </row>
    <row r="130">
      <c r="A130" s="23"/>
      <c r="B130" s="23"/>
      <c r="C130" s="23"/>
      <c r="D130" s="11"/>
      <c r="E130" s="22">
        <v>0.602</v>
      </c>
      <c r="F130" s="22">
        <v>0.707</v>
      </c>
      <c r="G130" s="22">
        <v>0.735</v>
      </c>
      <c r="H130" s="22">
        <v>0.709</v>
      </c>
      <c r="I130" s="60">
        <f t="shared" si="16"/>
        <v>0.3880597015</v>
      </c>
      <c r="J130" s="60">
        <f t="shared" si="17"/>
        <v>0.8309278351</v>
      </c>
      <c r="K130" s="60">
        <f t="shared" si="18"/>
        <v>0.6094937683</v>
      </c>
      <c r="L130" s="22">
        <v>0.7</v>
      </c>
      <c r="M130" s="22">
        <v>0.25</v>
      </c>
      <c r="N130" s="22">
        <v>0.772</v>
      </c>
      <c r="O130" s="22">
        <v>0.9</v>
      </c>
      <c r="P130" s="22">
        <v>52.0</v>
      </c>
      <c r="Q130" s="22">
        <v>119.0</v>
      </c>
      <c r="R130" s="22">
        <v>45.0</v>
      </c>
      <c r="S130" s="22">
        <v>403.0</v>
      </c>
    </row>
    <row r="131">
      <c r="A131" s="23"/>
      <c r="B131" s="23"/>
      <c r="C131" s="23"/>
      <c r="D131" s="11"/>
      <c r="E131" s="22">
        <v>0.562</v>
      </c>
      <c r="F131" s="22">
        <v>0.7</v>
      </c>
      <c r="G131" s="22">
        <v>0.735</v>
      </c>
      <c r="H131" s="22">
        <v>0.681</v>
      </c>
      <c r="I131" s="60">
        <f t="shared" si="16"/>
        <v>0.2678571429</v>
      </c>
      <c r="J131" s="60">
        <f t="shared" si="17"/>
        <v>0.8382642998</v>
      </c>
      <c r="K131" s="60">
        <f t="shared" si="18"/>
        <v>0.5530607213</v>
      </c>
      <c r="L131" s="22">
        <v>0.749</v>
      </c>
      <c r="M131" s="22">
        <v>0.198</v>
      </c>
      <c r="N131" s="22">
        <v>0.751</v>
      </c>
      <c r="O131" s="22">
        <v>0.949</v>
      </c>
      <c r="P131" s="22">
        <v>30.0</v>
      </c>
      <c r="Q131" s="22">
        <v>141.0</v>
      </c>
      <c r="R131" s="22">
        <v>23.0</v>
      </c>
      <c r="S131" s="22">
        <v>425.0</v>
      </c>
    </row>
    <row r="132">
      <c r="A132" s="23"/>
      <c r="B132" s="23"/>
      <c r="C132" s="23"/>
      <c r="D132" s="11"/>
      <c r="E132" s="22">
        <v>0.597</v>
      </c>
      <c r="F132" s="22">
        <v>0.709</v>
      </c>
      <c r="G132" s="22">
        <v>0.738</v>
      </c>
      <c r="H132" s="22">
        <v>0.707</v>
      </c>
      <c r="I132" s="60">
        <f t="shared" si="16"/>
        <v>0.3720930233</v>
      </c>
      <c r="J132" s="60">
        <f t="shared" si="17"/>
        <v>0.8346938776</v>
      </c>
      <c r="K132" s="60">
        <f t="shared" si="18"/>
        <v>0.6033934504</v>
      </c>
      <c r="L132" s="22">
        <v>0.594</v>
      </c>
      <c r="M132" s="22">
        <v>0.249</v>
      </c>
      <c r="N132" s="22">
        <v>0.769</v>
      </c>
      <c r="O132" s="22">
        <v>0.913</v>
      </c>
      <c r="P132" s="22">
        <v>48.0</v>
      </c>
      <c r="Q132" s="22">
        <v>123.0</v>
      </c>
      <c r="R132" s="22">
        <v>39.0</v>
      </c>
      <c r="S132" s="22">
        <v>409.0</v>
      </c>
    </row>
    <row r="133">
      <c r="A133" s="23"/>
      <c r="B133" s="23"/>
      <c r="C133" s="23"/>
      <c r="D133" s="71" t="s">
        <v>23</v>
      </c>
      <c r="E133" s="22">
        <v>0.61</v>
      </c>
      <c r="F133" s="22">
        <v>0.712</v>
      </c>
      <c r="G133" s="22">
        <v>0.734</v>
      </c>
      <c r="H133" s="22">
        <v>0.711</v>
      </c>
      <c r="I133" s="60">
        <f t="shared" ref="I133:K133" si="19">MEDIAN(I103:I132)</f>
        <v>0.408871297</v>
      </c>
      <c r="J133" s="60">
        <f t="shared" si="19"/>
        <v>0.8308973213</v>
      </c>
      <c r="K133" s="60">
        <f t="shared" si="19"/>
        <v>0.6179047537</v>
      </c>
      <c r="L133" s="22">
        <v>0.723</v>
      </c>
      <c r="M133" s="22">
        <v>0.262</v>
      </c>
      <c r="N133" s="22">
        <v>0.778</v>
      </c>
      <c r="O133" s="22">
        <v>0.887</v>
      </c>
      <c r="P133" s="22">
        <v>56.933</v>
      </c>
      <c r="Q133" s="22">
        <v>114.067</v>
      </c>
      <c r="R133" s="22">
        <v>50.6</v>
      </c>
      <c r="S133" s="22">
        <v>397.4</v>
      </c>
    </row>
    <row r="134">
      <c r="A134" s="72"/>
      <c r="B134" s="72"/>
      <c r="C134" s="72"/>
      <c r="D134" s="73" t="s">
        <v>232</v>
      </c>
      <c r="E134" s="22">
        <v>0.022</v>
      </c>
      <c r="F134" s="22">
        <v>0.013</v>
      </c>
      <c r="G134" s="22">
        <v>0.014</v>
      </c>
      <c r="H134" s="22">
        <v>0.014</v>
      </c>
      <c r="I134" s="60">
        <f t="shared" ref="I134:K134" si="20"> _xlfn.STDEV.P(I103:I132)</f>
        <v>0.05306650902</v>
      </c>
      <c r="J134" s="60">
        <f t="shared" si="20"/>
        <v>0.01343221593</v>
      </c>
      <c r="K134" s="60">
        <f t="shared" si="20"/>
        <v>0.02448484847</v>
      </c>
      <c r="L134" s="22">
        <v>0.033</v>
      </c>
      <c r="M134" s="22">
        <v>0.034</v>
      </c>
      <c r="N134" s="22">
        <v>0.013</v>
      </c>
      <c r="O134" s="22">
        <v>0.04</v>
      </c>
      <c r="P134" s="22">
        <v>12.954</v>
      </c>
      <c r="Q134" s="22">
        <v>12.954</v>
      </c>
      <c r="R134" s="22">
        <v>17.97</v>
      </c>
      <c r="S134" s="22">
        <v>17.97</v>
      </c>
    </row>
  </sheetData>
  <mergeCells count="12">
    <mergeCell ref="B70:B101"/>
    <mergeCell ref="C70:C101"/>
    <mergeCell ref="A103:A134"/>
    <mergeCell ref="B103:B134"/>
    <mergeCell ref="C103:C134"/>
    <mergeCell ref="A4:A35"/>
    <mergeCell ref="B4:B35"/>
    <mergeCell ref="C4:C35"/>
    <mergeCell ref="A37:A68"/>
    <mergeCell ref="B37:B68"/>
    <mergeCell ref="C37:C68"/>
    <mergeCell ref="A70:A101"/>
  </mergeCells>
  <conditionalFormatting sqref="H4:H35 H37:H68 H70:H101 H103:H134">
    <cfRule type="cellIs" dxfId="0" priority="1" operator="greaterThan">
      <formula>0.725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5"/>
    <col customWidth="1" min="2" max="2" width="22.88"/>
    <col customWidth="1" min="3" max="3" width="27.25"/>
  </cols>
  <sheetData>
    <row r="1">
      <c r="A1" s="1" t="s">
        <v>0</v>
      </c>
      <c r="B1" s="2" t="s">
        <v>1</v>
      </c>
      <c r="C1" s="3" t="s">
        <v>2</v>
      </c>
      <c r="D1" s="5"/>
      <c r="E1" s="6" t="s">
        <v>3</v>
      </c>
      <c r="F1" s="6" t="s">
        <v>4</v>
      </c>
      <c r="G1" s="6" t="s">
        <v>5</v>
      </c>
      <c r="H1" s="6" t="s">
        <v>6</v>
      </c>
      <c r="I1" s="7" t="s">
        <v>225</v>
      </c>
      <c r="J1" s="7" t="s">
        <v>226</v>
      </c>
      <c r="K1" s="7" t="s">
        <v>227</v>
      </c>
      <c r="L1" s="6" t="s">
        <v>7</v>
      </c>
      <c r="M1" s="6" t="s">
        <v>8</v>
      </c>
      <c r="N1" s="7" t="s">
        <v>9</v>
      </c>
      <c r="O1" s="6" t="s">
        <v>10</v>
      </c>
      <c r="P1" s="6" t="s">
        <v>239</v>
      </c>
      <c r="Q1" s="6" t="s">
        <v>12</v>
      </c>
      <c r="R1" s="6" t="s">
        <v>13</v>
      </c>
      <c r="S1" s="6" t="s">
        <v>240</v>
      </c>
    </row>
    <row r="2" ht="28.5" customHeight="1">
      <c r="A2" s="8" t="s">
        <v>18</v>
      </c>
      <c r="B2" s="9"/>
      <c r="C2" s="82" t="s">
        <v>19</v>
      </c>
      <c r="D2" s="11"/>
      <c r="E2" s="12">
        <v>0.652</v>
      </c>
      <c r="F2" s="12">
        <v>0.724</v>
      </c>
      <c r="G2" s="12">
        <v>0.727</v>
      </c>
      <c r="H2" s="12">
        <v>0.725</v>
      </c>
      <c r="I2" s="60">
        <f>(2*P2)/((2*P2) + Q2 + R2)</f>
        <v>0.4955223881</v>
      </c>
      <c r="J2" s="60">
        <f>(2*S2)/((2*S2) + Q2 + R2)</f>
        <v>0.8128460687</v>
      </c>
      <c r="K2" s="60">
        <f> MEDIAN(I2,J2)</f>
        <v>0.6541842284</v>
      </c>
      <c r="L2" s="12">
        <v>0.684</v>
      </c>
      <c r="M2" s="12">
        <v>0.309</v>
      </c>
      <c r="N2" s="12">
        <v>0.807</v>
      </c>
      <c r="O2" s="12">
        <v>0.819</v>
      </c>
      <c r="P2" s="13">
        <v>83.0</v>
      </c>
      <c r="Q2" s="13">
        <v>88.0</v>
      </c>
      <c r="R2" s="13">
        <v>81.0</v>
      </c>
      <c r="S2" s="14">
        <v>367.0</v>
      </c>
    </row>
    <row r="3">
      <c r="I3" s="60"/>
      <c r="J3" s="60"/>
      <c r="K3" s="60"/>
    </row>
    <row r="4">
      <c r="A4" s="77" t="s">
        <v>230</v>
      </c>
      <c r="B4" s="78" t="s">
        <v>231</v>
      </c>
      <c r="C4" s="78" t="s">
        <v>215</v>
      </c>
      <c r="D4" s="79"/>
      <c r="E4" s="32">
        <v>0.648</v>
      </c>
      <c r="F4" s="32">
        <v>0.724</v>
      </c>
      <c r="G4" s="32">
        <v>0.733</v>
      </c>
      <c r="H4" s="32">
        <v>0.728</v>
      </c>
      <c r="I4" s="60">
        <f t="shared" ref="I4:I33" si="1">(2*P4)/((2*P4) + Q4 + R4)</f>
        <v>0.4859813084</v>
      </c>
      <c r="J4" s="60">
        <f t="shared" ref="J4:J33" si="2">(2*S4)/((2*S4) + Q4 + R4)</f>
        <v>0.8200654308</v>
      </c>
      <c r="K4" s="60">
        <f t="shared" ref="K4:K33" si="3"> MEDIAN(I4,J4)</f>
        <v>0.6530233696</v>
      </c>
      <c r="L4" s="32">
        <v>0.702</v>
      </c>
      <c r="M4" s="32">
        <v>0.308</v>
      </c>
      <c r="N4" s="32">
        <v>0.802</v>
      </c>
      <c r="O4" s="32">
        <v>0.839</v>
      </c>
      <c r="P4" s="32">
        <v>78.0</v>
      </c>
      <c r="Q4" s="32">
        <v>93.0</v>
      </c>
      <c r="R4" s="22">
        <v>72.0</v>
      </c>
      <c r="S4" s="32">
        <v>376.0</v>
      </c>
    </row>
    <row r="5">
      <c r="A5" s="23"/>
      <c r="B5" s="23"/>
      <c r="C5" s="23"/>
      <c r="D5" s="69"/>
      <c r="E5" s="22">
        <v>0.651</v>
      </c>
      <c r="F5" s="32">
        <v>0.726</v>
      </c>
      <c r="G5" s="22">
        <v>0.733</v>
      </c>
      <c r="H5" s="22">
        <v>0.729</v>
      </c>
      <c r="I5" s="60">
        <f t="shared" si="1"/>
        <v>0.4923076923</v>
      </c>
      <c r="J5" s="60">
        <f t="shared" si="2"/>
        <v>0.8192771084</v>
      </c>
      <c r="K5" s="60">
        <f t="shared" si="3"/>
        <v>0.6557924004</v>
      </c>
      <c r="L5" s="22">
        <v>0.675</v>
      </c>
      <c r="M5" s="22">
        <v>0.313</v>
      </c>
      <c r="N5" s="22">
        <v>0.804</v>
      </c>
      <c r="O5" s="32">
        <v>0.835</v>
      </c>
      <c r="P5" s="22">
        <v>80.0</v>
      </c>
      <c r="Q5" s="22">
        <v>91.0</v>
      </c>
      <c r="R5" s="22">
        <v>74.0</v>
      </c>
      <c r="S5" s="22">
        <v>374.0</v>
      </c>
    </row>
    <row r="6">
      <c r="A6" s="23"/>
      <c r="B6" s="23"/>
      <c r="C6" s="23"/>
      <c r="D6" s="70"/>
      <c r="E6" s="22">
        <v>0.641</v>
      </c>
      <c r="F6" s="22">
        <v>0.716</v>
      </c>
      <c r="G6" s="22">
        <v>0.724</v>
      </c>
      <c r="H6" s="22">
        <v>0.72</v>
      </c>
      <c r="I6" s="60">
        <f t="shared" si="1"/>
        <v>0.4770642202</v>
      </c>
      <c r="J6" s="60">
        <f t="shared" si="2"/>
        <v>0.8122941822</v>
      </c>
      <c r="K6" s="60">
        <f t="shared" si="3"/>
        <v>0.6446792012</v>
      </c>
      <c r="L6" s="22">
        <v>0.697</v>
      </c>
      <c r="M6" s="22">
        <v>0.29</v>
      </c>
      <c r="N6" s="22">
        <v>0.799</v>
      </c>
      <c r="O6" s="22">
        <v>0.826</v>
      </c>
      <c r="P6" s="22">
        <v>78.0</v>
      </c>
      <c r="Q6" s="22">
        <v>93.0</v>
      </c>
      <c r="R6" s="22">
        <v>78.0</v>
      </c>
      <c r="S6" s="22">
        <v>370.0</v>
      </c>
    </row>
    <row r="7">
      <c r="A7" s="23"/>
      <c r="B7" s="23"/>
      <c r="C7" s="23"/>
      <c r="D7" s="70"/>
      <c r="E7" s="22">
        <v>0.646</v>
      </c>
      <c r="F7" s="22">
        <v>0.721</v>
      </c>
      <c r="G7" s="22">
        <v>0.729</v>
      </c>
      <c r="H7" s="22">
        <v>0.724</v>
      </c>
      <c r="I7" s="60">
        <f t="shared" si="1"/>
        <v>0.4846625767</v>
      </c>
      <c r="J7" s="60">
        <f t="shared" si="2"/>
        <v>0.8157894737</v>
      </c>
      <c r="K7" s="60">
        <f t="shared" si="3"/>
        <v>0.6502260252</v>
      </c>
      <c r="L7" s="22">
        <v>0.685</v>
      </c>
      <c r="M7" s="22">
        <v>0.302</v>
      </c>
      <c r="N7" s="22">
        <v>0.802</v>
      </c>
      <c r="O7" s="22">
        <v>0.83</v>
      </c>
      <c r="P7" s="22">
        <v>79.0</v>
      </c>
      <c r="Q7" s="22">
        <v>92.0</v>
      </c>
      <c r="R7" s="22">
        <v>76.0</v>
      </c>
      <c r="S7" s="22">
        <v>372.0</v>
      </c>
    </row>
    <row r="8">
      <c r="A8" s="23"/>
      <c r="B8" s="23"/>
      <c r="C8" s="23"/>
      <c r="D8" s="70"/>
      <c r="E8" s="22">
        <v>0.648</v>
      </c>
      <c r="F8" s="22">
        <v>0.724</v>
      </c>
      <c r="G8" s="22">
        <v>0.732</v>
      </c>
      <c r="H8" s="22">
        <v>0.727</v>
      </c>
      <c r="I8" s="60">
        <f t="shared" si="1"/>
        <v>0.487654321</v>
      </c>
      <c r="J8" s="60">
        <f t="shared" si="2"/>
        <v>0.818380744</v>
      </c>
      <c r="K8" s="60">
        <f t="shared" si="3"/>
        <v>0.6530175325</v>
      </c>
      <c r="L8" s="22">
        <v>0.676</v>
      </c>
      <c r="M8" s="22">
        <v>0.308</v>
      </c>
      <c r="N8" s="22">
        <v>0.803</v>
      </c>
      <c r="O8" s="22">
        <v>0.835</v>
      </c>
      <c r="P8" s="22">
        <v>79.0</v>
      </c>
      <c r="Q8" s="22">
        <v>92.0</v>
      </c>
      <c r="R8" s="22">
        <v>74.0</v>
      </c>
      <c r="S8" s="22">
        <v>374.0</v>
      </c>
    </row>
    <row r="9">
      <c r="A9" s="23"/>
      <c r="B9" s="23"/>
      <c r="C9" s="23"/>
      <c r="D9" s="70"/>
      <c r="E9" s="22">
        <v>0.64</v>
      </c>
      <c r="F9" s="22">
        <v>0.715</v>
      </c>
      <c r="G9" s="22">
        <v>0.722</v>
      </c>
      <c r="H9" s="22">
        <v>0.718</v>
      </c>
      <c r="I9" s="60">
        <f t="shared" si="1"/>
        <v>0.4756097561</v>
      </c>
      <c r="J9" s="60">
        <f t="shared" si="2"/>
        <v>0.810989011</v>
      </c>
      <c r="K9" s="60">
        <f t="shared" si="3"/>
        <v>0.6432993835</v>
      </c>
      <c r="L9" s="22">
        <v>0.697</v>
      </c>
      <c r="M9" s="22">
        <v>0.288</v>
      </c>
      <c r="N9" s="22">
        <v>0.799</v>
      </c>
      <c r="O9" s="22">
        <v>0.824</v>
      </c>
      <c r="P9" s="22">
        <v>78.0</v>
      </c>
      <c r="Q9" s="22">
        <v>93.0</v>
      </c>
      <c r="R9" s="22">
        <v>79.0</v>
      </c>
      <c r="S9" s="22">
        <v>369.0</v>
      </c>
    </row>
    <row r="10">
      <c r="A10" s="23"/>
      <c r="B10" s="23"/>
      <c r="C10" s="23"/>
      <c r="D10" s="70"/>
      <c r="E10" s="22">
        <v>0.636</v>
      </c>
      <c r="F10" s="22">
        <v>0.713</v>
      </c>
      <c r="G10" s="22">
        <v>0.722</v>
      </c>
      <c r="H10" s="22">
        <v>0.717</v>
      </c>
      <c r="I10" s="60">
        <f t="shared" si="1"/>
        <v>0.4691358025</v>
      </c>
      <c r="J10" s="60">
        <f t="shared" si="2"/>
        <v>0.8118161926</v>
      </c>
      <c r="K10" s="60">
        <f t="shared" si="3"/>
        <v>0.6404759975</v>
      </c>
      <c r="L10" s="22">
        <v>0.688</v>
      </c>
      <c r="M10" s="22">
        <v>0.283</v>
      </c>
      <c r="N10" s="22">
        <v>0.796</v>
      </c>
      <c r="O10" s="22">
        <v>0.828</v>
      </c>
      <c r="P10" s="22">
        <v>76.0</v>
      </c>
      <c r="Q10" s="22">
        <v>95.0</v>
      </c>
      <c r="R10" s="22">
        <v>77.0</v>
      </c>
      <c r="S10" s="22">
        <v>371.0</v>
      </c>
    </row>
    <row r="11">
      <c r="A11" s="23"/>
      <c r="B11" s="23"/>
      <c r="C11" s="23"/>
      <c r="D11" s="70"/>
      <c r="E11" s="22">
        <v>0.638</v>
      </c>
      <c r="F11" s="22">
        <v>0.716</v>
      </c>
      <c r="G11" s="22">
        <v>0.727</v>
      </c>
      <c r="H11" s="22">
        <v>0.721</v>
      </c>
      <c r="I11" s="60">
        <f t="shared" si="1"/>
        <v>0.4702194357</v>
      </c>
      <c r="J11" s="60">
        <f t="shared" si="2"/>
        <v>0.8161044614</v>
      </c>
      <c r="K11" s="60">
        <f t="shared" si="3"/>
        <v>0.6431619486</v>
      </c>
      <c r="L11" s="22">
        <v>0.703</v>
      </c>
      <c r="M11" s="22">
        <v>0.289</v>
      </c>
      <c r="N11" s="22">
        <v>0.796</v>
      </c>
      <c r="O11" s="22">
        <v>0.837</v>
      </c>
      <c r="P11" s="22">
        <v>75.0</v>
      </c>
      <c r="Q11" s="22">
        <v>96.0</v>
      </c>
      <c r="R11" s="22">
        <v>73.0</v>
      </c>
      <c r="S11" s="22">
        <v>375.0</v>
      </c>
    </row>
    <row r="12">
      <c r="A12" s="23"/>
      <c r="B12" s="23"/>
      <c r="C12" s="23"/>
      <c r="D12" s="70"/>
      <c r="E12" s="22">
        <v>0.637</v>
      </c>
      <c r="F12" s="22">
        <v>0.715</v>
      </c>
      <c r="G12" s="22">
        <v>0.725</v>
      </c>
      <c r="H12" s="22">
        <v>0.719</v>
      </c>
      <c r="I12" s="60">
        <f t="shared" si="1"/>
        <v>0.46875</v>
      </c>
      <c r="J12" s="60">
        <f t="shared" si="2"/>
        <v>0.8148148148</v>
      </c>
      <c r="K12" s="60">
        <f t="shared" si="3"/>
        <v>0.6417824074</v>
      </c>
      <c r="L12" s="22">
        <v>0.717</v>
      </c>
      <c r="M12" s="22">
        <v>0.286</v>
      </c>
      <c r="N12" s="22">
        <v>0.796</v>
      </c>
      <c r="O12" s="22">
        <v>0.835</v>
      </c>
      <c r="P12" s="22">
        <v>75.0</v>
      </c>
      <c r="Q12" s="22">
        <v>96.0</v>
      </c>
      <c r="R12" s="22">
        <v>74.0</v>
      </c>
      <c r="S12" s="22">
        <v>374.0</v>
      </c>
    </row>
    <row r="13">
      <c r="A13" s="23"/>
      <c r="B13" s="23"/>
      <c r="C13" s="23"/>
      <c r="D13" s="70"/>
      <c r="E13" s="22">
        <v>0.623</v>
      </c>
      <c r="F13" s="22">
        <v>0.702</v>
      </c>
      <c r="G13" s="22">
        <v>0.711</v>
      </c>
      <c r="H13" s="22">
        <v>0.706</v>
      </c>
      <c r="I13" s="60">
        <f t="shared" si="1"/>
        <v>0.4492307692</v>
      </c>
      <c r="J13" s="60">
        <f t="shared" si="2"/>
        <v>0.8039430449</v>
      </c>
      <c r="K13" s="60">
        <f t="shared" si="3"/>
        <v>0.6265869071</v>
      </c>
      <c r="L13" s="22">
        <v>0.693</v>
      </c>
      <c r="M13" s="22">
        <v>0.255</v>
      </c>
      <c r="N13" s="22">
        <v>0.789</v>
      </c>
      <c r="O13" s="22">
        <v>0.819</v>
      </c>
      <c r="P13" s="22">
        <v>73.0</v>
      </c>
      <c r="Q13" s="22">
        <v>98.0</v>
      </c>
      <c r="R13" s="22">
        <v>81.0</v>
      </c>
      <c r="S13" s="22">
        <v>367.0</v>
      </c>
    </row>
    <row r="14">
      <c r="A14" s="23"/>
      <c r="B14" s="23"/>
      <c r="C14" s="23"/>
      <c r="D14" s="11"/>
      <c r="E14" s="22">
        <v>0.645</v>
      </c>
      <c r="F14" s="22">
        <v>0.723</v>
      </c>
      <c r="G14" s="22">
        <v>0.735</v>
      </c>
      <c r="H14" s="22">
        <v>0.728</v>
      </c>
      <c r="I14" s="60">
        <f t="shared" si="1"/>
        <v>0.4810126582</v>
      </c>
      <c r="J14" s="60">
        <f t="shared" si="2"/>
        <v>0.8221258134</v>
      </c>
      <c r="K14" s="60">
        <f t="shared" si="3"/>
        <v>0.6515692358</v>
      </c>
      <c r="L14" s="22">
        <v>0.694</v>
      </c>
      <c r="M14" s="22">
        <v>0.307</v>
      </c>
      <c r="N14" s="22">
        <v>0.8</v>
      </c>
      <c r="O14" s="22">
        <v>0.846</v>
      </c>
      <c r="P14" s="22">
        <v>76.0</v>
      </c>
      <c r="Q14" s="22">
        <v>95.0</v>
      </c>
      <c r="R14" s="22">
        <v>69.0</v>
      </c>
      <c r="S14" s="22">
        <v>379.0</v>
      </c>
    </row>
    <row r="15">
      <c r="A15" s="23"/>
      <c r="B15" s="23"/>
      <c r="C15" s="23"/>
      <c r="D15" s="11"/>
      <c r="E15" s="22">
        <v>0.637</v>
      </c>
      <c r="F15" s="22">
        <v>0.712</v>
      </c>
      <c r="G15" s="22">
        <v>0.717</v>
      </c>
      <c r="H15" s="22">
        <v>0.714</v>
      </c>
      <c r="I15" s="60">
        <f t="shared" si="1"/>
        <v>0.4712990937</v>
      </c>
      <c r="J15" s="60">
        <f t="shared" si="2"/>
        <v>0.8070562293</v>
      </c>
      <c r="K15" s="60">
        <f t="shared" si="3"/>
        <v>0.6391776615</v>
      </c>
      <c r="L15" s="22">
        <v>0.701</v>
      </c>
      <c r="M15" s="22">
        <v>0.279</v>
      </c>
      <c r="N15" s="22">
        <v>0.797</v>
      </c>
      <c r="O15" s="22">
        <v>0.817</v>
      </c>
      <c r="P15" s="22">
        <v>78.0</v>
      </c>
      <c r="Q15" s="22">
        <v>93.0</v>
      </c>
      <c r="R15" s="22">
        <v>82.0</v>
      </c>
      <c r="S15" s="22">
        <v>366.0</v>
      </c>
    </row>
    <row r="16">
      <c r="A16" s="23"/>
      <c r="B16" s="23"/>
      <c r="C16" s="23"/>
      <c r="D16" s="11"/>
      <c r="E16" s="22">
        <v>0.632</v>
      </c>
      <c r="F16" s="22">
        <v>0.71</v>
      </c>
      <c r="G16" s="22">
        <v>0.721</v>
      </c>
      <c r="H16" s="22">
        <v>0.715</v>
      </c>
      <c r="I16" s="60">
        <f t="shared" si="1"/>
        <v>0.46105919</v>
      </c>
      <c r="J16" s="60">
        <f t="shared" si="2"/>
        <v>0.8113413304</v>
      </c>
      <c r="K16" s="60">
        <f t="shared" si="3"/>
        <v>0.6362002602</v>
      </c>
      <c r="L16" s="22">
        <v>0.7</v>
      </c>
      <c r="M16" s="22">
        <v>0.275</v>
      </c>
      <c r="N16" s="22">
        <v>0.793</v>
      </c>
      <c r="O16" s="22">
        <v>0.83</v>
      </c>
      <c r="P16" s="22">
        <v>74.0</v>
      </c>
      <c r="Q16" s="22">
        <v>97.0</v>
      </c>
      <c r="R16" s="22">
        <v>76.0</v>
      </c>
      <c r="S16" s="22">
        <v>372.0</v>
      </c>
    </row>
    <row r="17">
      <c r="A17" s="23"/>
      <c r="B17" s="23"/>
      <c r="C17" s="23"/>
      <c r="D17" s="11"/>
      <c r="E17" s="22">
        <v>0.64</v>
      </c>
      <c r="F17" s="22">
        <v>0.713</v>
      </c>
      <c r="G17" s="22">
        <v>0.714</v>
      </c>
      <c r="H17" s="22">
        <v>0.713</v>
      </c>
      <c r="I17" s="60">
        <f t="shared" si="1"/>
        <v>0.4778761062</v>
      </c>
      <c r="J17" s="60">
        <f t="shared" si="2"/>
        <v>0.8031145717</v>
      </c>
      <c r="K17" s="60">
        <f t="shared" si="3"/>
        <v>0.640495339</v>
      </c>
      <c r="L17" s="22">
        <v>0.653</v>
      </c>
      <c r="M17" s="22">
        <v>0.281</v>
      </c>
      <c r="N17" s="22">
        <v>0.8</v>
      </c>
      <c r="O17" s="22">
        <v>0.806</v>
      </c>
      <c r="P17" s="22">
        <v>81.0</v>
      </c>
      <c r="Q17" s="22">
        <v>90.0</v>
      </c>
      <c r="R17" s="22">
        <v>87.0</v>
      </c>
      <c r="S17" s="22">
        <v>361.0</v>
      </c>
    </row>
    <row r="18">
      <c r="A18" s="23"/>
      <c r="B18" s="23"/>
      <c r="C18" s="23"/>
      <c r="D18" s="11"/>
      <c r="E18" s="22">
        <v>0.64</v>
      </c>
      <c r="F18" s="22">
        <v>0.714</v>
      </c>
      <c r="G18" s="22">
        <v>0.717</v>
      </c>
      <c r="H18" s="22">
        <v>0.715</v>
      </c>
      <c r="I18" s="60">
        <f t="shared" si="1"/>
        <v>0.4776119403</v>
      </c>
      <c r="J18" s="60">
        <f t="shared" si="2"/>
        <v>0.8062015504</v>
      </c>
      <c r="K18" s="60">
        <f t="shared" si="3"/>
        <v>0.6419067453</v>
      </c>
      <c r="L18" s="22">
        <v>0.669</v>
      </c>
      <c r="M18" s="22">
        <v>0.284</v>
      </c>
      <c r="N18" s="22">
        <v>0.8</v>
      </c>
      <c r="O18" s="22">
        <v>0.812</v>
      </c>
      <c r="P18" s="22">
        <v>80.0</v>
      </c>
      <c r="Q18" s="22">
        <v>91.0</v>
      </c>
      <c r="R18" s="22">
        <v>84.0</v>
      </c>
      <c r="S18" s="22">
        <v>364.0</v>
      </c>
    </row>
    <row r="19">
      <c r="A19" s="23"/>
      <c r="B19" s="23"/>
      <c r="C19" s="23"/>
      <c r="D19" s="11"/>
      <c r="E19" s="22">
        <v>0.654</v>
      </c>
      <c r="F19" s="22">
        <v>0.728</v>
      </c>
      <c r="G19" s="22">
        <v>0.735</v>
      </c>
      <c r="H19" s="22">
        <v>0.731</v>
      </c>
      <c r="I19" s="60">
        <f t="shared" si="1"/>
        <v>0.4969325153</v>
      </c>
      <c r="J19" s="60">
        <f t="shared" si="2"/>
        <v>0.8201754386</v>
      </c>
      <c r="K19" s="60">
        <f t="shared" si="3"/>
        <v>0.658553977</v>
      </c>
      <c r="L19" s="22">
        <v>0.697</v>
      </c>
      <c r="M19" s="22">
        <v>0.318</v>
      </c>
      <c r="N19" s="22">
        <v>0.806</v>
      </c>
      <c r="O19" s="22">
        <v>0.835</v>
      </c>
      <c r="P19" s="22">
        <v>81.0</v>
      </c>
      <c r="Q19" s="22">
        <v>90.0</v>
      </c>
      <c r="R19" s="22">
        <v>74.0</v>
      </c>
      <c r="S19" s="22">
        <v>374.0</v>
      </c>
    </row>
    <row r="20">
      <c r="A20" s="23"/>
      <c r="B20" s="23"/>
      <c r="C20" s="23"/>
      <c r="D20" s="11"/>
      <c r="E20" s="22">
        <v>0.64</v>
      </c>
      <c r="F20" s="22">
        <v>0.717</v>
      </c>
      <c r="G20" s="22">
        <v>0.725</v>
      </c>
      <c r="H20" s="22">
        <v>0.72</v>
      </c>
      <c r="I20" s="60">
        <f t="shared" si="1"/>
        <v>0.475308642</v>
      </c>
      <c r="J20" s="60">
        <f t="shared" si="2"/>
        <v>0.8140043764</v>
      </c>
      <c r="K20" s="60">
        <f t="shared" si="3"/>
        <v>0.6446565092</v>
      </c>
      <c r="L20" s="22">
        <v>0.708</v>
      </c>
      <c r="M20" s="22">
        <v>0.291</v>
      </c>
      <c r="N20" s="22">
        <v>0.798</v>
      </c>
      <c r="O20" s="22">
        <v>0.83</v>
      </c>
      <c r="P20" s="22">
        <v>77.0</v>
      </c>
      <c r="Q20" s="22">
        <v>94.0</v>
      </c>
      <c r="R20" s="22">
        <v>76.0</v>
      </c>
      <c r="S20" s="22">
        <v>372.0</v>
      </c>
    </row>
    <row r="21">
      <c r="A21" s="23"/>
      <c r="B21" s="23"/>
      <c r="C21" s="23"/>
      <c r="D21" s="11"/>
      <c r="E21" s="22">
        <v>0.64</v>
      </c>
      <c r="F21" s="22">
        <v>0.717</v>
      </c>
      <c r="G21" s="22">
        <v>0.725</v>
      </c>
      <c r="H21" s="22">
        <v>0.72</v>
      </c>
      <c r="I21" s="60">
        <f t="shared" si="1"/>
        <v>0.475308642</v>
      </c>
      <c r="J21" s="60">
        <f t="shared" si="2"/>
        <v>0.8140043764</v>
      </c>
      <c r="K21" s="60">
        <f t="shared" si="3"/>
        <v>0.6446565092</v>
      </c>
      <c r="L21" s="22">
        <v>0.676</v>
      </c>
      <c r="M21" s="22">
        <v>0.291</v>
      </c>
      <c r="N21" s="22">
        <v>0.798</v>
      </c>
      <c r="O21" s="22">
        <v>0.83</v>
      </c>
      <c r="P21" s="22">
        <v>77.0</v>
      </c>
      <c r="Q21" s="22">
        <v>94.0</v>
      </c>
      <c r="R21" s="22">
        <v>76.0</v>
      </c>
      <c r="S21" s="22">
        <v>372.0</v>
      </c>
    </row>
    <row r="22">
      <c r="A22" s="23"/>
      <c r="B22" s="23"/>
      <c r="C22" s="23"/>
      <c r="D22" s="11"/>
      <c r="E22" s="22">
        <v>0.637</v>
      </c>
      <c r="F22" s="22">
        <v>0.713</v>
      </c>
      <c r="G22" s="22">
        <v>0.721</v>
      </c>
      <c r="H22" s="22">
        <v>0.716</v>
      </c>
      <c r="I22" s="60">
        <f t="shared" si="1"/>
        <v>0.4709480122</v>
      </c>
      <c r="J22" s="60">
        <f t="shared" si="2"/>
        <v>0.8100987925</v>
      </c>
      <c r="K22" s="60">
        <f t="shared" si="3"/>
        <v>0.6405234024</v>
      </c>
      <c r="L22" s="22">
        <v>0.685</v>
      </c>
      <c r="M22" s="22">
        <v>0.282</v>
      </c>
      <c r="N22" s="22">
        <v>0.797</v>
      </c>
      <c r="O22" s="22">
        <v>0.824</v>
      </c>
      <c r="P22" s="22">
        <v>77.0</v>
      </c>
      <c r="Q22" s="22">
        <v>94.0</v>
      </c>
      <c r="R22" s="22">
        <v>79.0</v>
      </c>
      <c r="S22" s="22">
        <v>369.0</v>
      </c>
    </row>
    <row r="23">
      <c r="A23" s="23"/>
      <c r="B23" s="23"/>
      <c r="C23" s="23"/>
      <c r="D23" s="11"/>
      <c r="E23" s="22">
        <v>0.652</v>
      </c>
      <c r="F23" s="22">
        <v>0.727</v>
      </c>
      <c r="G23" s="22">
        <v>0.735</v>
      </c>
      <c r="H23" s="22">
        <v>0.73</v>
      </c>
      <c r="I23" s="60">
        <f t="shared" si="1"/>
        <v>0.4938271605</v>
      </c>
      <c r="J23" s="60">
        <f t="shared" si="2"/>
        <v>0.8205689278</v>
      </c>
      <c r="K23" s="60">
        <f t="shared" si="3"/>
        <v>0.6571980441</v>
      </c>
      <c r="L23" s="22">
        <v>0.682</v>
      </c>
      <c r="M23" s="22">
        <v>0.316</v>
      </c>
      <c r="N23" s="22">
        <v>0.805</v>
      </c>
      <c r="O23" s="22">
        <v>0.837</v>
      </c>
      <c r="P23" s="22">
        <v>80.0</v>
      </c>
      <c r="Q23" s="22">
        <v>91.0</v>
      </c>
      <c r="R23" s="22">
        <v>73.0</v>
      </c>
      <c r="S23" s="22">
        <v>375.0</v>
      </c>
    </row>
    <row r="24">
      <c r="A24" s="23"/>
      <c r="B24" s="23"/>
      <c r="C24" s="23"/>
      <c r="D24" s="11"/>
      <c r="E24" s="22">
        <v>0.641</v>
      </c>
      <c r="F24" s="22">
        <v>0.718</v>
      </c>
      <c r="G24" s="22">
        <v>0.727</v>
      </c>
      <c r="H24" s="22">
        <v>0.722</v>
      </c>
      <c r="I24" s="60">
        <f t="shared" si="1"/>
        <v>0.4767801858</v>
      </c>
      <c r="J24" s="60">
        <f t="shared" si="2"/>
        <v>0.8153005464</v>
      </c>
      <c r="K24" s="60">
        <f t="shared" si="3"/>
        <v>0.6460403661</v>
      </c>
      <c r="L24" s="22">
        <v>0.703</v>
      </c>
      <c r="M24" s="22">
        <v>0.294</v>
      </c>
      <c r="N24" s="22">
        <v>0.799</v>
      </c>
      <c r="O24" s="22">
        <v>0.833</v>
      </c>
      <c r="P24" s="22">
        <v>77.0</v>
      </c>
      <c r="Q24" s="22">
        <v>94.0</v>
      </c>
      <c r="R24" s="22">
        <v>75.0</v>
      </c>
      <c r="S24" s="22">
        <v>373.0</v>
      </c>
    </row>
    <row r="25">
      <c r="A25" s="23"/>
      <c r="B25" s="23"/>
      <c r="C25" s="23"/>
      <c r="D25" s="11"/>
      <c r="E25" s="22">
        <v>0.635</v>
      </c>
      <c r="F25" s="22">
        <v>0.712</v>
      </c>
      <c r="G25" s="22">
        <v>0.721</v>
      </c>
      <c r="H25" s="22">
        <v>0.716</v>
      </c>
      <c r="I25" s="60">
        <f t="shared" si="1"/>
        <v>0.4676923077</v>
      </c>
      <c r="J25" s="60">
        <f t="shared" si="2"/>
        <v>0.8105147864</v>
      </c>
      <c r="K25" s="60">
        <f t="shared" si="3"/>
        <v>0.6391035471</v>
      </c>
      <c r="L25" s="22">
        <v>0.701</v>
      </c>
      <c r="M25" s="22">
        <v>0.28</v>
      </c>
      <c r="N25" s="22">
        <v>0.796</v>
      </c>
      <c r="O25" s="22">
        <v>0.826</v>
      </c>
      <c r="P25" s="22">
        <v>76.0</v>
      </c>
      <c r="Q25" s="22">
        <v>95.0</v>
      </c>
      <c r="R25" s="22">
        <v>78.0</v>
      </c>
      <c r="S25" s="22">
        <v>370.0</v>
      </c>
    </row>
    <row r="26">
      <c r="A26" s="23"/>
      <c r="B26" s="23"/>
      <c r="C26" s="23"/>
      <c r="D26" s="11"/>
      <c r="E26" s="22">
        <v>0.637</v>
      </c>
      <c r="F26" s="22">
        <v>0.715</v>
      </c>
      <c r="G26" s="22">
        <v>0.725</v>
      </c>
      <c r="H26" s="22">
        <v>0.719</v>
      </c>
      <c r="I26" s="60">
        <f t="shared" si="1"/>
        <v>0.46875</v>
      </c>
      <c r="J26" s="60">
        <f t="shared" si="2"/>
        <v>0.8148148148</v>
      </c>
      <c r="K26" s="60">
        <f t="shared" si="3"/>
        <v>0.6417824074</v>
      </c>
      <c r="L26" s="22">
        <v>0.693</v>
      </c>
      <c r="M26" s="22">
        <v>0.286</v>
      </c>
      <c r="N26" s="22">
        <v>0.796</v>
      </c>
      <c r="O26" s="22">
        <v>0.835</v>
      </c>
      <c r="P26" s="22">
        <v>75.0</v>
      </c>
      <c r="Q26" s="22">
        <v>96.0</v>
      </c>
      <c r="R26" s="22">
        <v>74.0</v>
      </c>
      <c r="S26" s="22">
        <v>374.0</v>
      </c>
    </row>
    <row r="27">
      <c r="A27" s="23"/>
      <c r="B27" s="23"/>
      <c r="C27" s="23"/>
      <c r="D27" s="11"/>
      <c r="E27" s="22">
        <v>0.634</v>
      </c>
      <c r="F27" s="22">
        <v>0.712</v>
      </c>
      <c r="G27" s="22">
        <v>0.722</v>
      </c>
      <c r="H27" s="22">
        <v>0.717</v>
      </c>
      <c r="I27" s="60">
        <f t="shared" si="1"/>
        <v>0.4658385093</v>
      </c>
      <c r="J27" s="60">
        <f t="shared" si="2"/>
        <v>0.8122270742</v>
      </c>
      <c r="K27" s="60">
        <f t="shared" si="3"/>
        <v>0.6390327918</v>
      </c>
      <c r="L27" s="22">
        <v>0.7</v>
      </c>
      <c r="M27" s="22">
        <v>0.28</v>
      </c>
      <c r="N27" s="22">
        <v>0.795</v>
      </c>
      <c r="O27" s="22">
        <v>0.83</v>
      </c>
      <c r="P27" s="22">
        <v>75.0</v>
      </c>
      <c r="Q27" s="22">
        <v>96.0</v>
      </c>
      <c r="R27" s="22">
        <v>76.0</v>
      </c>
      <c r="S27" s="22">
        <v>372.0</v>
      </c>
    </row>
    <row r="28">
      <c r="A28" s="23"/>
      <c r="B28" s="23"/>
      <c r="C28" s="23"/>
      <c r="D28" s="11"/>
      <c r="E28" s="22">
        <v>0.653</v>
      </c>
      <c r="F28" s="22">
        <v>0.727</v>
      </c>
      <c r="G28" s="22">
        <v>0.733</v>
      </c>
      <c r="H28" s="22">
        <v>0.73</v>
      </c>
      <c r="I28" s="60">
        <f t="shared" si="1"/>
        <v>0.495412844</v>
      </c>
      <c r="J28" s="60">
        <f t="shared" si="2"/>
        <v>0.8188803513</v>
      </c>
      <c r="K28" s="60">
        <f t="shared" si="3"/>
        <v>0.6571465976</v>
      </c>
      <c r="L28" s="22">
        <v>0.702</v>
      </c>
      <c r="M28" s="22">
        <v>0.315</v>
      </c>
      <c r="N28" s="22">
        <v>0.806</v>
      </c>
      <c r="O28" s="22">
        <v>0.833</v>
      </c>
      <c r="P28" s="22">
        <v>81.0</v>
      </c>
      <c r="Q28" s="22">
        <v>90.0</v>
      </c>
      <c r="R28" s="22">
        <v>75.0</v>
      </c>
      <c r="S28" s="22">
        <v>373.0</v>
      </c>
    </row>
    <row r="29">
      <c r="A29" s="23"/>
      <c r="B29" s="23"/>
      <c r="C29" s="23"/>
      <c r="D29" s="11"/>
      <c r="E29" s="22">
        <v>0.645</v>
      </c>
      <c r="F29" s="22">
        <v>0.72</v>
      </c>
      <c r="G29" s="22">
        <v>0.727</v>
      </c>
      <c r="H29" s="22">
        <v>0.723</v>
      </c>
      <c r="I29" s="60">
        <f t="shared" si="1"/>
        <v>0.4831804281</v>
      </c>
      <c r="J29" s="60">
        <f t="shared" si="2"/>
        <v>0.8144895719</v>
      </c>
      <c r="K29" s="60">
        <f t="shared" si="3"/>
        <v>0.648835</v>
      </c>
      <c r="L29" s="22">
        <v>0.676</v>
      </c>
      <c r="M29" s="22">
        <v>0.299</v>
      </c>
      <c r="N29" s="22">
        <v>0.801</v>
      </c>
      <c r="O29" s="22">
        <v>0.828</v>
      </c>
      <c r="P29" s="22">
        <v>79.0</v>
      </c>
      <c r="Q29" s="22">
        <v>92.0</v>
      </c>
      <c r="R29" s="22">
        <v>77.0</v>
      </c>
      <c r="S29" s="22">
        <v>371.0</v>
      </c>
    </row>
    <row r="30">
      <c r="A30" s="23"/>
      <c r="B30" s="23"/>
      <c r="C30" s="23"/>
      <c r="D30" s="11"/>
      <c r="E30" s="22">
        <v>0.643</v>
      </c>
      <c r="F30" s="22">
        <v>0.719</v>
      </c>
      <c r="G30" s="22">
        <v>0.727</v>
      </c>
      <c r="H30" s="22">
        <v>0.722</v>
      </c>
      <c r="I30" s="60">
        <f t="shared" si="1"/>
        <v>0.48</v>
      </c>
      <c r="J30" s="60">
        <f t="shared" si="2"/>
        <v>0.8148959474</v>
      </c>
      <c r="K30" s="60">
        <f t="shared" si="3"/>
        <v>0.6474479737</v>
      </c>
      <c r="L30" s="22">
        <v>0.707</v>
      </c>
      <c r="M30" s="22">
        <v>0.296</v>
      </c>
      <c r="N30" s="22">
        <v>0.8</v>
      </c>
      <c r="O30" s="22">
        <v>0.83</v>
      </c>
      <c r="P30" s="22">
        <v>78.0</v>
      </c>
      <c r="Q30" s="22">
        <v>93.0</v>
      </c>
      <c r="R30" s="22">
        <v>76.0</v>
      </c>
      <c r="S30" s="22">
        <v>372.0</v>
      </c>
    </row>
    <row r="31">
      <c r="A31" s="23"/>
      <c r="B31" s="23"/>
      <c r="C31" s="23"/>
      <c r="D31" s="11"/>
      <c r="E31" s="22">
        <v>0.639</v>
      </c>
      <c r="F31" s="22">
        <v>0.716</v>
      </c>
      <c r="G31" s="22">
        <v>0.724</v>
      </c>
      <c r="H31" s="22">
        <v>0.719</v>
      </c>
      <c r="I31" s="60">
        <f t="shared" si="1"/>
        <v>0.4738461538</v>
      </c>
      <c r="J31" s="60">
        <f t="shared" si="2"/>
        <v>0.8127053669</v>
      </c>
      <c r="K31" s="60">
        <f t="shared" si="3"/>
        <v>0.6432757604</v>
      </c>
      <c r="L31" s="22">
        <v>0.709</v>
      </c>
      <c r="M31" s="22">
        <v>0.288</v>
      </c>
      <c r="N31" s="22">
        <v>0.798</v>
      </c>
      <c r="O31" s="22">
        <v>0.828</v>
      </c>
      <c r="P31" s="22">
        <v>77.0</v>
      </c>
      <c r="Q31" s="22">
        <v>94.0</v>
      </c>
      <c r="R31" s="22">
        <v>77.0</v>
      </c>
      <c r="S31" s="22">
        <v>371.0</v>
      </c>
    </row>
    <row r="32">
      <c r="A32" s="23"/>
      <c r="B32" s="23"/>
      <c r="C32" s="23"/>
      <c r="D32" s="11"/>
      <c r="E32" s="22">
        <v>0.645</v>
      </c>
      <c r="F32" s="22">
        <v>0.717</v>
      </c>
      <c r="G32" s="22">
        <v>0.719</v>
      </c>
      <c r="H32" s="22">
        <v>0.718</v>
      </c>
      <c r="I32" s="60">
        <f t="shared" si="1"/>
        <v>0.4852071006</v>
      </c>
      <c r="J32" s="60">
        <f t="shared" si="2"/>
        <v>0.8066666667</v>
      </c>
      <c r="K32" s="60">
        <f t="shared" si="3"/>
        <v>0.6459368836</v>
      </c>
      <c r="L32" s="22">
        <v>0.661</v>
      </c>
      <c r="M32" s="22">
        <v>0.292</v>
      </c>
      <c r="N32" s="22">
        <v>0.803</v>
      </c>
      <c r="O32" s="22">
        <v>0.81</v>
      </c>
      <c r="P32" s="22">
        <v>82.0</v>
      </c>
      <c r="Q32" s="22">
        <v>89.0</v>
      </c>
      <c r="R32" s="22">
        <v>85.0</v>
      </c>
      <c r="S32" s="22">
        <v>363.0</v>
      </c>
    </row>
    <row r="33">
      <c r="A33" s="23"/>
      <c r="B33" s="23"/>
      <c r="C33" s="23"/>
      <c r="D33" s="11"/>
      <c r="E33" s="22">
        <v>0.634</v>
      </c>
      <c r="F33" s="22">
        <v>0.713</v>
      </c>
      <c r="G33" s="22">
        <v>0.724</v>
      </c>
      <c r="H33" s="22">
        <v>0.717</v>
      </c>
      <c r="I33" s="60">
        <f t="shared" si="1"/>
        <v>0.4639498433</v>
      </c>
      <c r="J33" s="60">
        <f t="shared" si="2"/>
        <v>0.8139281828</v>
      </c>
      <c r="K33" s="60">
        <f t="shared" si="3"/>
        <v>0.638939013</v>
      </c>
      <c r="L33" s="22">
        <v>0.69</v>
      </c>
      <c r="M33" s="22">
        <v>0.281</v>
      </c>
      <c r="N33" s="22">
        <v>0.794</v>
      </c>
      <c r="O33" s="22">
        <v>0.835</v>
      </c>
      <c r="P33" s="22">
        <v>74.0</v>
      </c>
      <c r="Q33" s="22">
        <v>97.0</v>
      </c>
      <c r="R33" s="22">
        <v>74.0</v>
      </c>
      <c r="S33" s="22">
        <v>374.0</v>
      </c>
    </row>
    <row r="34">
      <c r="A34" s="23"/>
      <c r="B34" s="23"/>
      <c r="C34" s="23"/>
      <c r="D34" s="71" t="s">
        <v>23</v>
      </c>
      <c r="E34" s="22">
        <v>0.641</v>
      </c>
      <c r="F34" s="22">
        <v>0.717</v>
      </c>
      <c r="G34" s="22">
        <v>0.725</v>
      </c>
      <c r="H34" s="22">
        <v>0.721</v>
      </c>
      <c r="I34" s="60">
        <f t="shared" ref="I34:K34" si="4">MEDIAN(I4:I33)</f>
        <v>0.4761949709</v>
      </c>
      <c r="J34" s="60">
        <f t="shared" si="4"/>
        <v>0.8140043764</v>
      </c>
      <c r="K34" s="60">
        <f t="shared" si="4"/>
        <v>0.6439779464</v>
      </c>
      <c r="L34" s="22">
        <v>0.691</v>
      </c>
      <c r="M34" s="22">
        <v>0.292</v>
      </c>
      <c r="N34" s="22">
        <v>0.799</v>
      </c>
      <c r="O34" s="22">
        <v>0.829</v>
      </c>
      <c r="P34" s="22">
        <v>77.533</v>
      </c>
      <c r="Q34" s="22">
        <v>93.467</v>
      </c>
      <c r="R34" s="22">
        <v>76.7</v>
      </c>
      <c r="S34" s="22">
        <v>371.3</v>
      </c>
    </row>
    <row r="35">
      <c r="A35" s="72"/>
      <c r="B35" s="72"/>
      <c r="C35" s="72"/>
      <c r="D35" s="73" t="s">
        <v>232</v>
      </c>
      <c r="E35" s="22">
        <v>0.007</v>
      </c>
      <c r="F35" s="22">
        <v>0.006</v>
      </c>
      <c r="G35" s="22">
        <v>0.006</v>
      </c>
      <c r="H35" s="22">
        <v>0.006</v>
      </c>
      <c r="I35" s="60">
        <f t="shared" ref="I35:K35" si="5">_xlfn.STDEV.P(I4:I33)</f>
        <v>0.01060518206</v>
      </c>
      <c r="J35" s="60">
        <f t="shared" si="5"/>
        <v>0.004827379985</v>
      </c>
      <c r="K35" s="60">
        <f t="shared" si="5"/>
        <v>0.007013703266</v>
      </c>
      <c r="L35" s="22">
        <v>0.015</v>
      </c>
      <c r="M35" s="22">
        <v>0.014</v>
      </c>
      <c r="N35" s="22">
        <v>0.004</v>
      </c>
      <c r="O35" s="22">
        <v>0.009</v>
      </c>
      <c r="P35" s="22">
        <v>2.32</v>
      </c>
      <c r="Q35" s="22">
        <v>2.32</v>
      </c>
      <c r="R35" s="22">
        <v>3.874</v>
      </c>
      <c r="S35" s="22">
        <v>3.874</v>
      </c>
    </row>
    <row r="36">
      <c r="I36" s="60"/>
      <c r="J36" s="60"/>
      <c r="K36" s="60"/>
    </row>
    <row r="37">
      <c r="A37" s="77" t="s">
        <v>233</v>
      </c>
      <c r="B37" s="78" t="s">
        <v>231</v>
      </c>
      <c r="C37" s="78" t="s">
        <v>19</v>
      </c>
      <c r="D37" s="79"/>
      <c r="E37" s="32">
        <v>0.634</v>
      </c>
      <c r="F37" s="32">
        <v>0.712</v>
      </c>
      <c r="G37" s="32">
        <v>0.722</v>
      </c>
      <c r="H37" s="32">
        <v>0.717</v>
      </c>
      <c r="I37" s="60">
        <f t="shared" ref="I37:I66" si="6">(2*P37)/((2*P37) + Q37 + R37)</f>
        <v>0.4658385093</v>
      </c>
      <c r="J37" s="60">
        <f t="shared" ref="J37:J66" si="7">(2*S37)/((2*S37) + Q37 + R37)</f>
        <v>0.8122270742</v>
      </c>
      <c r="K37" s="60">
        <f t="shared" ref="K37:K66" si="8"> MEDIAN(I37,J37)</f>
        <v>0.6390327918</v>
      </c>
      <c r="L37" s="32">
        <v>0.682</v>
      </c>
      <c r="M37" s="32">
        <v>0.28</v>
      </c>
      <c r="N37" s="32">
        <v>0.795</v>
      </c>
      <c r="O37" s="32">
        <v>0.83</v>
      </c>
      <c r="P37" s="32">
        <v>75.0</v>
      </c>
      <c r="Q37" s="32">
        <v>96.0</v>
      </c>
      <c r="R37" s="22">
        <v>76.0</v>
      </c>
      <c r="S37" s="32">
        <v>372.0</v>
      </c>
    </row>
    <row r="38">
      <c r="A38" s="23"/>
      <c r="B38" s="23"/>
      <c r="C38" s="23"/>
      <c r="D38" s="69"/>
      <c r="E38" s="22">
        <v>0.621</v>
      </c>
      <c r="F38" s="32">
        <v>0.701</v>
      </c>
      <c r="G38" s="22">
        <v>0.711</v>
      </c>
      <c r="H38" s="22">
        <v>0.705</v>
      </c>
      <c r="I38" s="60">
        <f t="shared" si="6"/>
        <v>0.4458204334</v>
      </c>
      <c r="J38" s="60">
        <f t="shared" si="7"/>
        <v>0.8043715847</v>
      </c>
      <c r="K38" s="60">
        <f t="shared" si="8"/>
        <v>0.6250960091</v>
      </c>
      <c r="L38" s="22">
        <v>0.673</v>
      </c>
      <c r="M38" s="22">
        <v>0.252</v>
      </c>
      <c r="N38" s="22">
        <v>0.788</v>
      </c>
      <c r="O38" s="32">
        <v>0.821</v>
      </c>
      <c r="P38" s="22">
        <v>72.0</v>
      </c>
      <c r="Q38" s="22">
        <v>99.0</v>
      </c>
      <c r="R38" s="22">
        <v>80.0</v>
      </c>
      <c r="S38" s="22">
        <v>368.0</v>
      </c>
    </row>
    <row r="39">
      <c r="A39" s="23"/>
      <c r="B39" s="23"/>
      <c r="C39" s="23"/>
      <c r="D39" s="70"/>
      <c r="E39" s="22">
        <v>0.639</v>
      </c>
      <c r="F39" s="22">
        <v>0.716</v>
      </c>
      <c r="G39" s="22">
        <v>0.725</v>
      </c>
      <c r="H39" s="22">
        <v>0.72</v>
      </c>
      <c r="I39" s="60">
        <f t="shared" si="6"/>
        <v>0.4720496894</v>
      </c>
      <c r="J39" s="60">
        <f t="shared" si="7"/>
        <v>0.8144104803</v>
      </c>
      <c r="K39" s="60">
        <f t="shared" si="8"/>
        <v>0.6432300849</v>
      </c>
      <c r="L39" s="22">
        <v>0.689</v>
      </c>
      <c r="M39" s="22">
        <v>0.288</v>
      </c>
      <c r="N39" s="22">
        <v>0.797</v>
      </c>
      <c r="O39" s="22">
        <v>0.833</v>
      </c>
      <c r="P39" s="22">
        <v>76.0</v>
      </c>
      <c r="Q39" s="22">
        <v>95.0</v>
      </c>
      <c r="R39" s="22">
        <v>75.0</v>
      </c>
      <c r="S39" s="22">
        <v>373.0</v>
      </c>
    </row>
    <row r="40">
      <c r="A40" s="23"/>
      <c r="B40" s="23"/>
      <c r="C40" s="23"/>
      <c r="D40" s="70"/>
      <c r="E40" s="22">
        <v>0.636</v>
      </c>
      <c r="F40" s="22">
        <v>0.714</v>
      </c>
      <c r="G40" s="22">
        <v>0.724</v>
      </c>
      <c r="H40" s="22">
        <v>0.718</v>
      </c>
      <c r="I40" s="60">
        <f t="shared" si="6"/>
        <v>0.4672897196</v>
      </c>
      <c r="J40" s="60">
        <f t="shared" si="7"/>
        <v>0.8135223555</v>
      </c>
      <c r="K40" s="60">
        <f t="shared" si="8"/>
        <v>0.6404060376</v>
      </c>
      <c r="L40" s="22">
        <v>0.671</v>
      </c>
      <c r="M40" s="22">
        <v>0.283</v>
      </c>
      <c r="N40" s="22">
        <v>0.795</v>
      </c>
      <c r="O40" s="22">
        <v>0.833</v>
      </c>
      <c r="P40" s="22">
        <v>75.0</v>
      </c>
      <c r="Q40" s="22">
        <v>96.0</v>
      </c>
      <c r="R40" s="22">
        <v>75.0</v>
      </c>
      <c r="S40" s="22">
        <v>373.0</v>
      </c>
    </row>
    <row r="41">
      <c r="A41" s="23"/>
      <c r="B41" s="23"/>
      <c r="C41" s="23"/>
      <c r="D41" s="70"/>
      <c r="E41" s="22">
        <v>0.641</v>
      </c>
      <c r="F41" s="22">
        <v>0.718</v>
      </c>
      <c r="G41" s="22">
        <v>0.727</v>
      </c>
      <c r="H41" s="22">
        <v>0.722</v>
      </c>
      <c r="I41" s="60">
        <f t="shared" si="6"/>
        <v>0.4767801858</v>
      </c>
      <c r="J41" s="60">
        <f t="shared" si="7"/>
        <v>0.8153005464</v>
      </c>
      <c r="K41" s="60">
        <f t="shared" si="8"/>
        <v>0.6460403661</v>
      </c>
      <c r="L41" s="22">
        <v>0.677</v>
      </c>
      <c r="M41" s="22">
        <v>0.294</v>
      </c>
      <c r="N41" s="22">
        <v>0.799</v>
      </c>
      <c r="O41" s="22">
        <v>0.833</v>
      </c>
      <c r="P41" s="22">
        <v>77.0</v>
      </c>
      <c r="Q41" s="22">
        <v>94.0</v>
      </c>
      <c r="R41" s="22">
        <v>75.0</v>
      </c>
      <c r="S41" s="22">
        <v>373.0</v>
      </c>
    </row>
    <row r="42">
      <c r="A42" s="23"/>
      <c r="B42" s="23"/>
      <c r="C42" s="23"/>
      <c r="D42" s="70"/>
      <c r="E42" s="22">
        <v>0.63</v>
      </c>
      <c r="F42" s="22">
        <v>0.708</v>
      </c>
      <c r="G42" s="22">
        <v>0.716</v>
      </c>
      <c r="H42" s="22">
        <v>0.711</v>
      </c>
      <c r="I42" s="60">
        <f t="shared" si="6"/>
        <v>0.4601226994</v>
      </c>
      <c r="J42" s="60">
        <f t="shared" si="7"/>
        <v>0.8070175439</v>
      </c>
      <c r="K42" s="60">
        <f t="shared" si="8"/>
        <v>0.6335701216</v>
      </c>
      <c r="L42" s="22">
        <v>0.675</v>
      </c>
      <c r="M42" s="22">
        <v>0.268</v>
      </c>
      <c r="N42" s="22">
        <v>0.793</v>
      </c>
      <c r="O42" s="22">
        <v>0.821</v>
      </c>
      <c r="P42" s="22">
        <v>75.0</v>
      </c>
      <c r="Q42" s="22">
        <v>96.0</v>
      </c>
      <c r="R42" s="22">
        <v>80.0</v>
      </c>
      <c r="S42" s="22">
        <v>368.0</v>
      </c>
    </row>
    <row r="43">
      <c r="A43" s="23"/>
      <c r="B43" s="23"/>
      <c r="C43" s="23"/>
      <c r="D43" s="70"/>
      <c r="E43" s="22">
        <v>0.629</v>
      </c>
      <c r="F43" s="22">
        <v>0.708</v>
      </c>
      <c r="G43" s="22">
        <v>0.719</v>
      </c>
      <c r="H43" s="22">
        <v>0.713</v>
      </c>
      <c r="I43" s="60">
        <f t="shared" si="6"/>
        <v>0.45625</v>
      </c>
      <c r="J43" s="60">
        <f t="shared" si="7"/>
        <v>0.8104575163</v>
      </c>
      <c r="K43" s="60">
        <f t="shared" si="8"/>
        <v>0.6333537582</v>
      </c>
      <c r="L43" s="22">
        <v>0.667</v>
      </c>
      <c r="M43" s="22">
        <v>0.269</v>
      </c>
      <c r="N43" s="22">
        <v>0.791</v>
      </c>
      <c r="O43" s="22">
        <v>0.83</v>
      </c>
      <c r="P43" s="22">
        <v>73.0</v>
      </c>
      <c r="Q43" s="22">
        <v>98.0</v>
      </c>
      <c r="R43" s="22">
        <v>76.0</v>
      </c>
      <c r="S43" s="22">
        <v>372.0</v>
      </c>
    </row>
    <row r="44">
      <c r="A44" s="23"/>
      <c r="B44" s="23"/>
      <c r="C44" s="23"/>
      <c r="D44" s="70"/>
      <c r="E44" s="22">
        <v>0.634</v>
      </c>
      <c r="F44" s="22">
        <v>0.713</v>
      </c>
      <c r="G44" s="22">
        <v>0.724</v>
      </c>
      <c r="H44" s="22">
        <v>0.717</v>
      </c>
      <c r="I44" s="60">
        <f t="shared" si="6"/>
        <v>0.4639498433</v>
      </c>
      <c r="J44" s="60">
        <f t="shared" si="7"/>
        <v>0.8139281828</v>
      </c>
      <c r="K44" s="60">
        <f t="shared" si="8"/>
        <v>0.638939013</v>
      </c>
      <c r="L44" s="22">
        <v>0.678</v>
      </c>
      <c r="M44" s="22">
        <v>0.281</v>
      </c>
      <c r="N44" s="22">
        <v>0.794</v>
      </c>
      <c r="O44" s="22">
        <v>0.835</v>
      </c>
      <c r="P44" s="22">
        <v>74.0</v>
      </c>
      <c r="Q44" s="22">
        <v>97.0</v>
      </c>
      <c r="R44" s="22">
        <v>74.0</v>
      </c>
      <c r="S44" s="22">
        <v>374.0</v>
      </c>
    </row>
    <row r="45">
      <c r="A45" s="23"/>
      <c r="B45" s="23"/>
      <c r="C45" s="23"/>
      <c r="D45" s="70"/>
      <c r="E45" s="22">
        <v>0.629</v>
      </c>
      <c r="F45" s="22">
        <v>0.708</v>
      </c>
      <c r="G45" s="22">
        <v>0.719</v>
      </c>
      <c r="H45" s="22">
        <v>0.713</v>
      </c>
      <c r="I45" s="60">
        <f t="shared" si="6"/>
        <v>0.45625</v>
      </c>
      <c r="J45" s="60">
        <f t="shared" si="7"/>
        <v>0.8104575163</v>
      </c>
      <c r="K45" s="60">
        <f t="shared" si="8"/>
        <v>0.6333537582</v>
      </c>
      <c r="L45" s="22">
        <v>0.671</v>
      </c>
      <c r="M45" s="22">
        <v>0.269</v>
      </c>
      <c r="N45" s="22">
        <v>0.791</v>
      </c>
      <c r="O45" s="22">
        <v>0.83</v>
      </c>
      <c r="P45" s="22">
        <v>73.0</v>
      </c>
      <c r="Q45" s="22">
        <v>98.0</v>
      </c>
      <c r="R45" s="22">
        <v>76.0</v>
      </c>
      <c r="S45" s="22">
        <v>372.0</v>
      </c>
    </row>
    <row r="46">
      <c r="A46" s="23"/>
      <c r="B46" s="23"/>
      <c r="C46" s="23"/>
      <c r="D46" s="70"/>
      <c r="E46" s="22">
        <v>0.637</v>
      </c>
      <c r="F46" s="22">
        <v>0.715</v>
      </c>
      <c r="G46" s="22">
        <v>0.725</v>
      </c>
      <c r="H46" s="22">
        <v>0.719</v>
      </c>
      <c r="I46" s="60">
        <f t="shared" si="6"/>
        <v>0.46875</v>
      </c>
      <c r="J46" s="60">
        <f t="shared" si="7"/>
        <v>0.8148148148</v>
      </c>
      <c r="K46" s="60">
        <f t="shared" si="8"/>
        <v>0.6417824074</v>
      </c>
      <c r="L46" s="22">
        <v>0.682</v>
      </c>
      <c r="M46" s="22">
        <v>0.286</v>
      </c>
      <c r="N46" s="22">
        <v>0.796</v>
      </c>
      <c r="O46" s="22">
        <v>0.835</v>
      </c>
      <c r="P46" s="22">
        <v>75.0</v>
      </c>
      <c r="Q46" s="22">
        <v>96.0</v>
      </c>
      <c r="R46" s="22">
        <v>74.0</v>
      </c>
      <c r="S46" s="22">
        <v>374.0</v>
      </c>
    </row>
    <row r="47">
      <c r="A47" s="23"/>
      <c r="B47" s="23"/>
      <c r="C47" s="23"/>
      <c r="D47" s="11"/>
      <c r="E47" s="22">
        <v>0.645</v>
      </c>
      <c r="F47" s="22">
        <v>0.718</v>
      </c>
      <c r="G47" s="22">
        <v>0.722</v>
      </c>
      <c r="H47" s="22">
        <v>0.72</v>
      </c>
      <c r="I47" s="60">
        <f t="shared" si="6"/>
        <v>0.4850299401</v>
      </c>
      <c r="J47" s="60">
        <f t="shared" si="7"/>
        <v>0.8097345133</v>
      </c>
      <c r="K47" s="60">
        <f t="shared" si="8"/>
        <v>0.6473822267</v>
      </c>
      <c r="L47" s="22">
        <v>0.687</v>
      </c>
      <c r="M47" s="22">
        <v>0.295</v>
      </c>
      <c r="N47" s="22">
        <v>0.803</v>
      </c>
      <c r="O47" s="22">
        <v>0.817</v>
      </c>
      <c r="P47" s="22">
        <v>81.0</v>
      </c>
      <c r="Q47" s="22">
        <v>90.0</v>
      </c>
      <c r="R47" s="22">
        <v>82.0</v>
      </c>
      <c r="S47" s="22">
        <v>366.0</v>
      </c>
    </row>
    <row r="48">
      <c r="A48" s="23"/>
      <c r="B48" s="23"/>
      <c r="C48" s="23"/>
      <c r="D48" s="11"/>
      <c r="E48" s="22">
        <v>0.641</v>
      </c>
      <c r="F48" s="22">
        <v>0.718</v>
      </c>
      <c r="G48" s="22">
        <v>0.729</v>
      </c>
      <c r="H48" s="22">
        <v>0.723</v>
      </c>
      <c r="I48" s="60">
        <f t="shared" si="6"/>
        <v>0.475</v>
      </c>
      <c r="J48" s="60">
        <f t="shared" si="7"/>
        <v>0.8169934641</v>
      </c>
      <c r="K48" s="60">
        <f t="shared" si="8"/>
        <v>0.645996732</v>
      </c>
      <c r="L48" s="22">
        <v>0.698</v>
      </c>
      <c r="M48" s="22">
        <v>0.294</v>
      </c>
      <c r="N48" s="22">
        <v>0.798</v>
      </c>
      <c r="O48" s="22">
        <v>0.837</v>
      </c>
      <c r="P48" s="22">
        <v>76.0</v>
      </c>
      <c r="Q48" s="22">
        <v>95.0</v>
      </c>
      <c r="R48" s="22">
        <v>73.0</v>
      </c>
      <c r="S48" s="22">
        <v>375.0</v>
      </c>
    </row>
    <row r="49">
      <c r="A49" s="23"/>
      <c r="B49" s="23"/>
      <c r="C49" s="23"/>
      <c r="D49" s="11"/>
      <c r="E49" s="22">
        <v>0.642</v>
      </c>
      <c r="F49" s="22">
        <v>0.718</v>
      </c>
      <c r="G49" s="22">
        <v>0.725</v>
      </c>
      <c r="H49" s="22">
        <v>0.721</v>
      </c>
      <c r="I49" s="60">
        <f t="shared" si="6"/>
        <v>0.4785276074</v>
      </c>
      <c r="J49" s="60">
        <f t="shared" si="7"/>
        <v>0.8135964912</v>
      </c>
      <c r="K49" s="60">
        <f t="shared" si="8"/>
        <v>0.6460620493</v>
      </c>
      <c r="L49" s="22">
        <v>0.687</v>
      </c>
      <c r="M49" s="22">
        <v>0.293</v>
      </c>
      <c r="N49" s="22">
        <v>0.8</v>
      </c>
      <c r="O49" s="22">
        <v>0.828</v>
      </c>
      <c r="P49" s="22">
        <v>78.0</v>
      </c>
      <c r="Q49" s="22">
        <v>93.0</v>
      </c>
      <c r="R49" s="22">
        <v>77.0</v>
      </c>
      <c r="S49" s="22">
        <v>371.0</v>
      </c>
    </row>
    <row r="50">
      <c r="A50" s="23"/>
      <c r="B50" s="23"/>
      <c r="C50" s="23"/>
      <c r="D50" s="11"/>
      <c r="E50" s="22">
        <v>0.641</v>
      </c>
      <c r="F50" s="22">
        <v>0.718</v>
      </c>
      <c r="G50" s="22">
        <v>0.727</v>
      </c>
      <c r="H50" s="22">
        <v>0.722</v>
      </c>
      <c r="I50" s="60">
        <f t="shared" si="6"/>
        <v>0.4767801858</v>
      </c>
      <c r="J50" s="60">
        <f t="shared" si="7"/>
        <v>0.8153005464</v>
      </c>
      <c r="K50" s="60">
        <f t="shared" si="8"/>
        <v>0.6460403661</v>
      </c>
      <c r="L50" s="22">
        <v>0.68</v>
      </c>
      <c r="M50" s="22">
        <v>0.294</v>
      </c>
      <c r="N50" s="22">
        <v>0.799</v>
      </c>
      <c r="O50" s="22">
        <v>0.833</v>
      </c>
      <c r="P50" s="22">
        <v>77.0</v>
      </c>
      <c r="Q50" s="22">
        <v>94.0</v>
      </c>
      <c r="R50" s="22">
        <v>75.0</v>
      </c>
      <c r="S50" s="22">
        <v>373.0</v>
      </c>
    </row>
    <row r="51">
      <c r="A51" s="23"/>
      <c r="B51" s="23"/>
      <c r="C51" s="23"/>
      <c r="D51" s="11"/>
      <c r="E51" s="22">
        <v>0.64</v>
      </c>
      <c r="F51" s="22">
        <v>0.717</v>
      </c>
      <c r="G51" s="22">
        <v>0.727</v>
      </c>
      <c r="H51" s="22">
        <v>0.721</v>
      </c>
      <c r="I51" s="60">
        <f t="shared" si="6"/>
        <v>0.4735202492</v>
      </c>
      <c r="J51" s="60">
        <f t="shared" si="7"/>
        <v>0.8157033806</v>
      </c>
      <c r="K51" s="60">
        <f t="shared" si="8"/>
        <v>0.6446118149</v>
      </c>
      <c r="L51" s="22">
        <v>0.685</v>
      </c>
      <c r="M51" s="22">
        <v>0.291</v>
      </c>
      <c r="N51" s="22">
        <v>0.797</v>
      </c>
      <c r="O51" s="22">
        <v>0.835</v>
      </c>
      <c r="P51" s="22">
        <v>76.0</v>
      </c>
      <c r="Q51" s="22">
        <v>95.0</v>
      </c>
      <c r="R51" s="22">
        <v>74.0</v>
      </c>
      <c r="S51" s="22">
        <v>374.0</v>
      </c>
    </row>
    <row r="52">
      <c r="A52" s="23"/>
      <c r="B52" s="23"/>
      <c r="C52" s="23"/>
      <c r="D52" s="11"/>
      <c r="E52" s="22">
        <v>0.628</v>
      </c>
      <c r="F52" s="22">
        <v>0.708</v>
      </c>
      <c r="G52" s="22">
        <v>0.721</v>
      </c>
      <c r="H52" s="22">
        <v>0.713</v>
      </c>
      <c r="I52" s="60">
        <f t="shared" si="6"/>
        <v>0.4542586751</v>
      </c>
      <c r="J52" s="60">
        <f t="shared" si="7"/>
        <v>0.8121606949</v>
      </c>
      <c r="K52" s="60">
        <f t="shared" si="8"/>
        <v>0.633209685</v>
      </c>
      <c r="L52" s="22">
        <v>0.678</v>
      </c>
      <c r="M52" s="22">
        <v>0.269</v>
      </c>
      <c r="N52" s="22">
        <v>0.791</v>
      </c>
      <c r="O52" s="22">
        <v>0.835</v>
      </c>
      <c r="P52" s="22">
        <v>72.0</v>
      </c>
      <c r="Q52" s="22">
        <v>99.0</v>
      </c>
      <c r="R52" s="22">
        <v>74.0</v>
      </c>
      <c r="S52" s="22">
        <v>374.0</v>
      </c>
    </row>
    <row r="53">
      <c r="A53" s="23"/>
      <c r="B53" s="23"/>
      <c r="C53" s="23"/>
      <c r="D53" s="11"/>
      <c r="E53" s="22">
        <v>0.644</v>
      </c>
      <c r="F53" s="22">
        <v>0.72</v>
      </c>
      <c r="G53" s="22">
        <v>0.73</v>
      </c>
      <c r="H53" s="22">
        <v>0.724</v>
      </c>
      <c r="I53" s="60">
        <f t="shared" si="6"/>
        <v>0.4797507788</v>
      </c>
      <c r="J53" s="60">
        <f t="shared" si="7"/>
        <v>0.8178844057</v>
      </c>
      <c r="K53" s="60">
        <f t="shared" si="8"/>
        <v>0.6488175922</v>
      </c>
      <c r="L53" s="22">
        <v>0.69</v>
      </c>
      <c r="M53" s="22">
        <v>0.3</v>
      </c>
      <c r="N53" s="22">
        <v>0.8</v>
      </c>
      <c r="O53" s="22">
        <v>0.837</v>
      </c>
      <c r="P53" s="22">
        <v>77.0</v>
      </c>
      <c r="Q53" s="22">
        <v>94.0</v>
      </c>
      <c r="R53" s="22">
        <v>73.0</v>
      </c>
      <c r="S53" s="22">
        <v>375.0</v>
      </c>
    </row>
    <row r="54">
      <c r="A54" s="23"/>
      <c r="B54" s="23"/>
      <c r="C54" s="23"/>
      <c r="D54" s="11"/>
      <c r="E54" s="22">
        <v>0.633</v>
      </c>
      <c r="F54" s="22">
        <v>0.713</v>
      </c>
      <c r="G54" s="22">
        <v>0.725</v>
      </c>
      <c r="H54" s="22">
        <v>0.718</v>
      </c>
      <c r="I54" s="60">
        <f t="shared" si="6"/>
        <v>0.4620253165</v>
      </c>
      <c r="J54" s="60">
        <f t="shared" si="7"/>
        <v>0.8156182213</v>
      </c>
      <c r="K54" s="60">
        <f t="shared" si="8"/>
        <v>0.6388217689</v>
      </c>
      <c r="L54" s="22">
        <v>0.676</v>
      </c>
      <c r="M54" s="22">
        <v>0.281</v>
      </c>
      <c r="N54" s="22">
        <v>0.793</v>
      </c>
      <c r="O54" s="22">
        <v>0.839</v>
      </c>
      <c r="P54" s="22">
        <v>73.0</v>
      </c>
      <c r="Q54" s="22">
        <v>98.0</v>
      </c>
      <c r="R54" s="22">
        <v>72.0</v>
      </c>
      <c r="S54" s="22">
        <v>376.0</v>
      </c>
    </row>
    <row r="55">
      <c r="A55" s="23"/>
      <c r="B55" s="23"/>
      <c r="C55" s="23"/>
      <c r="D55" s="11"/>
      <c r="E55" s="22">
        <v>0.632</v>
      </c>
      <c r="F55" s="22">
        <v>0.712</v>
      </c>
      <c r="G55" s="22">
        <v>0.724</v>
      </c>
      <c r="H55" s="22">
        <v>0.717</v>
      </c>
      <c r="I55" s="60">
        <f t="shared" si="6"/>
        <v>0.4605678233</v>
      </c>
      <c r="J55" s="60">
        <f t="shared" si="7"/>
        <v>0.8143322476</v>
      </c>
      <c r="K55" s="60">
        <f t="shared" si="8"/>
        <v>0.6374500355</v>
      </c>
      <c r="L55" s="22">
        <v>0.677</v>
      </c>
      <c r="M55" s="22">
        <v>0.278</v>
      </c>
      <c r="N55" s="22">
        <v>0.793</v>
      </c>
      <c r="O55" s="22">
        <v>0.837</v>
      </c>
      <c r="P55" s="22">
        <v>73.0</v>
      </c>
      <c r="Q55" s="22">
        <v>98.0</v>
      </c>
      <c r="R55" s="22">
        <v>73.0</v>
      </c>
      <c r="S55" s="22">
        <v>375.0</v>
      </c>
    </row>
    <row r="56">
      <c r="A56" s="23"/>
      <c r="B56" s="23"/>
      <c r="C56" s="23"/>
      <c r="D56" s="11"/>
      <c r="E56" s="22">
        <v>0.636</v>
      </c>
      <c r="F56" s="22">
        <v>0.714</v>
      </c>
      <c r="G56" s="22">
        <v>0.724</v>
      </c>
      <c r="H56" s="22">
        <v>0.718</v>
      </c>
      <c r="I56" s="60">
        <f t="shared" si="6"/>
        <v>0.4672897196</v>
      </c>
      <c r="J56" s="60">
        <f t="shared" si="7"/>
        <v>0.8135223555</v>
      </c>
      <c r="K56" s="60">
        <f t="shared" si="8"/>
        <v>0.6404060376</v>
      </c>
      <c r="L56" s="22">
        <v>0.664</v>
      </c>
      <c r="M56" s="22">
        <v>0.283</v>
      </c>
      <c r="N56" s="22">
        <v>0.795</v>
      </c>
      <c r="O56" s="22">
        <v>0.833</v>
      </c>
      <c r="P56" s="22">
        <v>75.0</v>
      </c>
      <c r="Q56" s="22">
        <v>96.0</v>
      </c>
      <c r="R56" s="22">
        <v>75.0</v>
      </c>
      <c r="S56" s="22">
        <v>373.0</v>
      </c>
    </row>
    <row r="57">
      <c r="A57" s="23"/>
      <c r="B57" s="23"/>
      <c r="C57" s="23"/>
      <c r="D57" s="11"/>
      <c r="E57" s="22">
        <v>0.633</v>
      </c>
      <c r="F57" s="22">
        <v>0.711</v>
      </c>
      <c r="G57" s="22">
        <v>0.721</v>
      </c>
      <c r="H57" s="22">
        <v>0.715</v>
      </c>
      <c r="I57" s="60">
        <f t="shared" si="6"/>
        <v>0.4643962848</v>
      </c>
      <c r="J57" s="60">
        <f t="shared" si="7"/>
        <v>0.8109289617</v>
      </c>
      <c r="K57" s="60">
        <f t="shared" si="8"/>
        <v>0.6376626233</v>
      </c>
      <c r="L57" s="22">
        <v>0.633</v>
      </c>
      <c r="M57" s="22">
        <v>0.277</v>
      </c>
      <c r="N57" s="22">
        <v>0.794</v>
      </c>
      <c r="O57" s="22">
        <v>0.828</v>
      </c>
      <c r="P57" s="22">
        <v>75.0</v>
      </c>
      <c r="Q57" s="22">
        <v>96.0</v>
      </c>
      <c r="R57" s="22">
        <v>77.0</v>
      </c>
      <c r="S57" s="22">
        <v>371.0</v>
      </c>
    </row>
    <row r="58">
      <c r="A58" s="23"/>
      <c r="B58" s="23"/>
      <c r="C58" s="23"/>
      <c r="D58" s="11"/>
      <c r="E58" s="22">
        <v>0.638</v>
      </c>
      <c r="F58" s="22">
        <v>0.716</v>
      </c>
      <c r="G58" s="22">
        <v>0.727</v>
      </c>
      <c r="H58" s="22">
        <v>0.721</v>
      </c>
      <c r="I58" s="60">
        <f t="shared" si="6"/>
        <v>0.4702194357</v>
      </c>
      <c r="J58" s="60">
        <f t="shared" si="7"/>
        <v>0.8161044614</v>
      </c>
      <c r="K58" s="60">
        <f t="shared" si="8"/>
        <v>0.6431619486</v>
      </c>
      <c r="L58" s="22">
        <v>0.684</v>
      </c>
      <c r="M58" s="22">
        <v>0.289</v>
      </c>
      <c r="N58" s="22">
        <v>0.796</v>
      </c>
      <c r="O58" s="22">
        <v>0.837</v>
      </c>
      <c r="P58" s="22">
        <v>75.0</v>
      </c>
      <c r="Q58" s="22">
        <v>96.0</v>
      </c>
      <c r="R58" s="22">
        <v>73.0</v>
      </c>
      <c r="S58" s="22">
        <v>375.0</v>
      </c>
    </row>
    <row r="59">
      <c r="A59" s="23"/>
      <c r="B59" s="23"/>
      <c r="C59" s="23"/>
      <c r="D59" s="11"/>
      <c r="E59" s="22">
        <v>0.639</v>
      </c>
      <c r="F59" s="22">
        <v>0.716</v>
      </c>
      <c r="G59" s="22">
        <v>0.725</v>
      </c>
      <c r="H59" s="22">
        <v>0.72</v>
      </c>
      <c r="I59" s="60">
        <f t="shared" si="6"/>
        <v>0.4720496894</v>
      </c>
      <c r="J59" s="60">
        <f t="shared" si="7"/>
        <v>0.8144104803</v>
      </c>
      <c r="K59" s="60">
        <f t="shared" si="8"/>
        <v>0.6432300849</v>
      </c>
      <c r="L59" s="22">
        <v>0.679</v>
      </c>
      <c r="M59" s="22">
        <v>0.288</v>
      </c>
      <c r="N59" s="22">
        <v>0.797</v>
      </c>
      <c r="O59" s="22">
        <v>0.833</v>
      </c>
      <c r="P59" s="22">
        <v>76.0</v>
      </c>
      <c r="Q59" s="22">
        <v>95.0</v>
      </c>
      <c r="R59" s="22">
        <v>75.0</v>
      </c>
      <c r="S59" s="22">
        <v>373.0</v>
      </c>
    </row>
    <row r="60">
      <c r="A60" s="23"/>
      <c r="B60" s="23"/>
      <c r="C60" s="23"/>
      <c r="D60" s="11"/>
      <c r="E60" s="22">
        <v>0.652</v>
      </c>
      <c r="F60" s="22">
        <v>0.725</v>
      </c>
      <c r="G60" s="22">
        <v>0.732</v>
      </c>
      <c r="H60" s="22">
        <v>0.728</v>
      </c>
      <c r="I60" s="60">
        <f t="shared" si="6"/>
        <v>0.493902439</v>
      </c>
      <c r="J60" s="60">
        <f t="shared" si="7"/>
        <v>0.8175824176</v>
      </c>
      <c r="K60" s="60">
        <f t="shared" si="8"/>
        <v>0.6557424283</v>
      </c>
      <c r="L60" s="22">
        <v>0.689</v>
      </c>
      <c r="M60" s="22">
        <v>0.312</v>
      </c>
      <c r="N60" s="22">
        <v>0.805</v>
      </c>
      <c r="O60" s="22">
        <v>0.83</v>
      </c>
      <c r="P60" s="22">
        <v>81.0</v>
      </c>
      <c r="Q60" s="22">
        <v>90.0</v>
      </c>
      <c r="R60" s="22">
        <v>76.0</v>
      </c>
      <c r="S60" s="22">
        <v>372.0</v>
      </c>
    </row>
    <row r="61">
      <c r="A61" s="23"/>
      <c r="B61" s="23"/>
      <c r="C61" s="23"/>
      <c r="D61" s="11"/>
      <c r="E61" s="22">
        <v>0.642</v>
      </c>
      <c r="F61" s="22">
        <v>0.72</v>
      </c>
      <c r="G61" s="22">
        <v>0.73</v>
      </c>
      <c r="H61" s="22">
        <v>0.724</v>
      </c>
      <c r="I61" s="60">
        <f t="shared" si="6"/>
        <v>0.4764890282</v>
      </c>
      <c r="J61" s="60">
        <f t="shared" si="7"/>
        <v>0.8182807399</v>
      </c>
      <c r="K61" s="60">
        <f t="shared" si="8"/>
        <v>0.6473848841</v>
      </c>
      <c r="L61" s="22">
        <v>0.695</v>
      </c>
      <c r="M61" s="22">
        <v>0.297</v>
      </c>
      <c r="N61" s="22">
        <v>0.798</v>
      </c>
      <c r="O61" s="22">
        <v>0.839</v>
      </c>
      <c r="P61" s="22">
        <v>76.0</v>
      </c>
      <c r="Q61" s="22">
        <v>95.0</v>
      </c>
      <c r="R61" s="22">
        <v>72.0</v>
      </c>
      <c r="S61" s="22">
        <v>376.0</v>
      </c>
    </row>
    <row r="62">
      <c r="A62" s="23"/>
      <c r="B62" s="23"/>
      <c r="C62" s="23"/>
      <c r="D62" s="11"/>
      <c r="E62" s="22">
        <v>0.641</v>
      </c>
      <c r="F62" s="22">
        <v>0.718</v>
      </c>
      <c r="G62" s="22">
        <v>0.727</v>
      </c>
      <c r="H62" s="22">
        <v>0.722</v>
      </c>
      <c r="I62" s="60">
        <f t="shared" si="6"/>
        <v>0.4767801858</v>
      </c>
      <c r="J62" s="60">
        <f t="shared" si="7"/>
        <v>0.8153005464</v>
      </c>
      <c r="K62" s="60">
        <f t="shared" si="8"/>
        <v>0.6460403661</v>
      </c>
      <c r="L62" s="22">
        <v>0.672</v>
      </c>
      <c r="M62" s="22">
        <v>0.294</v>
      </c>
      <c r="N62" s="22">
        <v>0.799</v>
      </c>
      <c r="O62" s="22">
        <v>0.833</v>
      </c>
      <c r="P62" s="22">
        <v>77.0</v>
      </c>
      <c r="Q62" s="22">
        <v>94.0</v>
      </c>
      <c r="R62" s="22">
        <v>75.0</v>
      </c>
      <c r="S62" s="22">
        <v>373.0</v>
      </c>
    </row>
    <row r="63">
      <c r="A63" s="23"/>
      <c r="B63" s="23"/>
      <c r="C63" s="23"/>
      <c r="D63" s="11"/>
      <c r="E63" s="22">
        <v>0.633</v>
      </c>
      <c r="F63" s="22">
        <v>0.711</v>
      </c>
      <c r="G63" s="22">
        <v>0.721</v>
      </c>
      <c r="H63" s="22">
        <v>0.715</v>
      </c>
      <c r="I63" s="60">
        <f t="shared" si="6"/>
        <v>0.4643962848</v>
      </c>
      <c r="J63" s="60">
        <f t="shared" si="7"/>
        <v>0.8109289617</v>
      </c>
      <c r="K63" s="60">
        <f t="shared" si="8"/>
        <v>0.6376626233</v>
      </c>
      <c r="L63" s="22">
        <v>0.675</v>
      </c>
      <c r="M63" s="22">
        <v>0.277</v>
      </c>
      <c r="N63" s="22">
        <v>0.794</v>
      </c>
      <c r="O63" s="22">
        <v>0.828</v>
      </c>
      <c r="P63" s="22">
        <v>75.0</v>
      </c>
      <c r="Q63" s="22">
        <v>96.0</v>
      </c>
      <c r="R63" s="22">
        <v>77.0</v>
      </c>
      <c r="S63" s="22">
        <v>371.0</v>
      </c>
    </row>
    <row r="64">
      <c r="A64" s="23"/>
      <c r="B64" s="23"/>
      <c r="C64" s="23"/>
      <c r="D64" s="11"/>
      <c r="E64" s="22">
        <v>0.633</v>
      </c>
      <c r="F64" s="22">
        <v>0.711</v>
      </c>
      <c r="G64" s="22">
        <v>0.721</v>
      </c>
      <c r="H64" s="22">
        <v>0.715</v>
      </c>
      <c r="I64" s="60">
        <f t="shared" si="6"/>
        <v>0.4643962848</v>
      </c>
      <c r="J64" s="60">
        <f t="shared" si="7"/>
        <v>0.8109289617</v>
      </c>
      <c r="K64" s="60">
        <f t="shared" si="8"/>
        <v>0.6376626233</v>
      </c>
      <c r="L64" s="22">
        <v>0.679</v>
      </c>
      <c r="M64" s="22">
        <v>0.277</v>
      </c>
      <c r="N64" s="22">
        <v>0.794</v>
      </c>
      <c r="O64" s="22">
        <v>0.828</v>
      </c>
      <c r="P64" s="22">
        <v>75.0</v>
      </c>
      <c r="Q64" s="22">
        <v>96.0</v>
      </c>
      <c r="R64" s="22">
        <v>77.0</v>
      </c>
      <c r="S64" s="22">
        <v>371.0</v>
      </c>
    </row>
    <row r="65">
      <c r="A65" s="23"/>
      <c r="B65" s="23"/>
      <c r="C65" s="23"/>
      <c r="D65" s="11"/>
      <c r="E65" s="22">
        <v>0.641</v>
      </c>
      <c r="F65" s="22">
        <v>0.716</v>
      </c>
      <c r="G65" s="22">
        <v>0.724</v>
      </c>
      <c r="H65" s="22">
        <v>0.72</v>
      </c>
      <c r="I65" s="60">
        <f t="shared" si="6"/>
        <v>0.4770642202</v>
      </c>
      <c r="J65" s="60">
        <f t="shared" si="7"/>
        <v>0.8122941822</v>
      </c>
      <c r="K65" s="60">
        <f t="shared" si="8"/>
        <v>0.6446792012</v>
      </c>
      <c r="L65" s="22">
        <v>0.681</v>
      </c>
      <c r="M65" s="22">
        <v>0.29</v>
      </c>
      <c r="N65" s="22">
        <v>0.799</v>
      </c>
      <c r="O65" s="22">
        <v>0.826</v>
      </c>
      <c r="P65" s="22">
        <v>78.0</v>
      </c>
      <c r="Q65" s="22">
        <v>93.0</v>
      </c>
      <c r="R65" s="22">
        <v>78.0</v>
      </c>
      <c r="S65" s="22">
        <v>370.0</v>
      </c>
    </row>
    <row r="66">
      <c r="A66" s="23"/>
      <c r="B66" s="23"/>
      <c r="C66" s="23"/>
      <c r="D66" s="11"/>
      <c r="E66" s="22">
        <v>0.634</v>
      </c>
      <c r="F66" s="22">
        <v>0.708</v>
      </c>
      <c r="G66" s="22">
        <v>0.711</v>
      </c>
      <c r="H66" s="22">
        <v>0.709</v>
      </c>
      <c r="I66" s="60">
        <f t="shared" si="6"/>
        <v>0.46884273</v>
      </c>
      <c r="J66" s="60">
        <f t="shared" si="7"/>
        <v>0.8013318535</v>
      </c>
      <c r="K66" s="60">
        <f t="shared" si="8"/>
        <v>0.6350872917</v>
      </c>
      <c r="L66" s="22">
        <v>0.625</v>
      </c>
      <c r="M66" s="22">
        <v>0.27</v>
      </c>
      <c r="N66" s="22">
        <v>0.797</v>
      </c>
      <c r="O66" s="22">
        <v>0.806</v>
      </c>
      <c r="P66" s="22">
        <v>79.0</v>
      </c>
      <c r="Q66" s="22">
        <v>92.0</v>
      </c>
      <c r="R66" s="22">
        <v>87.0</v>
      </c>
      <c r="S66" s="22">
        <v>361.0</v>
      </c>
    </row>
    <row r="67">
      <c r="A67" s="23"/>
      <c r="B67" s="23"/>
      <c r="C67" s="23"/>
      <c r="D67" s="71" t="s">
        <v>23</v>
      </c>
      <c r="E67" s="22">
        <v>0.637</v>
      </c>
      <c r="F67" s="22">
        <v>0.714</v>
      </c>
      <c r="G67" s="22">
        <v>0.723</v>
      </c>
      <c r="H67" s="22">
        <v>0.718</v>
      </c>
      <c r="I67" s="60">
        <f t="shared" ref="I67:K67" si="9">MEDIAN(I37:I66)</f>
        <v>0.468796365</v>
      </c>
      <c r="J67" s="60">
        <f t="shared" si="9"/>
        <v>0.813762337</v>
      </c>
      <c r="K67" s="60">
        <f t="shared" si="9"/>
        <v>0.6410942225</v>
      </c>
      <c r="L67" s="22">
        <v>0.677</v>
      </c>
      <c r="M67" s="22">
        <v>0.284</v>
      </c>
      <c r="N67" s="22">
        <v>0.796</v>
      </c>
      <c r="O67" s="22">
        <v>0.831</v>
      </c>
      <c r="P67" s="22">
        <v>75.667</v>
      </c>
      <c r="Q67" s="22">
        <v>95.333</v>
      </c>
      <c r="R67" s="22">
        <v>75.867</v>
      </c>
      <c r="S67" s="22">
        <v>372.133</v>
      </c>
    </row>
    <row r="68">
      <c r="A68" s="72"/>
      <c r="B68" s="72"/>
      <c r="C68" s="72"/>
      <c r="D68" s="73" t="s">
        <v>232</v>
      </c>
      <c r="E68" s="22">
        <v>0.006</v>
      </c>
      <c r="F68" s="22">
        <v>0.005</v>
      </c>
      <c r="G68" s="22">
        <v>0.005</v>
      </c>
      <c r="H68" s="22">
        <v>0.005</v>
      </c>
      <c r="I68" s="60">
        <f t="shared" ref="I68:K68" si="10">_xlfn.STDEV.P(I37:I66)</f>
        <v>0.00973880969</v>
      </c>
      <c r="J68" s="60">
        <f t="shared" si="10"/>
        <v>0.003758603874</v>
      </c>
      <c r="K68" s="60">
        <f t="shared" si="10"/>
        <v>0.00607935462</v>
      </c>
      <c r="L68" s="22">
        <v>0.015</v>
      </c>
      <c r="M68" s="22">
        <v>0.012</v>
      </c>
      <c r="N68" s="22">
        <v>0.004</v>
      </c>
      <c r="O68" s="22">
        <v>0.007</v>
      </c>
      <c r="P68" s="22">
        <v>2.226</v>
      </c>
      <c r="Q68" s="22">
        <v>2.226</v>
      </c>
      <c r="R68" s="22">
        <v>3.096</v>
      </c>
      <c r="S68" s="22">
        <v>3.096</v>
      </c>
    </row>
    <row r="69">
      <c r="I69" s="60"/>
      <c r="J69" s="60"/>
      <c r="K69" s="60"/>
    </row>
    <row r="70">
      <c r="A70" s="77" t="s">
        <v>234</v>
      </c>
      <c r="B70" s="78" t="s">
        <v>231</v>
      </c>
      <c r="C70" s="78" t="s">
        <v>48</v>
      </c>
      <c r="D70" s="79"/>
      <c r="E70" s="32">
        <v>0.584</v>
      </c>
      <c r="F70" s="32">
        <v>0.731</v>
      </c>
      <c r="G70" s="32">
        <v>0.751</v>
      </c>
      <c r="H70" s="32">
        <v>0.702</v>
      </c>
      <c r="I70" s="60">
        <f t="shared" ref="I70:I99" si="11">(2*P70)/((2*P70) + Q70 + R70)</f>
        <v>0.3185840708</v>
      </c>
      <c r="J70" s="60">
        <f t="shared" ref="J70:J99" si="12">(2*S70)/((2*S70) + Q70 + R70)</f>
        <v>0.847826087</v>
      </c>
      <c r="K70" s="60">
        <f t="shared" ref="K70:K99" si="13"> MEDIAN(I70,J70)</f>
        <v>0.5832050789</v>
      </c>
      <c r="L70" s="32">
        <v>0.728</v>
      </c>
      <c r="M70" s="32">
        <v>0.264</v>
      </c>
      <c r="N70" s="32">
        <v>0.761</v>
      </c>
      <c r="O70" s="32">
        <v>0.958</v>
      </c>
      <c r="P70" s="32">
        <v>36.0</v>
      </c>
      <c r="Q70" s="32">
        <v>135.0</v>
      </c>
      <c r="R70" s="22">
        <v>19.0</v>
      </c>
      <c r="S70" s="32">
        <v>429.0</v>
      </c>
    </row>
    <row r="71">
      <c r="A71" s="23"/>
      <c r="B71" s="23"/>
      <c r="C71" s="23"/>
      <c r="D71" s="69"/>
      <c r="E71" s="22">
        <v>0.613</v>
      </c>
      <c r="F71" s="32">
        <v>0.693</v>
      </c>
      <c r="G71" s="22">
        <v>0.701</v>
      </c>
      <c r="H71" s="22">
        <v>0.697</v>
      </c>
      <c r="I71" s="60">
        <f t="shared" si="11"/>
        <v>0.4342507645</v>
      </c>
      <c r="J71" s="60">
        <f t="shared" si="12"/>
        <v>0.7969264544</v>
      </c>
      <c r="K71" s="60">
        <f t="shared" si="13"/>
        <v>0.6155886095</v>
      </c>
      <c r="L71" s="22">
        <v>0.686</v>
      </c>
      <c r="M71" s="22">
        <v>0.232</v>
      </c>
      <c r="N71" s="22">
        <v>0.784</v>
      </c>
      <c r="O71" s="32">
        <v>0.81</v>
      </c>
      <c r="P71" s="22">
        <v>71.0</v>
      </c>
      <c r="Q71" s="22">
        <v>100.0</v>
      </c>
      <c r="R71" s="22">
        <v>85.0</v>
      </c>
      <c r="S71" s="22">
        <v>363.0</v>
      </c>
    </row>
    <row r="72">
      <c r="A72" s="23"/>
      <c r="B72" s="23"/>
      <c r="C72" s="23"/>
      <c r="D72" s="70"/>
      <c r="E72" s="22">
        <v>0.611</v>
      </c>
      <c r="F72" s="22">
        <v>0.717</v>
      </c>
      <c r="G72" s="22">
        <v>0.743</v>
      </c>
      <c r="H72" s="22">
        <v>0.717</v>
      </c>
      <c r="I72" s="60">
        <f t="shared" si="11"/>
        <v>0.404494382</v>
      </c>
      <c r="J72" s="60">
        <f t="shared" si="12"/>
        <v>0.8362512873</v>
      </c>
      <c r="K72" s="60">
        <f t="shared" si="13"/>
        <v>0.6203728347</v>
      </c>
      <c r="L72" s="22">
        <v>0.705</v>
      </c>
      <c r="M72" s="22">
        <v>0.274</v>
      </c>
      <c r="N72" s="22">
        <v>0.776</v>
      </c>
      <c r="O72" s="22">
        <v>0.906</v>
      </c>
      <c r="P72" s="22">
        <v>54.0</v>
      </c>
      <c r="Q72" s="22">
        <v>117.0</v>
      </c>
      <c r="R72" s="22">
        <v>42.0</v>
      </c>
      <c r="S72" s="22">
        <v>406.0</v>
      </c>
    </row>
    <row r="73">
      <c r="A73" s="23"/>
      <c r="B73" s="23"/>
      <c r="C73" s="23"/>
      <c r="D73" s="70"/>
      <c r="E73" s="22">
        <v>0.621</v>
      </c>
      <c r="F73" s="22">
        <v>0.718</v>
      </c>
      <c r="G73" s="22">
        <v>0.742</v>
      </c>
      <c r="H73" s="22">
        <v>0.721</v>
      </c>
      <c r="I73" s="60">
        <f t="shared" si="11"/>
        <v>0.4285714286</v>
      </c>
      <c r="J73" s="60">
        <f t="shared" si="12"/>
        <v>0.8329853862</v>
      </c>
      <c r="K73" s="60">
        <f t="shared" si="13"/>
        <v>0.6307784074</v>
      </c>
      <c r="L73" s="22">
        <v>0.721</v>
      </c>
      <c r="M73" s="22">
        <v>0.284</v>
      </c>
      <c r="N73" s="22">
        <v>0.782</v>
      </c>
      <c r="O73" s="22">
        <v>0.891</v>
      </c>
      <c r="P73" s="22">
        <v>60.0</v>
      </c>
      <c r="Q73" s="22">
        <v>111.0</v>
      </c>
      <c r="R73" s="22">
        <v>49.0</v>
      </c>
      <c r="S73" s="22">
        <v>399.0</v>
      </c>
    </row>
    <row r="74">
      <c r="A74" s="23"/>
      <c r="B74" s="23"/>
      <c r="C74" s="23"/>
      <c r="D74" s="70"/>
      <c r="E74" s="22">
        <v>0.621</v>
      </c>
      <c r="F74" s="22">
        <v>0.721</v>
      </c>
      <c r="G74" s="22">
        <v>0.745</v>
      </c>
      <c r="H74" s="22">
        <v>0.723</v>
      </c>
      <c r="I74" s="60">
        <f t="shared" si="11"/>
        <v>0.4275362319</v>
      </c>
      <c r="J74" s="60">
        <f t="shared" si="12"/>
        <v>0.8357588358</v>
      </c>
      <c r="K74" s="60">
        <f t="shared" si="13"/>
        <v>0.6316475338</v>
      </c>
      <c r="L74" s="22">
        <v>0.743</v>
      </c>
      <c r="M74" s="22">
        <v>0.289</v>
      </c>
      <c r="N74" s="22">
        <v>0.782</v>
      </c>
      <c r="O74" s="22">
        <v>0.897</v>
      </c>
      <c r="P74" s="22">
        <v>59.0</v>
      </c>
      <c r="Q74" s="22">
        <v>112.0</v>
      </c>
      <c r="R74" s="22">
        <v>46.0</v>
      </c>
      <c r="S74" s="22">
        <v>402.0</v>
      </c>
    </row>
    <row r="75">
      <c r="A75" s="23"/>
      <c r="B75" s="23"/>
      <c r="C75" s="23"/>
      <c r="D75" s="70"/>
      <c r="E75" s="22">
        <v>0.575</v>
      </c>
      <c r="F75" s="22">
        <v>0.723</v>
      </c>
      <c r="G75" s="22">
        <v>0.746</v>
      </c>
      <c r="H75" s="22">
        <v>0.694</v>
      </c>
      <c r="I75" s="60">
        <f t="shared" si="11"/>
        <v>0.2959641256</v>
      </c>
      <c r="J75" s="60">
        <f t="shared" si="12"/>
        <v>0.845320197</v>
      </c>
      <c r="K75" s="60">
        <f t="shared" si="13"/>
        <v>0.5706421613</v>
      </c>
      <c r="L75" s="22">
        <v>0.727</v>
      </c>
      <c r="M75" s="22">
        <v>0.243</v>
      </c>
      <c r="N75" s="22">
        <v>0.757</v>
      </c>
      <c r="O75" s="22">
        <v>0.958</v>
      </c>
      <c r="P75" s="22">
        <v>33.0</v>
      </c>
      <c r="Q75" s="22">
        <v>138.0</v>
      </c>
      <c r="R75" s="22">
        <v>19.0</v>
      </c>
      <c r="S75" s="22">
        <v>429.0</v>
      </c>
    </row>
    <row r="76">
      <c r="A76" s="23"/>
      <c r="B76" s="23"/>
      <c r="C76" s="23"/>
      <c r="D76" s="70"/>
      <c r="E76" s="22">
        <v>0.594</v>
      </c>
      <c r="F76" s="22">
        <v>0.701</v>
      </c>
      <c r="G76" s="22">
        <v>0.732</v>
      </c>
      <c r="H76" s="22">
        <v>0.703</v>
      </c>
      <c r="I76" s="60">
        <f t="shared" si="11"/>
        <v>0.3712121212</v>
      </c>
      <c r="J76" s="60">
        <f t="shared" si="12"/>
        <v>0.8295687885</v>
      </c>
      <c r="K76" s="60">
        <f t="shared" si="13"/>
        <v>0.6003904549</v>
      </c>
      <c r="L76" s="22">
        <v>0.733</v>
      </c>
      <c r="M76" s="22">
        <v>0.236</v>
      </c>
      <c r="N76" s="22">
        <v>0.768</v>
      </c>
      <c r="O76" s="22">
        <v>0.902</v>
      </c>
      <c r="P76" s="22">
        <v>49.0</v>
      </c>
      <c r="Q76" s="22">
        <v>122.0</v>
      </c>
      <c r="R76" s="22">
        <v>44.0</v>
      </c>
      <c r="S76" s="22">
        <v>404.0</v>
      </c>
    </row>
    <row r="77">
      <c r="A77" s="23"/>
      <c r="B77" s="23"/>
      <c r="C77" s="23"/>
      <c r="D77" s="70"/>
      <c r="E77" s="22">
        <v>0.626</v>
      </c>
      <c r="F77" s="22">
        <v>0.751</v>
      </c>
      <c r="G77" s="22">
        <v>0.767</v>
      </c>
      <c r="H77" s="22">
        <v>0.735</v>
      </c>
      <c r="I77" s="60">
        <f t="shared" si="11"/>
        <v>0.424</v>
      </c>
      <c r="J77" s="60">
        <f t="shared" si="12"/>
        <v>0.8542510121</v>
      </c>
      <c r="K77" s="60">
        <f t="shared" si="13"/>
        <v>0.6391255061</v>
      </c>
      <c r="L77" s="22">
        <v>0.753</v>
      </c>
      <c r="M77" s="22">
        <v>0.338</v>
      </c>
      <c r="N77" s="22">
        <v>0.781</v>
      </c>
      <c r="O77" s="22">
        <v>0.942</v>
      </c>
      <c r="P77" s="22">
        <v>53.0</v>
      </c>
      <c r="Q77" s="22">
        <v>118.0</v>
      </c>
      <c r="R77" s="22">
        <v>26.0</v>
      </c>
      <c r="S77" s="22">
        <v>422.0</v>
      </c>
    </row>
    <row r="78">
      <c r="A78" s="23"/>
      <c r="B78" s="23"/>
      <c r="C78" s="23"/>
      <c r="D78" s="70"/>
      <c r="E78" s="22">
        <v>0.583</v>
      </c>
      <c r="F78" s="22">
        <v>0.704</v>
      </c>
      <c r="G78" s="22">
        <v>0.737</v>
      </c>
      <c r="H78" s="22">
        <v>0.697</v>
      </c>
      <c r="I78" s="60">
        <f t="shared" si="11"/>
        <v>0.3346938776</v>
      </c>
      <c r="J78" s="60">
        <f t="shared" si="12"/>
        <v>0.8358509567</v>
      </c>
      <c r="K78" s="60">
        <f t="shared" si="13"/>
        <v>0.5852724171</v>
      </c>
      <c r="L78" s="22">
        <v>0.756</v>
      </c>
      <c r="M78" s="22">
        <v>0.229</v>
      </c>
      <c r="N78" s="22">
        <v>0.761</v>
      </c>
      <c r="O78" s="22">
        <v>0.926</v>
      </c>
      <c r="P78" s="22">
        <v>41.0</v>
      </c>
      <c r="Q78" s="22">
        <v>130.0</v>
      </c>
      <c r="R78" s="22">
        <v>33.0</v>
      </c>
      <c r="S78" s="22">
        <v>415.0</v>
      </c>
    </row>
    <row r="79">
      <c r="A79" s="23"/>
      <c r="B79" s="23"/>
      <c r="C79" s="23"/>
      <c r="D79" s="70"/>
      <c r="E79" s="22">
        <v>0.621</v>
      </c>
      <c r="F79" s="22">
        <v>0.73</v>
      </c>
      <c r="G79" s="22">
        <v>0.753</v>
      </c>
      <c r="H79" s="22">
        <v>0.727</v>
      </c>
      <c r="I79" s="60">
        <f t="shared" si="11"/>
        <v>0.4226415094</v>
      </c>
      <c r="J79" s="60">
        <f t="shared" si="12"/>
        <v>0.8427543679</v>
      </c>
      <c r="K79" s="60">
        <f t="shared" si="13"/>
        <v>0.6326979387</v>
      </c>
      <c r="L79" s="22">
        <v>0.736</v>
      </c>
      <c r="M79" s="22">
        <v>0.302</v>
      </c>
      <c r="N79" s="22">
        <v>0.781</v>
      </c>
      <c r="O79" s="22">
        <v>0.915</v>
      </c>
      <c r="P79" s="22">
        <v>56.0</v>
      </c>
      <c r="Q79" s="22">
        <v>115.0</v>
      </c>
      <c r="R79" s="22">
        <v>38.0</v>
      </c>
      <c r="S79" s="22">
        <v>410.0</v>
      </c>
    </row>
    <row r="80">
      <c r="A80" s="23"/>
      <c r="B80" s="23"/>
      <c r="C80" s="23"/>
      <c r="D80" s="11"/>
      <c r="E80" s="22">
        <v>0.62</v>
      </c>
      <c r="F80" s="22">
        <v>0.717</v>
      </c>
      <c r="G80" s="22">
        <v>0.74</v>
      </c>
      <c r="H80" s="22">
        <v>0.72</v>
      </c>
      <c r="I80" s="60">
        <f t="shared" si="11"/>
        <v>0.4270462633</v>
      </c>
      <c r="J80" s="60">
        <f t="shared" si="12"/>
        <v>0.8317659352</v>
      </c>
      <c r="K80" s="60">
        <f t="shared" si="13"/>
        <v>0.6294060993</v>
      </c>
      <c r="L80" s="22">
        <v>0.734</v>
      </c>
      <c r="M80" s="22">
        <v>0.28</v>
      </c>
      <c r="N80" s="22">
        <v>0.782</v>
      </c>
      <c r="O80" s="22">
        <v>0.888</v>
      </c>
      <c r="P80" s="22">
        <v>60.0</v>
      </c>
      <c r="Q80" s="22">
        <v>111.0</v>
      </c>
      <c r="R80" s="22">
        <v>50.0</v>
      </c>
      <c r="S80" s="22">
        <v>398.0</v>
      </c>
    </row>
    <row r="81">
      <c r="A81" s="23"/>
      <c r="B81" s="23"/>
      <c r="C81" s="23"/>
      <c r="D81" s="11"/>
      <c r="E81" s="22">
        <v>0.629</v>
      </c>
      <c r="F81" s="22">
        <v>0.719</v>
      </c>
      <c r="G81" s="22">
        <v>0.738</v>
      </c>
      <c r="H81" s="22">
        <v>0.724</v>
      </c>
      <c r="I81" s="60">
        <f t="shared" si="11"/>
        <v>0.4489795918</v>
      </c>
      <c r="J81" s="60">
        <f t="shared" si="12"/>
        <v>0.8283898305</v>
      </c>
      <c r="K81" s="60">
        <f t="shared" si="13"/>
        <v>0.6386847112</v>
      </c>
      <c r="L81" s="22">
        <v>0.729</v>
      </c>
      <c r="M81" s="22">
        <v>0.29</v>
      </c>
      <c r="N81" s="22">
        <v>0.788</v>
      </c>
      <c r="O81" s="22">
        <v>0.873</v>
      </c>
      <c r="P81" s="22">
        <v>66.0</v>
      </c>
      <c r="Q81" s="22">
        <v>105.0</v>
      </c>
      <c r="R81" s="22">
        <v>57.0</v>
      </c>
      <c r="S81" s="22">
        <v>391.0</v>
      </c>
    </row>
    <row r="82">
      <c r="A82" s="23"/>
      <c r="B82" s="23"/>
      <c r="C82" s="23"/>
      <c r="D82" s="11"/>
      <c r="E82" s="22">
        <v>0.606</v>
      </c>
      <c r="F82" s="22">
        <v>0.72</v>
      </c>
      <c r="G82" s="22">
        <v>0.746</v>
      </c>
      <c r="H82" s="22">
        <v>0.715</v>
      </c>
      <c r="I82" s="60">
        <f t="shared" si="11"/>
        <v>0.3891050584</v>
      </c>
      <c r="J82" s="60">
        <f t="shared" si="12"/>
        <v>0.8399592253</v>
      </c>
      <c r="K82" s="60">
        <f t="shared" si="13"/>
        <v>0.6145321418</v>
      </c>
      <c r="L82" s="22">
        <v>0.72</v>
      </c>
      <c r="M82" s="22">
        <v>0.274</v>
      </c>
      <c r="N82" s="22">
        <v>0.773</v>
      </c>
      <c r="O82" s="22">
        <v>0.92</v>
      </c>
      <c r="P82" s="22">
        <v>50.0</v>
      </c>
      <c r="Q82" s="22">
        <v>121.0</v>
      </c>
      <c r="R82" s="22">
        <v>36.0</v>
      </c>
      <c r="S82" s="22">
        <v>412.0</v>
      </c>
    </row>
    <row r="83">
      <c r="A83" s="23"/>
      <c r="B83" s="23"/>
      <c r="C83" s="23"/>
      <c r="D83" s="11"/>
      <c r="E83" s="22">
        <v>0.584</v>
      </c>
      <c r="F83" s="22">
        <v>0.731</v>
      </c>
      <c r="G83" s="22">
        <v>0.751</v>
      </c>
      <c r="H83" s="22">
        <v>0.702</v>
      </c>
      <c r="I83" s="60">
        <f t="shared" si="11"/>
        <v>0.3185840708</v>
      </c>
      <c r="J83" s="60">
        <f t="shared" si="12"/>
        <v>0.847826087</v>
      </c>
      <c r="K83" s="60">
        <f t="shared" si="13"/>
        <v>0.5832050789</v>
      </c>
      <c r="L83" s="22">
        <v>0.727</v>
      </c>
      <c r="M83" s="22">
        <v>0.264</v>
      </c>
      <c r="N83" s="22">
        <v>0.761</v>
      </c>
      <c r="O83" s="22">
        <v>0.958</v>
      </c>
      <c r="P83" s="22">
        <v>36.0</v>
      </c>
      <c r="Q83" s="22">
        <v>135.0</v>
      </c>
      <c r="R83" s="22">
        <v>19.0</v>
      </c>
      <c r="S83" s="22">
        <v>429.0</v>
      </c>
    </row>
    <row r="84">
      <c r="A84" s="23"/>
      <c r="B84" s="23"/>
      <c r="C84" s="23"/>
      <c r="D84" s="11"/>
      <c r="E84" s="22">
        <v>0.588</v>
      </c>
      <c r="F84" s="22">
        <v>0.73</v>
      </c>
      <c r="G84" s="22">
        <v>0.751</v>
      </c>
      <c r="H84" s="22">
        <v>0.704</v>
      </c>
      <c r="I84" s="60">
        <f t="shared" si="11"/>
        <v>0.3304347826</v>
      </c>
      <c r="J84" s="60">
        <f t="shared" si="12"/>
        <v>0.8472222222</v>
      </c>
      <c r="K84" s="60">
        <f t="shared" si="13"/>
        <v>0.5888285024</v>
      </c>
      <c r="L84" s="22">
        <v>0.781</v>
      </c>
      <c r="M84" s="22">
        <v>0.267</v>
      </c>
      <c r="N84" s="22">
        <v>0.762</v>
      </c>
      <c r="O84" s="22">
        <v>0.953</v>
      </c>
      <c r="P84" s="22">
        <v>38.0</v>
      </c>
      <c r="Q84" s="22">
        <v>133.0</v>
      </c>
      <c r="R84" s="22">
        <v>21.0</v>
      </c>
      <c r="S84" s="22">
        <v>427.0</v>
      </c>
    </row>
    <row r="85">
      <c r="A85" s="23"/>
      <c r="B85" s="23"/>
      <c r="C85" s="23"/>
      <c r="D85" s="11"/>
      <c r="E85" s="22">
        <v>0.625</v>
      </c>
      <c r="F85" s="22">
        <v>0.708</v>
      </c>
      <c r="G85" s="22">
        <v>0.724</v>
      </c>
      <c r="H85" s="22">
        <v>0.714</v>
      </c>
      <c r="I85" s="60">
        <f t="shared" si="11"/>
        <v>0.4466019417</v>
      </c>
      <c r="J85" s="60">
        <f t="shared" si="12"/>
        <v>0.8159311087</v>
      </c>
      <c r="K85" s="60">
        <f t="shared" si="13"/>
        <v>0.6312665252</v>
      </c>
      <c r="L85" s="22">
        <v>0.721</v>
      </c>
      <c r="M85" s="22">
        <v>0.268</v>
      </c>
      <c r="N85" s="22">
        <v>0.788</v>
      </c>
      <c r="O85" s="22">
        <v>0.846</v>
      </c>
      <c r="P85" s="22">
        <v>69.0</v>
      </c>
      <c r="Q85" s="22">
        <v>102.0</v>
      </c>
      <c r="R85" s="22">
        <v>69.0</v>
      </c>
      <c r="S85" s="22">
        <v>379.0</v>
      </c>
    </row>
    <row r="86">
      <c r="A86" s="23"/>
      <c r="B86" s="23"/>
      <c r="C86" s="23"/>
      <c r="D86" s="11"/>
      <c r="E86" s="22">
        <v>0.59</v>
      </c>
      <c r="F86" s="22">
        <v>0.693</v>
      </c>
      <c r="G86" s="22">
        <v>0.724</v>
      </c>
      <c r="H86" s="22">
        <v>0.698</v>
      </c>
      <c r="I86" s="60">
        <f t="shared" si="11"/>
        <v>0.36900369</v>
      </c>
      <c r="J86" s="60">
        <f t="shared" si="12"/>
        <v>0.8231644261</v>
      </c>
      <c r="K86" s="60">
        <f t="shared" si="13"/>
        <v>0.596084058</v>
      </c>
      <c r="L86" s="22">
        <v>0.644</v>
      </c>
      <c r="M86" s="22">
        <v>0.22</v>
      </c>
      <c r="N86" s="22">
        <v>0.767</v>
      </c>
      <c r="O86" s="22">
        <v>0.888</v>
      </c>
      <c r="P86" s="22">
        <v>50.0</v>
      </c>
      <c r="Q86" s="22">
        <v>121.0</v>
      </c>
      <c r="R86" s="22">
        <v>50.0</v>
      </c>
      <c r="S86" s="22">
        <v>398.0</v>
      </c>
    </row>
    <row r="87">
      <c r="A87" s="23"/>
      <c r="B87" s="23"/>
      <c r="C87" s="23"/>
      <c r="D87" s="11"/>
      <c r="E87" s="22">
        <v>0.584</v>
      </c>
      <c r="F87" s="22">
        <v>0.714</v>
      </c>
      <c r="G87" s="22">
        <v>0.743</v>
      </c>
      <c r="H87" s="22">
        <v>0.7</v>
      </c>
      <c r="I87" s="60">
        <f t="shared" si="11"/>
        <v>0.3291139241</v>
      </c>
      <c r="J87" s="60">
        <f t="shared" si="12"/>
        <v>0.8411588412</v>
      </c>
      <c r="K87" s="60">
        <f t="shared" si="13"/>
        <v>0.5851363826</v>
      </c>
      <c r="L87" s="22">
        <v>0.72</v>
      </c>
      <c r="M87" s="22">
        <v>0.243</v>
      </c>
      <c r="N87" s="22">
        <v>0.761</v>
      </c>
      <c r="O87" s="22">
        <v>0.94</v>
      </c>
      <c r="P87" s="22">
        <v>39.0</v>
      </c>
      <c r="Q87" s="22">
        <v>132.0</v>
      </c>
      <c r="R87" s="22">
        <v>27.0</v>
      </c>
      <c r="S87" s="22">
        <v>421.0</v>
      </c>
    </row>
    <row r="88">
      <c r="A88" s="23"/>
      <c r="B88" s="23"/>
      <c r="C88" s="23"/>
      <c r="D88" s="11"/>
      <c r="E88" s="22">
        <v>0.573</v>
      </c>
      <c r="F88" s="22">
        <v>0.709</v>
      </c>
      <c r="G88" s="22">
        <v>0.74</v>
      </c>
      <c r="H88" s="22">
        <v>0.69</v>
      </c>
      <c r="I88" s="60">
        <f t="shared" si="11"/>
        <v>0.2969432314</v>
      </c>
      <c r="J88" s="60">
        <f t="shared" si="12"/>
        <v>0.8404360753</v>
      </c>
      <c r="K88" s="60">
        <f t="shared" si="13"/>
        <v>0.5686896534</v>
      </c>
      <c r="L88" s="22">
        <v>0.735</v>
      </c>
      <c r="M88" s="22">
        <v>0.223</v>
      </c>
      <c r="N88" s="22">
        <v>0.756</v>
      </c>
      <c r="O88" s="22">
        <v>0.946</v>
      </c>
      <c r="P88" s="22">
        <v>34.0</v>
      </c>
      <c r="Q88" s="22">
        <v>137.0</v>
      </c>
      <c r="R88" s="22">
        <v>24.0</v>
      </c>
      <c r="S88" s="22">
        <v>424.0</v>
      </c>
    </row>
    <row r="89">
      <c r="A89" s="23"/>
      <c r="B89" s="23"/>
      <c r="C89" s="23"/>
      <c r="D89" s="11"/>
      <c r="E89" s="22">
        <v>0.596</v>
      </c>
      <c r="F89" s="22">
        <v>0.707</v>
      </c>
      <c r="G89" s="22">
        <v>0.737</v>
      </c>
      <c r="H89" s="22">
        <v>0.706</v>
      </c>
      <c r="I89" s="60">
        <f t="shared" si="11"/>
        <v>0.3706563707</v>
      </c>
      <c r="J89" s="60">
        <f t="shared" si="12"/>
        <v>0.8335035751</v>
      </c>
      <c r="K89" s="60">
        <f t="shared" si="13"/>
        <v>0.6020799729</v>
      </c>
      <c r="L89" s="22">
        <v>0.705</v>
      </c>
      <c r="M89" s="22">
        <v>0.245</v>
      </c>
      <c r="N89" s="22">
        <v>0.768</v>
      </c>
      <c r="O89" s="22">
        <v>0.911</v>
      </c>
      <c r="P89" s="22">
        <v>48.0</v>
      </c>
      <c r="Q89" s="22">
        <v>123.0</v>
      </c>
      <c r="R89" s="22">
        <v>40.0</v>
      </c>
      <c r="S89" s="22">
        <v>408.0</v>
      </c>
    </row>
    <row r="90">
      <c r="A90" s="23"/>
      <c r="B90" s="23"/>
      <c r="C90" s="23"/>
      <c r="D90" s="11"/>
      <c r="E90" s="22">
        <v>0.626</v>
      </c>
      <c r="F90" s="22">
        <v>0.732</v>
      </c>
      <c r="G90" s="22">
        <v>0.754</v>
      </c>
      <c r="H90" s="22">
        <v>0.73</v>
      </c>
      <c r="I90" s="60">
        <f t="shared" si="11"/>
        <v>0.4328358209</v>
      </c>
      <c r="J90" s="60">
        <f t="shared" si="12"/>
        <v>0.8432989691</v>
      </c>
      <c r="K90" s="60">
        <f t="shared" si="13"/>
        <v>0.638067395</v>
      </c>
      <c r="L90" s="22">
        <v>0.714</v>
      </c>
      <c r="M90" s="22">
        <v>0.31</v>
      </c>
      <c r="N90" s="22">
        <v>0.784</v>
      </c>
      <c r="O90" s="22">
        <v>0.913</v>
      </c>
      <c r="P90" s="22">
        <v>58.0</v>
      </c>
      <c r="Q90" s="22">
        <v>113.0</v>
      </c>
      <c r="R90" s="22">
        <v>39.0</v>
      </c>
      <c r="S90" s="22">
        <v>409.0</v>
      </c>
    </row>
    <row r="91">
      <c r="A91" s="23"/>
      <c r="B91" s="23"/>
      <c r="C91" s="23"/>
      <c r="D91" s="11"/>
      <c r="E91" s="22">
        <v>0.654</v>
      </c>
      <c r="F91" s="22">
        <v>0.718</v>
      </c>
      <c r="G91" s="22">
        <v>0.659</v>
      </c>
      <c r="H91" s="22">
        <v>0.676</v>
      </c>
      <c r="I91" s="60">
        <f t="shared" si="11"/>
        <v>0.5104408353</v>
      </c>
      <c r="J91" s="60">
        <f t="shared" si="12"/>
        <v>0.7385377943</v>
      </c>
      <c r="K91" s="60">
        <f t="shared" si="13"/>
        <v>0.6244893148</v>
      </c>
      <c r="L91" s="22">
        <v>0.68</v>
      </c>
      <c r="M91" s="22">
        <v>0.279</v>
      </c>
      <c r="N91" s="22">
        <v>0.83</v>
      </c>
      <c r="O91" s="22">
        <v>0.665</v>
      </c>
      <c r="P91" s="22">
        <v>110.0</v>
      </c>
      <c r="Q91" s="22">
        <v>61.0</v>
      </c>
      <c r="R91" s="22">
        <v>150.0</v>
      </c>
      <c r="S91" s="22">
        <v>298.0</v>
      </c>
    </row>
    <row r="92">
      <c r="A92" s="23"/>
      <c r="B92" s="23"/>
      <c r="C92" s="23"/>
      <c r="D92" s="11"/>
      <c r="E92" s="22">
        <v>0.579</v>
      </c>
      <c r="F92" s="22">
        <v>0.722</v>
      </c>
      <c r="G92" s="22">
        <v>0.746</v>
      </c>
      <c r="H92" s="22">
        <v>0.697</v>
      </c>
      <c r="I92" s="60">
        <f t="shared" si="11"/>
        <v>0.3083700441</v>
      </c>
      <c r="J92" s="60">
        <f t="shared" si="12"/>
        <v>0.8447082097</v>
      </c>
      <c r="K92" s="60">
        <f t="shared" si="13"/>
        <v>0.5765391269</v>
      </c>
      <c r="L92" s="22">
        <v>0.727</v>
      </c>
      <c r="M92" s="22">
        <v>0.246</v>
      </c>
      <c r="N92" s="22">
        <v>0.758</v>
      </c>
      <c r="O92" s="22">
        <v>0.953</v>
      </c>
      <c r="P92" s="22">
        <v>35.0</v>
      </c>
      <c r="Q92" s="22">
        <v>136.0</v>
      </c>
      <c r="R92" s="22">
        <v>21.0</v>
      </c>
      <c r="S92" s="22">
        <v>427.0</v>
      </c>
    </row>
    <row r="93">
      <c r="A93" s="23"/>
      <c r="B93" s="23"/>
      <c r="C93" s="23"/>
      <c r="D93" s="11"/>
      <c r="E93" s="22">
        <v>0.582</v>
      </c>
      <c r="F93" s="22">
        <v>0.702</v>
      </c>
      <c r="G93" s="22">
        <v>0.735</v>
      </c>
      <c r="H93" s="22">
        <v>0.696</v>
      </c>
      <c r="I93" s="60">
        <f t="shared" si="11"/>
        <v>0.3333333333</v>
      </c>
      <c r="J93" s="60">
        <f t="shared" si="12"/>
        <v>0.8346774194</v>
      </c>
      <c r="K93" s="60">
        <f t="shared" si="13"/>
        <v>0.5840053763</v>
      </c>
      <c r="L93" s="22">
        <v>0.736</v>
      </c>
      <c r="M93" s="22">
        <v>0.225</v>
      </c>
      <c r="N93" s="22">
        <v>0.761</v>
      </c>
      <c r="O93" s="22">
        <v>0.924</v>
      </c>
      <c r="P93" s="22">
        <v>41.0</v>
      </c>
      <c r="Q93" s="22">
        <v>130.0</v>
      </c>
      <c r="R93" s="22">
        <v>34.0</v>
      </c>
      <c r="S93" s="22">
        <v>414.0</v>
      </c>
    </row>
    <row r="94">
      <c r="A94" s="23"/>
      <c r="B94" s="23"/>
      <c r="C94" s="23"/>
      <c r="D94" s="11"/>
      <c r="E94" s="22">
        <v>0.624</v>
      </c>
      <c r="F94" s="22">
        <v>0.734</v>
      </c>
      <c r="G94" s="22">
        <v>0.756</v>
      </c>
      <c r="H94" s="22">
        <v>0.729</v>
      </c>
      <c r="I94" s="60">
        <f t="shared" si="11"/>
        <v>0.4258555133</v>
      </c>
      <c r="J94" s="60">
        <f t="shared" si="12"/>
        <v>0.8451282051</v>
      </c>
      <c r="K94" s="60">
        <f t="shared" si="13"/>
        <v>0.6354918592</v>
      </c>
      <c r="L94" s="22">
        <v>0.728</v>
      </c>
      <c r="M94" s="22">
        <v>0.311</v>
      </c>
      <c r="N94" s="22">
        <v>0.782</v>
      </c>
      <c r="O94" s="22">
        <v>0.92</v>
      </c>
      <c r="P94" s="22">
        <v>56.0</v>
      </c>
      <c r="Q94" s="22">
        <v>115.0</v>
      </c>
      <c r="R94" s="22">
        <v>36.0</v>
      </c>
      <c r="S94" s="22">
        <v>412.0</v>
      </c>
    </row>
    <row r="95">
      <c r="A95" s="23"/>
      <c r="B95" s="23"/>
      <c r="C95" s="23"/>
      <c r="D95" s="11"/>
      <c r="E95" s="22">
        <v>0.598</v>
      </c>
      <c r="F95" s="22">
        <v>0.707</v>
      </c>
      <c r="G95" s="22">
        <v>0.737</v>
      </c>
      <c r="H95" s="22">
        <v>0.707</v>
      </c>
      <c r="I95" s="60">
        <f t="shared" si="11"/>
        <v>0.3754789272</v>
      </c>
      <c r="J95" s="60">
        <f t="shared" si="12"/>
        <v>0.8331627431</v>
      </c>
      <c r="K95" s="60">
        <f t="shared" si="13"/>
        <v>0.6043208351</v>
      </c>
      <c r="L95" s="22">
        <v>0.674</v>
      </c>
      <c r="M95" s="22">
        <v>0.247</v>
      </c>
      <c r="N95" s="22">
        <v>0.769</v>
      </c>
      <c r="O95" s="22">
        <v>0.908</v>
      </c>
      <c r="P95" s="22">
        <v>49.0</v>
      </c>
      <c r="Q95" s="22">
        <v>122.0</v>
      </c>
      <c r="R95" s="22">
        <v>41.0</v>
      </c>
      <c r="S95" s="22">
        <v>407.0</v>
      </c>
    </row>
    <row r="96">
      <c r="A96" s="23"/>
      <c r="B96" s="23"/>
      <c r="C96" s="23"/>
      <c r="D96" s="11"/>
      <c r="E96" s="22">
        <v>0.652</v>
      </c>
      <c r="F96" s="22">
        <v>0.743</v>
      </c>
      <c r="G96" s="22">
        <v>0.761</v>
      </c>
      <c r="H96" s="22">
        <v>0.745</v>
      </c>
      <c r="I96" s="60">
        <f t="shared" si="11"/>
        <v>0.4861111111</v>
      </c>
      <c r="J96" s="60">
        <f t="shared" si="12"/>
        <v>0.8442105263</v>
      </c>
      <c r="K96" s="60">
        <f t="shared" si="13"/>
        <v>0.6651608187</v>
      </c>
      <c r="L96" s="22">
        <v>0.715</v>
      </c>
      <c r="M96" s="22">
        <v>0.348</v>
      </c>
      <c r="N96" s="22">
        <v>0.799</v>
      </c>
      <c r="O96" s="22">
        <v>0.895</v>
      </c>
      <c r="P96" s="22">
        <v>70.0</v>
      </c>
      <c r="Q96" s="22">
        <v>101.0</v>
      </c>
      <c r="R96" s="22">
        <v>47.0</v>
      </c>
      <c r="S96" s="22">
        <v>401.0</v>
      </c>
    </row>
    <row r="97">
      <c r="A97" s="23"/>
      <c r="B97" s="23"/>
      <c r="C97" s="23"/>
      <c r="D97" s="11"/>
      <c r="E97" s="22">
        <v>0.629</v>
      </c>
      <c r="F97" s="22">
        <v>0.726</v>
      </c>
      <c r="G97" s="22">
        <v>0.748</v>
      </c>
      <c r="H97" s="22">
        <v>0.728</v>
      </c>
      <c r="I97" s="60">
        <f t="shared" si="11"/>
        <v>0.4428571429</v>
      </c>
      <c r="J97" s="60">
        <f t="shared" si="12"/>
        <v>0.8371607516</v>
      </c>
      <c r="K97" s="60">
        <f t="shared" si="13"/>
        <v>0.6400089472</v>
      </c>
      <c r="L97" s="22">
        <v>0.734</v>
      </c>
      <c r="M97" s="22">
        <v>0.302</v>
      </c>
      <c r="N97" s="22">
        <v>0.786</v>
      </c>
      <c r="O97" s="22">
        <v>0.895</v>
      </c>
      <c r="P97" s="22">
        <v>62.0</v>
      </c>
      <c r="Q97" s="22">
        <v>109.0</v>
      </c>
      <c r="R97" s="22">
        <v>47.0</v>
      </c>
      <c r="S97" s="22">
        <v>401.0</v>
      </c>
    </row>
    <row r="98">
      <c r="A98" s="23"/>
      <c r="B98" s="23"/>
      <c r="C98" s="23"/>
      <c r="D98" s="11"/>
      <c r="E98" s="22">
        <v>0.607</v>
      </c>
      <c r="F98" s="22">
        <v>0.744</v>
      </c>
      <c r="G98" s="22">
        <v>0.761</v>
      </c>
      <c r="H98" s="22">
        <v>0.721</v>
      </c>
      <c r="I98" s="60">
        <f t="shared" si="11"/>
        <v>0.3781512605</v>
      </c>
      <c r="J98" s="60">
        <f t="shared" si="12"/>
        <v>0.852</v>
      </c>
      <c r="K98" s="60">
        <f t="shared" si="13"/>
        <v>0.6150756303</v>
      </c>
      <c r="L98" s="22">
        <v>0.727</v>
      </c>
      <c r="M98" s="22">
        <v>0.308</v>
      </c>
      <c r="N98" s="22">
        <v>0.772</v>
      </c>
      <c r="O98" s="22">
        <v>0.951</v>
      </c>
      <c r="P98" s="22">
        <v>45.0</v>
      </c>
      <c r="Q98" s="22">
        <v>126.0</v>
      </c>
      <c r="R98" s="22">
        <v>22.0</v>
      </c>
      <c r="S98" s="22">
        <v>426.0</v>
      </c>
    </row>
    <row r="99">
      <c r="A99" s="23"/>
      <c r="B99" s="23"/>
      <c r="C99" s="23"/>
      <c r="D99" s="11"/>
      <c r="E99" s="22">
        <v>0.614</v>
      </c>
      <c r="F99" s="22">
        <v>0.716</v>
      </c>
      <c r="G99" s="22">
        <v>0.742</v>
      </c>
      <c r="H99" s="22">
        <v>0.718</v>
      </c>
      <c r="I99" s="60">
        <f t="shared" si="11"/>
        <v>0.4117647059</v>
      </c>
      <c r="J99" s="60">
        <f t="shared" si="12"/>
        <v>0.83436853</v>
      </c>
      <c r="K99" s="60">
        <f t="shared" si="13"/>
        <v>0.623066618</v>
      </c>
      <c r="L99" s="22">
        <v>0.741</v>
      </c>
      <c r="M99" s="22">
        <v>0.275</v>
      </c>
      <c r="N99" s="22">
        <v>0.778</v>
      </c>
      <c r="O99" s="22">
        <v>0.9</v>
      </c>
      <c r="P99" s="22">
        <v>56.0</v>
      </c>
      <c r="Q99" s="22">
        <v>115.0</v>
      </c>
      <c r="R99" s="22">
        <v>45.0</v>
      </c>
      <c r="S99" s="22">
        <v>403.0</v>
      </c>
    </row>
    <row r="100">
      <c r="A100" s="23"/>
      <c r="B100" s="23"/>
      <c r="C100" s="23"/>
      <c r="D100" s="71" t="s">
        <v>23</v>
      </c>
      <c r="E100" s="22">
        <v>0.607</v>
      </c>
      <c r="F100" s="22">
        <v>0.719</v>
      </c>
      <c r="G100" s="22">
        <v>0.74</v>
      </c>
      <c r="H100" s="22">
        <v>0.711</v>
      </c>
      <c r="I100" s="60">
        <f t="shared" ref="I100:K100" si="14">MEDIAN(I70:I99)</f>
        <v>0.3967997202</v>
      </c>
      <c r="J100" s="60">
        <f t="shared" si="14"/>
        <v>0.8367060194</v>
      </c>
      <c r="K100" s="60">
        <f t="shared" si="14"/>
        <v>0.6153321199</v>
      </c>
      <c r="L100" s="22">
        <v>0.723</v>
      </c>
      <c r="M100" s="22">
        <v>0.271</v>
      </c>
      <c r="N100" s="22">
        <v>0.775</v>
      </c>
      <c r="O100" s="22">
        <v>0.905</v>
      </c>
      <c r="P100" s="22">
        <v>52.8</v>
      </c>
      <c r="Q100" s="22">
        <v>118.2</v>
      </c>
      <c r="R100" s="22">
        <v>42.533</v>
      </c>
      <c r="S100" s="22">
        <v>405.467</v>
      </c>
    </row>
    <row r="101">
      <c r="A101" s="72"/>
      <c r="B101" s="72"/>
      <c r="C101" s="72"/>
      <c r="D101" s="73" t="s">
        <v>232</v>
      </c>
      <c r="E101" s="22">
        <v>0.022</v>
      </c>
      <c r="F101" s="22">
        <v>0.014</v>
      </c>
      <c r="G101" s="22">
        <v>0.02</v>
      </c>
      <c r="H101" s="22">
        <v>0.015</v>
      </c>
      <c r="I101" s="60">
        <f t="shared" ref="I101:K101" si="15">_xlfn.STDEV.P(I70:I99)</f>
        <v>0.05623835877</v>
      </c>
      <c r="J101" s="60">
        <f t="shared" si="15"/>
        <v>0.02086777203</v>
      </c>
      <c r="K101" s="60">
        <f t="shared" si="15"/>
        <v>0.02470575707</v>
      </c>
      <c r="L101" s="22">
        <v>0.026</v>
      </c>
      <c r="M101" s="22">
        <v>0.033</v>
      </c>
      <c r="N101" s="22">
        <v>0.015</v>
      </c>
      <c r="O101" s="22">
        <v>0.056</v>
      </c>
      <c r="P101" s="22">
        <v>15.346</v>
      </c>
      <c r="Q101" s="22">
        <v>15.346</v>
      </c>
      <c r="R101" s="22">
        <v>24.924</v>
      </c>
      <c r="S101" s="22">
        <v>24.924</v>
      </c>
    </row>
    <row r="102">
      <c r="I102" s="60"/>
      <c r="J102" s="60"/>
      <c r="K102" s="60"/>
    </row>
    <row r="103">
      <c r="A103" s="77" t="s">
        <v>235</v>
      </c>
      <c r="B103" s="78" t="s">
        <v>231</v>
      </c>
      <c r="C103" s="81" t="s">
        <v>236</v>
      </c>
      <c r="D103" s="79"/>
      <c r="E103" s="32">
        <v>0.626</v>
      </c>
      <c r="F103" s="32">
        <v>0.706</v>
      </c>
      <c r="G103" s="32">
        <v>0.717</v>
      </c>
      <c r="H103" s="32">
        <v>0.711</v>
      </c>
      <c r="I103" s="60">
        <f t="shared" ref="I103:I132" si="16">(2*P103)/((2*P103) + Q103 + R103)</f>
        <v>0.4514106583</v>
      </c>
      <c r="J103" s="60">
        <f t="shared" ref="J103:J132" si="17">(2*S103)/((2*S103) + Q103 + R103)</f>
        <v>0.8095756257</v>
      </c>
      <c r="K103" s="60">
        <f t="shared" ref="K103:K132" si="18"> MEDIAN(I103,J103)</f>
        <v>0.630493142</v>
      </c>
      <c r="L103" s="32">
        <v>0.719</v>
      </c>
      <c r="M103" s="32">
        <v>0.264</v>
      </c>
      <c r="N103" s="32">
        <v>0.79</v>
      </c>
      <c r="O103" s="32">
        <v>0.83</v>
      </c>
      <c r="P103" s="32">
        <v>72.0</v>
      </c>
      <c r="Q103" s="32">
        <v>99.0</v>
      </c>
      <c r="R103" s="22">
        <v>76.0</v>
      </c>
      <c r="S103" s="32">
        <v>372.0</v>
      </c>
    </row>
    <row r="104">
      <c r="A104" s="23"/>
      <c r="B104" s="23"/>
      <c r="C104" s="23"/>
      <c r="D104" s="69"/>
      <c r="E104" s="22">
        <v>0.583</v>
      </c>
      <c r="F104" s="32">
        <v>0.736</v>
      </c>
      <c r="G104" s="22">
        <v>0.753</v>
      </c>
      <c r="H104" s="22">
        <v>0.701</v>
      </c>
      <c r="I104" s="60">
        <f t="shared" si="16"/>
        <v>0.3139013453</v>
      </c>
      <c r="J104" s="60">
        <f t="shared" si="17"/>
        <v>0.8492610837</v>
      </c>
      <c r="K104" s="60">
        <f t="shared" si="18"/>
        <v>0.5815812145</v>
      </c>
      <c r="L104" s="22">
        <v>0.765</v>
      </c>
      <c r="M104" s="22">
        <v>0.269</v>
      </c>
      <c r="N104" s="22">
        <v>0.76</v>
      </c>
      <c r="O104" s="32">
        <v>0.962</v>
      </c>
      <c r="P104" s="22">
        <v>35.0</v>
      </c>
      <c r="Q104" s="22">
        <v>136.0</v>
      </c>
      <c r="R104" s="22">
        <v>17.0</v>
      </c>
      <c r="S104" s="22">
        <v>431.0</v>
      </c>
    </row>
    <row r="105">
      <c r="A105" s="23"/>
      <c r="B105" s="23"/>
      <c r="C105" s="23"/>
      <c r="D105" s="70"/>
      <c r="E105" s="22">
        <v>0.613</v>
      </c>
      <c r="F105" s="22">
        <v>0.721</v>
      </c>
      <c r="G105" s="22">
        <v>0.746</v>
      </c>
      <c r="H105" s="22">
        <v>0.72</v>
      </c>
      <c r="I105" s="60">
        <f t="shared" si="16"/>
        <v>0.4075471698</v>
      </c>
      <c r="J105" s="60">
        <f t="shared" si="17"/>
        <v>0.838643371</v>
      </c>
      <c r="K105" s="60">
        <f t="shared" si="18"/>
        <v>0.6230952704</v>
      </c>
      <c r="L105" s="22">
        <v>0.757</v>
      </c>
      <c r="M105" s="22">
        <v>0.282</v>
      </c>
      <c r="N105" s="22">
        <v>0.777</v>
      </c>
      <c r="O105" s="22">
        <v>0.911</v>
      </c>
      <c r="P105" s="22">
        <v>54.0</v>
      </c>
      <c r="Q105" s="22">
        <v>117.0</v>
      </c>
      <c r="R105" s="22">
        <v>40.0</v>
      </c>
      <c r="S105" s="22">
        <v>408.0</v>
      </c>
    </row>
    <row r="106">
      <c r="A106" s="23"/>
      <c r="B106" s="23"/>
      <c r="C106" s="23"/>
      <c r="D106" s="70"/>
      <c r="E106" s="22">
        <v>0.598</v>
      </c>
      <c r="F106" s="22">
        <v>0.703</v>
      </c>
      <c r="G106" s="22">
        <v>0.732</v>
      </c>
      <c r="H106" s="22">
        <v>0.705</v>
      </c>
      <c r="I106" s="60">
        <f t="shared" si="16"/>
        <v>0.3805970149</v>
      </c>
      <c r="J106" s="60">
        <f t="shared" si="17"/>
        <v>0.8288659794</v>
      </c>
      <c r="K106" s="60">
        <f t="shared" si="18"/>
        <v>0.6047314972</v>
      </c>
      <c r="L106" s="22">
        <v>0.724</v>
      </c>
      <c r="M106" s="22">
        <v>0.241</v>
      </c>
      <c r="N106" s="22">
        <v>0.77</v>
      </c>
      <c r="O106" s="22">
        <v>0.897</v>
      </c>
      <c r="P106" s="22">
        <v>51.0</v>
      </c>
      <c r="Q106" s="22">
        <v>120.0</v>
      </c>
      <c r="R106" s="22">
        <v>46.0</v>
      </c>
      <c r="S106" s="22">
        <v>402.0</v>
      </c>
    </row>
    <row r="107">
      <c r="A107" s="23"/>
      <c r="B107" s="23"/>
      <c r="C107" s="23"/>
      <c r="D107" s="70"/>
      <c r="E107" s="22">
        <v>0.617</v>
      </c>
      <c r="F107" s="22">
        <v>0.739</v>
      </c>
      <c r="G107" s="22">
        <v>0.759</v>
      </c>
      <c r="H107" s="22">
        <v>0.727</v>
      </c>
      <c r="I107" s="60">
        <f t="shared" si="16"/>
        <v>0.406374502</v>
      </c>
      <c r="J107" s="60">
        <f t="shared" si="17"/>
        <v>0.8490374873</v>
      </c>
      <c r="K107" s="60">
        <f t="shared" si="18"/>
        <v>0.6277059947</v>
      </c>
      <c r="L107" s="22">
        <v>0.752</v>
      </c>
      <c r="M107" s="22">
        <v>0.311</v>
      </c>
      <c r="N107" s="22">
        <v>0.777</v>
      </c>
      <c r="O107" s="22">
        <v>0.935</v>
      </c>
      <c r="P107" s="22">
        <v>51.0</v>
      </c>
      <c r="Q107" s="22">
        <v>120.0</v>
      </c>
      <c r="R107" s="22">
        <v>29.0</v>
      </c>
      <c r="S107" s="22">
        <v>419.0</v>
      </c>
    </row>
    <row r="108">
      <c r="A108" s="23"/>
      <c r="B108" s="23"/>
      <c r="C108" s="23"/>
      <c r="D108" s="70"/>
      <c r="E108" s="22">
        <v>0.624</v>
      </c>
      <c r="F108" s="22">
        <v>0.717</v>
      </c>
      <c r="G108" s="22">
        <v>0.738</v>
      </c>
      <c r="H108" s="22">
        <v>0.721</v>
      </c>
      <c r="I108" s="60">
        <f t="shared" si="16"/>
        <v>0.4375</v>
      </c>
      <c r="J108" s="60">
        <f t="shared" si="17"/>
        <v>0.8294736842</v>
      </c>
      <c r="K108" s="60">
        <f t="shared" si="18"/>
        <v>0.6334868421</v>
      </c>
      <c r="L108" s="22">
        <v>0.758</v>
      </c>
      <c r="M108" s="22">
        <v>0.283</v>
      </c>
      <c r="N108" s="22">
        <v>0.785</v>
      </c>
      <c r="O108" s="22">
        <v>0.879</v>
      </c>
      <c r="P108" s="22">
        <v>63.0</v>
      </c>
      <c r="Q108" s="22">
        <v>108.0</v>
      </c>
      <c r="R108" s="22">
        <v>54.0</v>
      </c>
      <c r="S108" s="22">
        <v>394.0</v>
      </c>
    </row>
    <row r="109">
      <c r="A109" s="23"/>
      <c r="B109" s="23"/>
      <c r="C109" s="23"/>
      <c r="D109" s="70"/>
      <c r="E109" s="22">
        <v>0.614</v>
      </c>
      <c r="F109" s="22">
        <v>0.712</v>
      </c>
      <c r="G109" s="22">
        <v>0.737</v>
      </c>
      <c r="H109" s="22">
        <v>0.716</v>
      </c>
      <c r="I109" s="60">
        <f t="shared" si="16"/>
        <v>0.4157706093</v>
      </c>
      <c r="J109" s="60">
        <f t="shared" si="17"/>
        <v>0.8300312826</v>
      </c>
      <c r="K109" s="60">
        <f t="shared" si="18"/>
        <v>0.622900946</v>
      </c>
      <c r="L109" s="22">
        <v>0.736</v>
      </c>
      <c r="M109" s="22">
        <v>0.268</v>
      </c>
      <c r="N109" s="22">
        <v>0.779</v>
      </c>
      <c r="O109" s="22">
        <v>0.888</v>
      </c>
      <c r="P109" s="22">
        <v>58.0</v>
      </c>
      <c r="Q109" s="22">
        <v>113.0</v>
      </c>
      <c r="R109" s="22">
        <v>50.0</v>
      </c>
      <c r="S109" s="22">
        <v>398.0</v>
      </c>
    </row>
    <row r="110">
      <c r="A110" s="23"/>
      <c r="B110" s="23"/>
      <c r="C110" s="23"/>
      <c r="D110" s="70"/>
      <c r="E110" s="22">
        <v>0.624</v>
      </c>
      <c r="F110" s="22">
        <v>0.717</v>
      </c>
      <c r="G110" s="22">
        <v>0.738</v>
      </c>
      <c r="H110" s="22">
        <v>0.721</v>
      </c>
      <c r="I110" s="60">
        <f t="shared" si="16"/>
        <v>0.4375</v>
      </c>
      <c r="J110" s="60">
        <f t="shared" si="17"/>
        <v>0.8294736842</v>
      </c>
      <c r="K110" s="60">
        <f t="shared" si="18"/>
        <v>0.6334868421</v>
      </c>
      <c r="L110" s="22">
        <v>0.733</v>
      </c>
      <c r="M110" s="22">
        <v>0.283</v>
      </c>
      <c r="N110" s="22">
        <v>0.785</v>
      </c>
      <c r="O110" s="22">
        <v>0.879</v>
      </c>
      <c r="P110" s="22">
        <v>63.0</v>
      </c>
      <c r="Q110" s="22">
        <v>108.0</v>
      </c>
      <c r="R110" s="22">
        <v>54.0</v>
      </c>
      <c r="S110" s="22">
        <v>394.0</v>
      </c>
    </row>
    <row r="111">
      <c r="A111" s="23"/>
      <c r="B111" s="23"/>
      <c r="C111" s="23"/>
      <c r="D111" s="70"/>
      <c r="E111" s="22">
        <v>0.579</v>
      </c>
      <c r="F111" s="22">
        <v>0.677</v>
      </c>
      <c r="G111" s="22">
        <v>0.708</v>
      </c>
      <c r="H111" s="22">
        <v>0.685</v>
      </c>
      <c r="I111" s="60">
        <f t="shared" si="16"/>
        <v>0.3558718861</v>
      </c>
      <c r="J111" s="60">
        <f t="shared" si="17"/>
        <v>0.8108672936</v>
      </c>
      <c r="K111" s="60">
        <f t="shared" si="18"/>
        <v>0.5833695899</v>
      </c>
      <c r="L111" s="22">
        <v>0.718</v>
      </c>
      <c r="M111" s="22">
        <v>0.185</v>
      </c>
      <c r="N111" s="22">
        <v>0.762</v>
      </c>
      <c r="O111" s="22">
        <v>0.866</v>
      </c>
      <c r="P111" s="22">
        <v>50.0</v>
      </c>
      <c r="Q111" s="22">
        <v>121.0</v>
      </c>
      <c r="R111" s="22">
        <v>60.0</v>
      </c>
      <c r="S111" s="22">
        <v>388.0</v>
      </c>
    </row>
    <row r="112">
      <c r="A112" s="23"/>
      <c r="B112" s="23"/>
      <c r="C112" s="23"/>
      <c r="D112" s="70"/>
      <c r="E112" s="22">
        <v>0.606</v>
      </c>
      <c r="F112" s="22">
        <v>0.72</v>
      </c>
      <c r="G112" s="22">
        <v>0.746</v>
      </c>
      <c r="H112" s="22">
        <v>0.715</v>
      </c>
      <c r="I112" s="60">
        <f t="shared" si="16"/>
        <v>0.3891050584</v>
      </c>
      <c r="J112" s="60">
        <f t="shared" si="17"/>
        <v>0.8399592253</v>
      </c>
      <c r="K112" s="60">
        <f t="shared" si="18"/>
        <v>0.6145321418</v>
      </c>
      <c r="L112" s="22">
        <v>0.739</v>
      </c>
      <c r="M112" s="22">
        <v>0.274</v>
      </c>
      <c r="N112" s="22">
        <v>0.773</v>
      </c>
      <c r="O112" s="22">
        <v>0.92</v>
      </c>
      <c r="P112" s="22">
        <v>50.0</v>
      </c>
      <c r="Q112" s="22">
        <v>121.0</v>
      </c>
      <c r="R112" s="22">
        <v>36.0</v>
      </c>
      <c r="S112" s="22">
        <v>412.0</v>
      </c>
    </row>
    <row r="113">
      <c r="A113" s="23"/>
      <c r="B113" s="23"/>
      <c r="C113" s="23"/>
      <c r="D113" s="11"/>
      <c r="E113" s="22">
        <v>0.624</v>
      </c>
      <c r="F113" s="22">
        <v>0.719</v>
      </c>
      <c r="G113" s="22">
        <v>0.742</v>
      </c>
      <c r="H113" s="22">
        <v>0.723</v>
      </c>
      <c r="I113" s="60">
        <f t="shared" si="16"/>
        <v>0.4366197183</v>
      </c>
      <c r="J113" s="60">
        <f t="shared" si="17"/>
        <v>0.8322851153</v>
      </c>
      <c r="K113" s="60">
        <f t="shared" si="18"/>
        <v>0.6344524168</v>
      </c>
      <c r="L113" s="22">
        <v>0.729</v>
      </c>
      <c r="M113" s="22">
        <v>0.288</v>
      </c>
      <c r="N113" s="22">
        <v>0.785</v>
      </c>
      <c r="O113" s="22">
        <v>0.886</v>
      </c>
      <c r="P113" s="22">
        <v>62.0</v>
      </c>
      <c r="Q113" s="22">
        <v>109.0</v>
      </c>
      <c r="R113" s="22">
        <v>51.0</v>
      </c>
      <c r="S113" s="22">
        <v>397.0</v>
      </c>
    </row>
    <row r="114">
      <c r="A114" s="23"/>
      <c r="B114" s="23"/>
      <c r="C114" s="23"/>
      <c r="D114" s="11"/>
      <c r="E114" s="22">
        <v>0.61</v>
      </c>
      <c r="F114" s="22">
        <v>0.711</v>
      </c>
      <c r="G114" s="22">
        <v>0.737</v>
      </c>
      <c r="H114" s="22">
        <v>0.714</v>
      </c>
      <c r="I114" s="60">
        <f t="shared" si="16"/>
        <v>0.4072727273</v>
      </c>
      <c r="J114" s="60">
        <f t="shared" si="17"/>
        <v>0.8307372793</v>
      </c>
      <c r="K114" s="60">
        <f t="shared" si="18"/>
        <v>0.6190050033</v>
      </c>
      <c r="L114" s="22">
        <v>0.741</v>
      </c>
      <c r="M114" s="22">
        <v>0.264</v>
      </c>
      <c r="N114" s="22">
        <v>0.777</v>
      </c>
      <c r="O114" s="22">
        <v>0.893</v>
      </c>
      <c r="P114" s="22">
        <v>56.0</v>
      </c>
      <c r="Q114" s="22">
        <v>115.0</v>
      </c>
      <c r="R114" s="22">
        <v>48.0</v>
      </c>
      <c r="S114" s="22">
        <v>400.0</v>
      </c>
    </row>
    <row r="115">
      <c r="A115" s="23"/>
      <c r="B115" s="23"/>
      <c r="C115" s="23"/>
      <c r="D115" s="11"/>
      <c r="E115" s="22">
        <v>0.625</v>
      </c>
      <c r="F115" s="22">
        <v>0.725</v>
      </c>
      <c r="G115" s="22">
        <v>0.748</v>
      </c>
      <c r="H115" s="22">
        <v>0.726</v>
      </c>
      <c r="I115" s="60">
        <f t="shared" si="16"/>
        <v>0.4347826087</v>
      </c>
      <c r="J115" s="60">
        <f t="shared" si="17"/>
        <v>0.8378378378</v>
      </c>
      <c r="K115" s="60">
        <f t="shared" si="18"/>
        <v>0.6363102233</v>
      </c>
      <c r="L115" s="22">
        <v>0.716</v>
      </c>
      <c r="M115" s="22">
        <v>0.298</v>
      </c>
      <c r="N115" s="22">
        <v>0.784</v>
      </c>
      <c r="O115" s="22">
        <v>0.9</v>
      </c>
      <c r="P115" s="22">
        <v>60.0</v>
      </c>
      <c r="Q115" s="22">
        <v>111.0</v>
      </c>
      <c r="R115" s="22">
        <v>45.0</v>
      </c>
      <c r="S115" s="22">
        <v>403.0</v>
      </c>
    </row>
    <row r="116">
      <c r="A116" s="23"/>
      <c r="B116" s="23"/>
      <c r="C116" s="23"/>
      <c r="D116" s="11"/>
      <c r="E116" s="22">
        <v>0.618</v>
      </c>
      <c r="F116" s="22">
        <v>0.724</v>
      </c>
      <c r="G116" s="22">
        <v>0.748</v>
      </c>
      <c r="H116" s="22">
        <v>0.723</v>
      </c>
      <c r="I116" s="60">
        <f t="shared" si="16"/>
        <v>0.4179104478</v>
      </c>
      <c r="J116" s="60">
        <f t="shared" si="17"/>
        <v>0.8391752577</v>
      </c>
      <c r="K116" s="60">
        <f t="shared" si="18"/>
        <v>0.6285428527</v>
      </c>
      <c r="L116" s="22">
        <v>0.739</v>
      </c>
      <c r="M116" s="22">
        <v>0.29</v>
      </c>
      <c r="N116" s="22">
        <v>0.78</v>
      </c>
      <c r="O116" s="22">
        <v>0.908</v>
      </c>
      <c r="P116" s="22">
        <v>56.0</v>
      </c>
      <c r="Q116" s="22">
        <v>115.0</v>
      </c>
      <c r="R116" s="22">
        <v>41.0</v>
      </c>
      <c r="S116" s="22">
        <v>407.0</v>
      </c>
    </row>
    <row r="117">
      <c r="A117" s="23"/>
      <c r="B117" s="23"/>
      <c r="C117" s="23"/>
      <c r="D117" s="11"/>
      <c r="E117" s="22">
        <v>0.596</v>
      </c>
      <c r="F117" s="22">
        <v>0.722</v>
      </c>
      <c r="G117" s="22">
        <v>0.748</v>
      </c>
      <c r="H117" s="22">
        <v>0.71</v>
      </c>
      <c r="I117" s="60">
        <f t="shared" si="16"/>
        <v>0.3606557377</v>
      </c>
      <c r="J117" s="60">
        <f t="shared" si="17"/>
        <v>0.8430583501</v>
      </c>
      <c r="K117" s="60">
        <f t="shared" si="18"/>
        <v>0.6018570439</v>
      </c>
      <c r="L117" s="22">
        <v>0.743</v>
      </c>
      <c r="M117" s="22">
        <v>0.267</v>
      </c>
      <c r="N117" s="22">
        <v>0.767</v>
      </c>
      <c r="O117" s="22">
        <v>0.935</v>
      </c>
      <c r="P117" s="22">
        <v>44.0</v>
      </c>
      <c r="Q117" s="22">
        <v>127.0</v>
      </c>
      <c r="R117" s="22">
        <v>29.0</v>
      </c>
      <c r="S117" s="22">
        <v>419.0</v>
      </c>
    </row>
    <row r="118">
      <c r="A118" s="23"/>
      <c r="B118" s="23"/>
      <c r="C118" s="23"/>
      <c r="D118" s="11"/>
      <c r="E118" s="22">
        <v>0.581</v>
      </c>
      <c r="F118" s="22">
        <v>0.718</v>
      </c>
      <c r="G118" s="22">
        <v>0.745</v>
      </c>
      <c r="H118" s="22">
        <v>0.698</v>
      </c>
      <c r="I118" s="60">
        <f t="shared" si="16"/>
        <v>0.3189655172</v>
      </c>
      <c r="J118" s="60">
        <f t="shared" si="17"/>
        <v>0.8429423459</v>
      </c>
      <c r="K118" s="60">
        <f t="shared" si="18"/>
        <v>0.5809539316</v>
      </c>
      <c r="L118" s="22">
        <v>0.713</v>
      </c>
      <c r="M118" s="22">
        <v>0.244</v>
      </c>
      <c r="N118" s="22">
        <v>0.76</v>
      </c>
      <c r="O118" s="22">
        <v>0.946</v>
      </c>
      <c r="P118" s="22">
        <v>37.0</v>
      </c>
      <c r="Q118" s="22">
        <v>134.0</v>
      </c>
      <c r="R118" s="22">
        <v>24.0</v>
      </c>
      <c r="S118" s="22">
        <v>424.0</v>
      </c>
    </row>
    <row r="119">
      <c r="A119" s="23"/>
      <c r="B119" s="23"/>
      <c r="C119" s="23"/>
      <c r="D119" s="11"/>
      <c r="E119" s="22">
        <v>0.607</v>
      </c>
      <c r="F119" s="22">
        <v>0.709</v>
      </c>
      <c r="G119" s="22">
        <v>0.735</v>
      </c>
      <c r="H119" s="22">
        <v>0.712</v>
      </c>
      <c r="I119" s="60">
        <f t="shared" si="16"/>
        <v>0.401459854</v>
      </c>
      <c r="J119" s="60">
        <f t="shared" si="17"/>
        <v>0.8298755187</v>
      </c>
      <c r="K119" s="60">
        <f t="shared" si="18"/>
        <v>0.6156676863</v>
      </c>
      <c r="L119" s="22">
        <v>0.736</v>
      </c>
      <c r="M119" s="22">
        <v>0.258</v>
      </c>
      <c r="N119" s="22">
        <v>0.775</v>
      </c>
      <c r="O119" s="22">
        <v>0.893</v>
      </c>
      <c r="P119" s="22">
        <v>55.0</v>
      </c>
      <c r="Q119" s="22">
        <v>116.0</v>
      </c>
      <c r="R119" s="22">
        <v>48.0</v>
      </c>
      <c r="S119" s="22">
        <v>400.0</v>
      </c>
    </row>
    <row r="120">
      <c r="A120" s="23"/>
      <c r="B120" s="23"/>
      <c r="C120" s="23"/>
      <c r="D120" s="11"/>
      <c r="E120" s="22">
        <v>0.592</v>
      </c>
      <c r="F120" s="22">
        <v>0.736</v>
      </c>
      <c r="G120" s="22">
        <v>0.754</v>
      </c>
      <c r="H120" s="22">
        <v>0.708</v>
      </c>
      <c r="I120" s="60">
        <f t="shared" si="16"/>
        <v>0.3391304348</v>
      </c>
      <c r="J120" s="60">
        <f t="shared" si="17"/>
        <v>0.8492063492</v>
      </c>
      <c r="K120" s="60">
        <f t="shared" si="18"/>
        <v>0.594168392</v>
      </c>
      <c r="L120" s="22">
        <v>0.741</v>
      </c>
      <c r="M120" s="22">
        <v>0.279</v>
      </c>
      <c r="N120" s="22">
        <v>0.764</v>
      </c>
      <c r="O120" s="22">
        <v>0.955</v>
      </c>
      <c r="P120" s="22">
        <v>39.0</v>
      </c>
      <c r="Q120" s="22">
        <v>132.0</v>
      </c>
      <c r="R120" s="22">
        <v>20.0</v>
      </c>
      <c r="S120" s="22">
        <v>428.0</v>
      </c>
    </row>
    <row r="121">
      <c r="A121" s="23"/>
      <c r="B121" s="23"/>
      <c r="C121" s="23"/>
      <c r="D121" s="11"/>
      <c r="E121" s="22">
        <v>0.604</v>
      </c>
      <c r="F121" s="22">
        <v>0.72</v>
      </c>
      <c r="G121" s="22">
        <v>0.746</v>
      </c>
      <c r="H121" s="22">
        <v>0.714</v>
      </c>
      <c r="I121" s="60">
        <f t="shared" si="16"/>
        <v>0.3843137255</v>
      </c>
      <c r="J121" s="60">
        <f t="shared" si="17"/>
        <v>0.8402848423</v>
      </c>
      <c r="K121" s="60">
        <f t="shared" si="18"/>
        <v>0.6122992839</v>
      </c>
      <c r="L121" s="22">
        <v>0.74</v>
      </c>
      <c r="M121" s="22">
        <v>0.272</v>
      </c>
      <c r="N121" s="22">
        <v>0.772</v>
      </c>
      <c r="O121" s="22">
        <v>0.922</v>
      </c>
      <c r="P121" s="22">
        <v>49.0</v>
      </c>
      <c r="Q121" s="22">
        <v>122.0</v>
      </c>
      <c r="R121" s="22">
        <v>35.0</v>
      </c>
      <c r="S121" s="22">
        <v>413.0</v>
      </c>
    </row>
    <row r="122">
      <c r="A122" s="23"/>
      <c r="B122" s="23"/>
      <c r="C122" s="23"/>
      <c r="D122" s="11"/>
      <c r="E122" s="22">
        <v>0.606</v>
      </c>
      <c r="F122" s="22">
        <v>0.707</v>
      </c>
      <c r="G122" s="22">
        <v>0.733</v>
      </c>
      <c r="H122" s="22">
        <v>0.71</v>
      </c>
      <c r="I122" s="60">
        <f t="shared" si="16"/>
        <v>0.4</v>
      </c>
      <c r="J122" s="60">
        <f t="shared" si="17"/>
        <v>0.8286604361</v>
      </c>
      <c r="K122" s="60">
        <f t="shared" si="18"/>
        <v>0.6143302181</v>
      </c>
      <c r="L122" s="22">
        <v>0.727</v>
      </c>
      <c r="M122" s="22">
        <v>0.254</v>
      </c>
      <c r="N122" s="22">
        <v>0.775</v>
      </c>
      <c r="O122" s="22">
        <v>0.891</v>
      </c>
      <c r="P122" s="22">
        <v>55.0</v>
      </c>
      <c r="Q122" s="22">
        <v>116.0</v>
      </c>
      <c r="R122" s="22">
        <v>49.0</v>
      </c>
      <c r="S122" s="22">
        <v>399.0</v>
      </c>
    </row>
    <row r="123">
      <c r="A123" s="23"/>
      <c r="B123" s="23"/>
      <c r="C123" s="23"/>
      <c r="D123" s="11"/>
      <c r="E123" s="22">
        <v>0.607</v>
      </c>
      <c r="F123" s="22">
        <v>0.713</v>
      </c>
      <c r="G123" s="22">
        <v>0.74</v>
      </c>
      <c r="H123" s="22">
        <v>0.713</v>
      </c>
      <c r="I123" s="60">
        <f t="shared" si="16"/>
        <v>0.3970037453</v>
      </c>
      <c r="J123" s="60">
        <f t="shared" si="17"/>
        <v>0.8341915551</v>
      </c>
      <c r="K123" s="60">
        <f t="shared" si="18"/>
        <v>0.6155976502</v>
      </c>
      <c r="L123" s="22">
        <v>0.756</v>
      </c>
      <c r="M123" s="22">
        <v>0.264</v>
      </c>
      <c r="N123" s="22">
        <v>0.774</v>
      </c>
      <c r="O123" s="22">
        <v>0.904</v>
      </c>
      <c r="P123" s="22">
        <v>53.0</v>
      </c>
      <c r="Q123" s="22">
        <v>118.0</v>
      </c>
      <c r="R123" s="22">
        <v>43.0</v>
      </c>
      <c r="S123" s="22">
        <v>405.0</v>
      </c>
    </row>
    <row r="124">
      <c r="A124" s="23"/>
      <c r="B124" s="23"/>
      <c r="C124" s="23"/>
      <c r="D124" s="11"/>
      <c r="E124" s="22">
        <v>0.567</v>
      </c>
      <c r="F124" s="22">
        <v>0.714</v>
      </c>
      <c r="G124" s="22">
        <v>0.742</v>
      </c>
      <c r="H124" s="22">
        <v>0.685</v>
      </c>
      <c r="I124" s="60">
        <f t="shared" si="16"/>
        <v>0.2727272727</v>
      </c>
      <c r="J124" s="60">
        <f t="shared" si="17"/>
        <v>0.8428290766</v>
      </c>
      <c r="K124" s="60">
        <f t="shared" si="18"/>
        <v>0.5577781747</v>
      </c>
      <c r="L124" s="22">
        <v>0.709</v>
      </c>
      <c r="M124" s="22">
        <v>0.22</v>
      </c>
      <c r="N124" s="22">
        <v>0.753</v>
      </c>
      <c r="O124" s="22">
        <v>0.958</v>
      </c>
      <c r="P124" s="22">
        <v>30.0</v>
      </c>
      <c r="Q124" s="22">
        <v>141.0</v>
      </c>
      <c r="R124" s="22">
        <v>19.0</v>
      </c>
      <c r="S124" s="22">
        <v>429.0</v>
      </c>
    </row>
    <row r="125">
      <c r="A125" s="23"/>
      <c r="B125" s="23"/>
      <c r="C125" s="23"/>
      <c r="D125" s="11"/>
      <c r="E125" s="22">
        <v>0.607</v>
      </c>
      <c r="F125" s="22">
        <v>0.713</v>
      </c>
      <c r="G125" s="22">
        <v>0.74</v>
      </c>
      <c r="H125" s="22">
        <v>0.713</v>
      </c>
      <c r="I125" s="60">
        <f t="shared" si="16"/>
        <v>0.3970037453</v>
      </c>
      <c r="J125" s="60">
        <f t="shared" si="17"/>
        <v>0.8341915551</v>
      </c>
      <c r="K125" s="60">
        <f t="shared" si="18"/>
        <v>0.6155976502</v>
      </c>
      <c r="L125" s="22">
        <v>0.723</v>
      </c>
      <c r="M125" s="22">
        <v>0.264</v>
      </c>
      <c r="N125" s="22">
        <v>0.774</v>
      </c>
      <c r="O125" s="22">
        <v>0.904</v>
      </c>
      <c r="P125" s="22">
        <v>53.0</v>
      </c>
      <c r="Q125" s="22">
        <v>118.0</v>
      </c>
      <c r="R125" s="22">
        <v>43.0</v>
      </c>
      <c r="S125" s="22">
        <v>405.0</v>
      </c>
    </row>
    <row r="126">
      <c r="A126" s="23"/>
      <c r="B126" s="23"/>
      <c r="C126" s="23"/>
      <c r="D126" s="11"/>
      <c r="E126" s="22">
        <v>0.551</v>
      </c>
      <c r="F126" s="22">
        <v>0.701</v>
      </c>
      <c r="G126" s="22">
        <v>0.735</v>
      </c>
      <c r="H126" s="22">
        <v>0.671</v>
      </c>
      <c r="I126" s="60">
        <f t="shared" si="16"/>
        <v>0.2264150943</v>
      </c>
      <c r="J126" s="60">
        <f t="shared" si="17"/>
        <v>0.8401559454</v>
      </c>
      <c r="K126" s="60">
        <f t="shared" si="18"/>
        <v>0.5332855199</v>
      </c>
      <c r="L126" s="22">
        <v>0.721</v>
      </c>
      <c r="M126" s="22">
        <v>0.184</v>
      </c>
      <c r="N126" s="22">
        <v>0.746</v>
      </c>
      <c r="O126" s="22">
        <v>0.962</v>
      </c>
      <c r="P126" s="22">
        <v>24.0</v>
      </c>
      <c r="Q126" s="22">
        <v>147.0</v>
      </c>
      <c r="R126" s="22">
        <v>17.0</v>
      </c>
      <c r="S126" s="22">
        <v>431.0</v>
      </c>
    </row>
    <row r="127">
      <c r="A127" s="23"/>
      <c r="B127" s="23"/>
      <c r="C127" s="23"/>
      <c r="D127" s="11"/>
      <c r="E127" s="22">
        <v>0.581</v>
      </c>
      <c r="F127" s="22">
        <v>0.704</v>
      </c>
      <c r="G127" s="22">
        <v>0.737</v>
      </c>
      <c r="H127" s="22">
        <v>0.696</v>
      </c>
      <c r="I127" s="60">
        <f t="shared" si="16"/>
        <v>0.329218107</v>
      </c>
      <c r="J127" s="60">
        <f t="shared" si="17"/>
        <v>0.8361809045</v>
      </c>
      <c r="K127" s="60">
        <f t="shared" si="18"/>
        <v>0.5826995058</v>
      </c>
      <c r="L127" s="22">
        <v>0.753</v>
      </c>
      <c r="M127" s="22">
        <v>0.227</v>
      </c>
      <c r="N127" s="22">
        <v>0.761</v>
      </c>
      <c r="O127" s="22">
        <v>0.929</v>
      </c>
      <c r="P127" s="22">
        <v>40.0</v>
      </c>
      <c r="Q127" s="22">
        <v>131.0</v>
      </c>
      <c r="R127" s="22">
        <v>32.0</v>
      </c>
      <c r="S127" s="22">
        <v>416.0</v>
      </c>
    </row>
    <row r="128">
      <c r="A128" s="23"/>
      <c r="B128" s="23"/>
      <c r="C128" s="23"/>
      <c r="D128" s="11"/>
      <c r="E128" s="22">
        <v>0.606</v>
      </c>
      <c r="F128" s="22">
        <v>0.716</v>
      </c>
      <c r="G128" s="22">
        <v>0.743</v>
      </c>
      <c r="H128" s="22">
        <v>0.714</v>
      </c>
      <c r="I128" s="60">
        <f t="shared" si="16"/>
        <v>0.3908045977</v>
      </c>
      <c r="J128" s="60">
        <f t="shared" si="17"/>
        <v>0.8372569089</v>
      </c>
      <c r="K128" s="60">
        <f t="shared" si="18"/>
        <v>0.6140307533</v>
      </c>
      <c r="L128" s="22">
        <v>0.745</v>
      </c>
      <c r="M128" s="22">
        <v>0.268</v>
      </c>
      <c r="N128" s="22">
        <v>0.773</v>
      </c>
      <c r="O128" s="22">
        <v>0.913</v>
      </c>
      <c r="P128" s="22">
        <v>51.0</v>
      </c>
      <c r="Q128" s="22">
        <v>120.0</v>
      </c>
      <c r="R128" s="22">
        <v>39.0</v>
      </c>
      <c r="S128" s="22">
        <v>409.0</v>
      </c>
    </row>
    <row r="129">
      <c r="A129" s="23"/>
      <c r="B129" s="23"/>
      <c r="C129" s="23"/>
      <c r="D129" s="11"/>
      <c r="E129" s="22">
        <v>0.6</v>
      </c>
      <c r="F129" s="22">
        <v>0.715</v>
      </c>
      <c r="G129" s="22">
        <v>0.743</v>
      </c>
      <c r="H129" s="22">
        <v>0.711</v>
      </c>
      <c r="I129" s="60">
        <f t="shared" si="16"/>
        <v>0.3764705882</v>
      </c>
      <c r="J129" s="60">
        <f t="shared" si="17"/>
        <v>0.8382502543</v>
      </c>
      <c r="K129" s="60">
        <f t="shared" si="18"/>
        <v>0.6073604213</v>
      </c>
      <c r="L129" s="22">
        <v>0.741</v>
      </c>
      <c r="M129" s="22">
        <v>0.262</v>
      </c>
      <c r="N129" s="22">
        <v>0.77</v>
      </c>
      <c r="O129" s="22">
        <v>0.92</v>
      </c>
      <c r="P129" s="22">
        <v>48.0</v>
      </c>
      <c r="Q129" s="22">
        <v>123.0</v>
      </c>
      <c r="R129" s="22">
        <v>36.0</v>
      </c>
      <c r="S129" s="22">
        <v>412.0</v>
      </c>
    </row>
    <row r="130">
      <c r="A130" s="23"/>
      <c r="B130" s="23"/>
      <c r="C130" s="23"/>
      <c r="D130" s="11"/>
      <c r="E130" s="22">
        <v>0.613</v>
      </c>
      <c r="F130" s="22">
        <v>0.718</v>
      </c>
      <c r="G130" s="22">
        <v>0.743</v>
      </c>
      <c r="H130" s="22">
        <v>0.718</v>
      </c>
      <c r="I130" s="60">
        <f t="shared" si="16"/>
        <v>0.4089219331</v>
      </c>
      <c r="J130" s="60">
        <f t="shared" si="17"/>
        <v>0.8359133127</v>
      </c>
      <c r="K130" s="60">
        <f t="shared" si="18"/>
        <v>0.6224176229</v>
      </c>
      <c r="L130" s="22">
        <v>0.722</v>
      </c>
      <c r="M130" s="22">
        <v>0.276</v>
      </c>
      <c r="N130" s="22">
        <v>0.777</v>
      </c>
      <c r="O130" s="22">
        <v>0.904</v>
      </c>
      <c r="P130" s="22">
        <v>55.0</v>
      </c>
      <c r="Q130" s="22">
        <v>116.0</v>
      </c>
      <c r="R130" s="22">
        <v>43.0</v>
      </c>
      <c r="S130" s="22">
        <v>405.0</v>
      </c>
    </row>
    <row r="131">
      <c r="A131" s="23"/>
      <c r="B131" s="23"/>
      <c r="C131" s="23"/>
      <c r="D131" s="11"/>
      <c r="E131" s="22">
        <v>0.592</v>
      </c>
      <c r="F131" s="22">
        <v>0.712</v>
      </c>
      <c r="G131" s="22">
        <v>0.742</v>
      </c>
      <c r="H131" s="22">
        <v>0.705</v>
      </c>
      <c r="I131" s="60">
        <f t="shared" si="16"/>
        <v>0.3548387097</v>
      </c>
      <c r="J131" s="60">
        <f t="shared" si="17"/>
        <v>0.8383838384</v>
      </c>
      <c r="K131" s="60">
        <f t="shared" si="18"/>
        <v>0.596611274</v>
      </c>
      <c r="L131" s="22">
        <v>0.754</v>
      </c>
      <c r="M131" s="22">
        <v>0.249</v>
      </c>
      <c r="N131" s="22">
        <v>0.766</v>
      </c>
      <c r="O131" s="22">
        <v>0.926</v>
      </c>
      <c r="P131" s="22">
        <v>44.0</v>
      </c>
      <c r="Q131" s="22">
        <v>127.0</v>
      </c>
      <c r="R131" s="22">
        <v>33.0</v>
      </c>
      <c r="S131" s="22">
        <v>415.0</v>
      </c>
    </row>
    <row r="132">
      <c r="A132" s="23"/>
      <c r="B132" s="23"/>
      <c r="C132" s="23"/>
      <c r="D132" s="11"/>
      <c r="E132" s="22">
        <v>0.618</v>
      </c>
      <c r="F132" s="22">
        <v>0.69</v>
      </c>
      <c r="G132" s="22">
        <v>0.638</v>
      </c>
      <c r="H132" s="22">
        <v>0.654</v>
      </c>
      <c r="I132" s="60">
        <f t="shared" si="16"/>
        <v>0.4666666667</v>
      </c>
      <c r="J132" s="60">
        <f t="shared" si="17"/>
        <v>0.7261613692</v>
      </c>
      <c r="K132" s="60">
        <f t="shared" si="18"/>
        <v>0.5964140179</v>
      </c>
      <c r="L132" s="22">
        <v>0.668</v>
      </c>
      <c r="M132" s="22">
        <v>0.215</v>
      </c>
      <c r="N132" s="22">
        <v>0.803</v>
      </c>
      <c r="O132" s="22">
        <v>0.663</v>
      </c>
      <c r="P132" s="22">
        <v>98.0</v>
      </c>
      <c r="Q132" s="22">
        <v>73.0</v>
      </c>
      <c r="R132" s="22">
        <v>151.0</v>
      </c>
      <c r="S132" s="22">
        <v>297.0</v>
      </c>
    </row>
    <row r="133">
      <c r="A133" s="23"/>
      <c r="B133" s="23"/>
      <c r="C133" s="23"/>
      <c r="D133" s="71" t="s">
        <v>23</v>
      </c>
      <c r="E133" s="22">
        <v>0.603</v>
      </c>
      <c r="F133" s="22">
        <v>0.714</v>
      </c>
      <c r="G133" s="22">
        <v>0.737</v>
      </c>
      <c r="H133" s="22">
        <v>0.708</v>
      </c>
      <c r="I133" s="60">
        <f t="shared" ref="I133:K133" si="19">MEDIAN(I103:I132)</f>
        <v>0.3970037453</v>
      </c>
      <c r="J133" s="60">
        <f t="shared" si="19"/>
        <v>0.8367189067</v>
      </c>
      <c r="K133" s="60">
        <f t="shared" si="19"/>
        <v>0.6144311799</v>
      </c>
      <c r="L133" s="22">
        <v>0.734</v>
      </c>
      <c r="M133" s="22">
        <v>0.26</v>
      </c>
      <c r="N133" s="22">
        <v>0.773</v>
      </c>
      <c r="O133" s="22">
        <v>0.903</v>
      </c>
      <c r="P133" s="22">
        <v>51.867</v>
      </c>
      <c r="Q133" s="22">
        <v>119.133</v>
      </c>
      <c r="R133" s="22">
        <v>43.6</v>
      </c>
      <c r="S133" s="22">
        <v>404.4</v>
      </c>
    </row>
    <row r="134">
      <c r="A134" s="72"/>
      <c r="B134" s="72"/>
      <c r="C134" s="72"/>
      <c r="D134" s="73" t="s">
        <v>232</v>
      </c>
      <c r="E134" s="22">
        <v>0.018</v>
      </c>
      <c r="F134" s="22">
        <v>0.012</v>
      </c>
      <c r="G134" s="22">
        <v>0.021</v>
      </c>
      <c r="H134" s="22">
        <v>0.016</v>
      </c>
      <c r="I134" s="60">
        <f t="shared" ref="I134:K134" si="20"> _xlfn.STDEV.P(I103:I132)</f>
        <v>0.0520978236</v>
      </c>
      <c r="J134" s="60">
        <f t="shared" si="20"/>
        <v>0.02153675207</v>
      </c>
      <c r="K134" s="60">
        <f t="shared" si="20"/>
        <v>0.02344583707</v>
      </c>
      <c r="L134" s="22">
        <v>0.019</v>
      </c>
      <c r="M134" s="22">
        <v>0.029</v>
      </c>
      <c r="N134" s="22">
        <v>0.011</v>
      </c>
      <c r="O134" s="22">
        <v>0.053</v>
      </c>
      <c r="P134" s="22">
        <v>13.268</v>
      </c>
      <c r="Q134" s="22">
        <v>13.268</v>
      </c>
      <c r="R134" s="22">
        <v>23.88</v>
      </c>
      <c r="S134" s="22">
        <v>23.88</v>
      </c>
    </row>
  </sheetData>
  <mergeCells count="12">
    <mergeCell ref="B70:B101"/>
    <mergeCell ref="C70:C101"/>
    <mergeCell ref="A103:A134"/>
    <mergeCell ref="B103:B134"/>
    <mergeCell ref="C103:C134"/>
    <mergeCell ref="A4:A35"/>
    <mergeCell ref="B4:B35"/>
    <mergeCell ref="C4:C35"/>
    <mergeCell ref="A37:A68"/>
    <mergeCell ref="B37:B68"/>
    <mergeCell ref="C37:C68"/>
    <mergeCell ref="A70:A101"/>
  </mergeCells>
  <conditionalFormatting sqref="H4:H35 H37:H68 H70:H101 H103:H134">
    <cfRule type="cellIs" dxfId="0" priority="1" operator="greaterThan">
      <formula>0.725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5"/>
    <col customWidth="1" min="2" max="2" width="22.88"/>
    <col customWidth="1" min="3" max="3" width="27.25"/>
  </cols>
  <sheetData>
    <row r="1">
      <c r="A1" s="1" t="s">
        <v>0</v>
      </c>
      <c r="B1" s="2" t="s">
        <v>1</v>
      </c>
      <c r="C1" s="3" t="s">
        <v>2</v>
      </c>
      <c r="D1" s="5"/>
      <c r="E1" s="6" t="s">
        <v>3</v>
      </c>
      <c r="F1" s="6" t="s">
        <v>4</v>
      </c>
      <c r="G1" s="6" t="s">
        <v>5</v>
      </c>
      <c r="H1" s="6" t="s">
        <v>6</v>
      </c>
      <c r="I1" s="7" t="s">
        <v>225</v>
      </c>
      <c r="J1" s="7" t="s">
        <v>226</v>
      </c>
      <c r="K1" s="7" t="s">
        <v>227</v>
      </c>
      <c r="L1" s="6" t="s">
        <v>7</v>
      </c>
      <c r="M1" s="6" t="s">
        <v>8</v>
      </c>
      <c r="N1" s="7" t="s">
        <v>9</v>
      </c>
      <c r="O1" s="6" t="s">
        <v>10</v>
      </c>
      <c r="P1" s="6" t="s">
        <v>241</v>
      </c>
      <c r="Q1" s="6" t="s">
        <v>12</v>
      </c>
      <c r="R1" s="6" t="s">
        <v>13</v>
      </c>
      <c r="S1" s="6" t="s">
        <v>242</v>
      </c>
    </row>
    <row r="2" ht="28.5" customHeight="1">
      <c r="A2" s="8" t="s">
        <v>18</v>
      </c>
      <c r="B2" s="9"/>
      <c r="C2" s="82" t="s">
        <v>19</v>
      </c>
      <c r="D2" s="11"/>
      <c r="E2" s="12">
        <v>0.652</v>
      </c>
      <c r="F2" s="12">
        <v>0.724</v>
      </c>
      <c r="G2" s="12">
        <v>0.727</v>
      </c>
      <c r="H2" s="12">
        <v>0.725</v>
      </c>
      <c r="I2" s="60">
        <f>(2*P2)/((2*P2) + Q2 + R2)</f>
        <v>0.4955223881</v>
      </c>
      <c r="J2" s="60">
        <f>(2*S2)/((2*S2) + Q2 + R2)</f>
        <v>0.8128460687</v>
      </c>
      <c r="K2" s="60">
        <f> MEDIAN(I2,J2)</f>
        <v>0.6541842284</v>
      </c>
      <c r="L2" s="12">
        <v>0.684</v>
      </c>
      <c r="M2" s="12">
        <v>0.309</v>
      </c>
      <c r="N2" s="12">
        <v>0.807</v>
      </c>
      <c r="O2" s="12">
        <v>0.819</v>
      </c>
      <c r="P2" s="13">
        <v>83.0</v>
      </c>
      <c r="Q2" s="13">
        <v>88.0</v>
      </c>
      <c r="R2" s="13">
        <v>81.0</v>
      </c>
      <c r="S2" s="14">
        <v>367.0</v>
      </c>
    </row>
    <row r="3">
      <c r="I3" s="60"/>
      <c r="J3" s="60"/>
      <c r="K3" s="60"/>
    </row>
    <row r="4">
      <c r="A4" s="77" t="s">
        <v>230</v>
      </c>
      <c r="B4" s="78" t="s">
        <v>231</v>
      </c>
      <c r="C4" s="78" t="s">
        <v>215</v>
      </c>
      <c r="D4" s="79"/>
      <c r="E4" s="32">
        <v>0.636</v>
      </c>
      <c r="F4" s="32">
        <v>0.713</v>
      </c>
      <c r="G4" s="32">
        <v>0.722</v>
      </c>
      <c r="H4" s="32">
        <v>0.717</v>
      </c>
      <c r="I4" s="60">
        <f t="shared" ref="I4:I33" si="1">(2*P4)/((2*P4) + Q4 + R4)</f>
        <v>0.4691358025</v>
      </c>
      <c r="J4" s="60">
        <f t="shared" ref="J4:J33" si="2">(2*S4)/((2*S4) + Q4 + R4)</f>
        <v>0.8118161926</v>
      </c>
      <c r="K4" s="60">
        <f t="shared" ref="K4:K33" si="3"> MEDIAN(I4,J4)</f>
        <v>0.6404759975</v>
      </c>
      <c r="L4" s="32">
        <v>0.683</v>
      </c>
      <c r="M4" s="32">
        <v>0.283</v>
      </c>
      <c r="N4" s="32">
        <v>0.796</v>
      </c>
      <c r="O4" s="32">
        <v>0.828</v>
      </c>
      <c r="P4" s="32">
        <v>76.0</v>
      </c>
      <c r="Q4" s="32">
        <v>95.0</v>
      </c>
      <c r="R4" s="22">
        <v>77.0</v>
      </c>
      <c r="S4" s="32">
        <v>371.0</v>
      </c>
    </row>
    <row r="5">
      <c r="A5" s="23"/>
      <c r="B5" s="23"/>
      <c r="C5" s="23"/>
      <c r="D5" s="69"/>
      <c r="E5" s="80">
        <v>0.651</v>
      </c>
      <c r="F5" s="83">
        <v>0.726</v>
      </c>
      <c r="G5" s="22">
        <v>0.733</v>
      </c>
      <c r="H5" s="22">
        <v>0.729</v>
      </c>
      <c r="I5" s="60">
        <f t="shared" si="1"/>
        <v>0.4923076923</v>
      </c>
      <c r="J5" s="60">
        <f t="shared" si="2"/>
        <v>0.8192771084</v>
      </c>
      <c r="K5" s="60">
        <f t="shared" si="3"/>
        <v>0.6557924004</v>
      </c>
      <c r="L5" s="22">
        <v>0.675</v>
      </c>
      <c r="M5" s="80">
        <v>0.313</v>
      </c>
      <c r="N5" s="80">
        <v>0.804</v>
      </c>
      <c r="O5" s="32">
        <v>0.835</v>
      </c>
      <c r="P5" s="22">
        <v>80.0</v>
      </c>
      <c r="Q5" s="22">
        <v>91.0</v>
      </c>
      <c r="R5" s="22">
        <v>74.0</v>
      </c>
      <c r="S5" s="22">
        <v>374.0</v>
      </c>
    </row>
    <row r="6">
      <c r="A6" s="23"/>
      <c r="B6" s="23"/>
      <c r="C6" s="23"/>
      <c r="D6" s="70"/>
      <c r="E6" s="22">
        <v>0.636</v>
      </c>
      <c r="F6" s="22">
        <v>0.712</v>
      </c>
      <c r="G6" s="22">
        <v>0.719</v>
      </c>
      <c r="H6" s="22">
        <v>0.715</v>
      </c>
      <c r="I6" s="60">
        <f t="shared" si="1"/>
        <v>0.4695121951</v>
      </c>
      <c r="J6" s="60">
        <f t="shared" si="2"/>
        <v>0.8087912088</v>
      </c>
      <c r="K6" s="60">
        <f t="shared" si="3"/>
        <v>0.639151702</v>
      </c>
      <c r="L6" s="22">
        <v>0.705</v>
      </c>
      <c r="M6" s="22">
        <v>0.279</v>
      </c>
      <c r="N6" s="22">
        <v>0.797</v>
      </c>
      <c r="O6" s="22">
        <v>0.821</v>
      </c>
      <c r="P6" s="22">
        <v>77.0</v>
      </c>
      <c r="Q6" s="22">
        <v>94.0</v>
      </c>
      <c r="R6" s="22">
        <v>80.0</v>
      </c>
      <c r="S6" s="22">
        <v>368.0</v>
      </c>
    </row>
    <row r="7">
      <c r="A7" s="23"/>
      <c r="B7" s="23"/>
      <c r="C7" s="23"/>
      <c r="D7" s="70"/>
      <c r="E7" s="22">
        <v>0.643</v>
      </c>
      <c r="F7" s="22">
        <v>0.723</v>
      </c>
      <c r="G7" s="22">
        <v>0.735</v>
      </c>
      <c r="H7" s="22">
        <v>0.727</v>
      </c>
      <c r="I7" s="60">
        <f t="shared" si="1"/>
        <v>0.4777070064</v>
      </c>
      <c r="J7" s="60">
        <f t="shared" si="2"/>
        <v>0.8225108225</v>
      </c>
      <c r="K7" s="60">
        <f t="shared" si="3"/>
        <v>0.6501089144</v>
      </c>
      <c r="L7" s="22">
        <v>0.688</v>
      </c>
      <c r="M7" s="22">
        <v>0.304</v>
      </c>
      <c r="N7" s="22">
        <v>0.798</v>
      </c>
      <c r="O7" s="22">
        <v>0.848</v>
      </c>
      <c r="P7" s="22">
        <v>75.0</v>
      </c>
      <c r="Q7" s="22">
        <v>96.0</v>
      </c>
      <c r="R7" s="22">
        <v>68.0</v>
      </c>
      <c r="S7" s="22">
        <v>380.0</v>
      </c>
    </row>
    <row r="8">
      <c r="A8" s="23"/>
      <c r="B8" s="23"/>
      <c r="C8" s="23"/>
      <c r="D8" s="70"/>
      <c r="E8" s="22">
        <v>0.638</v>
      </c>
      <c r="F8" s="22">
        <v>0.72</v>
      </c>
      <c r="G8" s="22">
        <v>0.735</v>
      </c>
      <c r="H8" s="22">
        <v>0.725</v>
      </c>
      <c r="I8" s="60">
        <f t="shared" si="1"/>
        <v>0.4675324675</v>
      </c>
      <c r="J8" s="60">
        <f t="shared" si="2"/>
        <v>0.823655914</v>
      </c>
      <c r="K8" s="60">
        <f t="shared" si="3"/>
        <v>0.6455941908</v>
      </c>
      <c r="L8" s="22">
        <v>0.676</v>
      </c>
      <c r="M8" s="22">
        <v>0.297</v>
      </c>
      <c r="N8" s="22">
        <v>0.795</v>
      </c>
      <c r="O8" s="22">
        <v>0.855</v>
      </c>
      <c r="P8" s="22">
        <v>72.0</v>
      </c>
      <c r="Q8" s="22">
        <v>99.0</v>
      </c>
      <c r="R8" s="22">
        <v>65.0</v>
      </c>
      <c r="S8" s="22">
        <v>383.0</v>
      </c>
    </row>
    <row r="9">
      <c r="A9" s="23"/>
      <c r="B9" s="23"/>
      <c r="C9" s="23"/>
      <c r="D9" s="70"/>
      <c r="E9" s="22">
        <v>0.64</v>
      </c>
      <c r="F9" s="22">
        <v>0.717</v>
      </c>
      <c r="G9" s="22">
        <v>0.725</v>
      </c>
      <c r="H9" s="22">
        <v>0.72</v>
      </c>
      <c r="I9" s="60">
        <f t="shared" si="1"/>
        <v>0.475308642</v>
      </c>
      <c r="J9" s="60">
        <f t="shared" si="2"/>
        <v>0.8140043764</v>
      </c>
      <c r="K9" s="60">
        <f t="shared" si="3"/>
        <v>0.6446565092</v>
      </c>
      <c r="L9" s="22">
        <v>0.708</v>
      </c>
      <c r="M9" s="22">
        <v>0.291</v>
      </c>
      <c r="N9" s="22">
        <v>0.798</v>
      </c>
      <c r="O9" s="22">
        <v>0.83</v>
      </c>
      <c r="P9" s="22">
        <v>77.0</v>
      </c>
      <c r="Q9" s="22">
        <v>94.0</v>
      </c>
      <c r="R9" s="22">
        <v>76.0</v>
      </c>
      <c r="S9" s="22">
        <v>372.0</v>
      </c>
    </row>
    <row r="10">
      <c r="A10" s="23"/>
      <c r="B10" s="23"/>
      <c r="C10" s="23"/>
      <c r="D10" s="70"/>
      <c r="E10" s="22">
        <v>0.636</v>
      </c>
      <c r="F10" s="22">
        <v>0.713</v>
      </c>
      <c r="G10" s="22">
        <v>0.722</v>
      </c>
      <c r="H10" s="22">
        <v>0.717</v>
      </c>
      <c r="I10" s="60">
        <f t="shared" si="1"/>
        <v>0.4691358025</v>
      </c>
      <c r="J10" s="60">
        <f t="shared" si="2"/>
        <v>0.8118161926</v>
      </c>
      <c r="K10" s="60">
        <f t="shared" si="3"/>
        <v>0.6404759975</v>
      </c>
      <c r="L10" s="22">
        <v>0.688</v>
      </c>
      <c r="M10" s="22">
        <v>0.283</v>
      </c>
      <c r="N10" s="22">
        <v>0.796</v>
      </c>
      <c r="O10" s="22">
        <v>0.828</v>
      </c>
      <c r="P10" s="22">
        <v>76.0</v>
      </c>
      <c r="Q10" s="22">
        <v>95.0</v>
      </c>
      <c r="R10" s="22">
        <v>77.0</v>
      </c>
      <c r="S10" s="22">
        <v>371.0</v>
      </c>
    </row>
    <row r="11">
      <c r="A11" s="23"/>
      <c r="B11" s="23"/>
      <c r="C11" s="23"/>
      <c r="D11" s="70"/>
      <c r="E11" s="22">
        <v>0.638</v>
      </c>
      <c r="F11" s="22">
        <v>0.716</v>
      </c>
      <c r="G11" s="22">
        <v>0.727</v>
      </c>
      <c r="H11" s="22">
        <v>0.721</v>
      </c>
      <c r="I11" s="60">
        <f t="shared" si="1"/>
        <v>0.4702194357</v>
      </c>
      <c r="J11" s="60">
        <f t="shared" si="2"/>
        <v>0.8161044614</v>
      </c>
      <c r="K11" s="60">
        <f t="shared" si="3"/>
        <v>0.6431619486</v>
      </c>
      <c r="L11" s="22">
        <v>0.703</v>
      </c>
      <c r="M11" s="22">
        <v>0.289</v>
      </c>
      <c r="N11" s="22">
        <v>0.796</v>
      </c>
      <c r="O11" s="22">
        <v>0.837</v>
      </c>
      <c r="P11" s="22">
        <v>75.0</v>
      </c>
      <c r="Q11" s="22">
        <v>96.0</v>
      </c>
      <c r="R11" s="22">
        <v>73.0</v>
      </c>
      <c r="S11" s="22">
        <v>375.0</v>
      </c>
    </row>
    <row r="12">
      <c r="A12" s="23"/>
      <c r="B12" s="23"/>
      <c r="C12" s="23"/>
      <c r="D12" s="70"/>
      <c r="E12" s="22">
        <v>0.637</v>
      </c>
      <c r="F12" s="22">
        <v>0.715</v>
      </c>
      <c r="G12" s="22">
        <v>0.725</v>
      </c>
      <c r="H12" s="22">
        <v>0.719</v>
      </c>
      <c r="I12" s="60">
        <f t="shared" si="1"/>
        <v>0.46875</v>
      </c>
      <c r="J12" s="60">
        <f t="shared" si="2"/>
        <v>0.8148148148</v>
      </c>
      <c r="K12" s="60">
        <f t="shared" si="3"/>
        <v>0.6417824074</v>
      </c>
      <c r="L12" s="22">
        <v>0.717</v>
      </c>
      <c r="M12" s="22">
        <v>0.286</v>
      </c>
      <c r="N12" s="22">
        <v>0.796</v>
      </c>
      <c r="O12" s="22">
        <v>0.835</v>
      </c>
      <c r="P12" s="22">
        <v>75.0</v>
      </c>
      <c r="Q12" s="22">
        <v>96.0</v>
      </c>
      <c r="R12" s="22">
        <v>74.0</v>
      </c>
      <c r="S12" s="22">
        <v>374.0</v>
      </c>
    </row>
    <row r="13">
      <c r="A13" s="23"/>
      <c r="B13" s="23"/>
      <c r="C13" s="23"/>
      <c r="D13" s="70"/>
      <c r="E13" s="22">
        <v>0.623</v>
      </c>
      <c r="F13" s="22">
        <v>0.702</v>
      </c>
      <c r="G13" s="22">
        <v>0.711</v>
      </c>
      <c r="H13" s="22">
        <v>0.706</v>
      </c>
      <c r="I13" s="60">
        <f t="shared" si="1"/>
        <v>0.4492307692</v>
      </c>
      <c r="J13" s="60">
        <f t="shared" si="2"/>
        <v>0.8039430449</v>
      </c>
      <c r="K13" s="60">
        <f t="shared" si="3"/>
        <v>0.6265869071</v>
      </c>
      <c r="L13" s="22">
        <v>0.693</v>
      </c>
      <c r="M13" s="22">
        <v>0.255</v>
      </c>
      <c r="N13" s="22">
        <v>0.789</v>
      </c>
      <c r="O13" s="22">
        <v>0.819</v>
      </c>
      <c r="P13" s="22">
        <v>73.0</v>
      </c>
      <c r="Q13" s="22">
        <v>98.0</v>
      </c>
      <c r="R13" s="22">
        <v>81.0</v>
      </c>
      <c r="S13" s="22">
        <v>367.0</v>
      </c>
    </row>
    <row r="14">
      <c r="A14" s="23"/>
      <c r="B14" s="23"/>
      <c r="C14" s="23"/>
      <c r="D14" s="11"/>
      <c r="E14" s="22">
        <v>0.645</v>
      </c>
      <c r="F14" s="22">
        <v>0.723</v>
      </c>
      <c r="G14" s="22">
        <v>0.735</v>
      </c>
      <c r="H14" s="22">
        <v>0.728</v>
      </c>
      <c r="I14" s="60">
        <f t="shared" si="1"/>
        <v>0.4810126582</v>
      </c>
      <c r="J14" s="60">
        <f t="shared" si="2"/>
        <v>0.8221258134</v>
      </c>
      <c r="K14" s="60">
        <f t="shared" si="3"/>
        <v>0.6515692358</v>
      </c>
      <c r="L14" s="22">
        <v>0.694</v>
      </c>
      <c r="M14" s="22">
        <v>0.307</v>
      </c>
      <c r="N14" s="22">
        <v>0.8</v>
      </c>
      <c r="O14" s="22">
        <v>0.846</v>
      </c>
      <c r="P14" s="22">
        <v>76.0</v>
      </c>
      <c r="Q14" s="22">
        <v>95.0</v>
      </c>
      <c r="R14" s="22">
        <v>69.0</v>
      </c>
      <c r="S14" s="22">
        <v>379.0</v>
      </c>
    </row>
    <row r="15">
      <c r="A15" s="23"/>
      <c r="B15" s="23"/>
      <c r="C15" s="23"/>
      <c r="D15" s="11"/>
      <c r="E15" s="22">
        <v>0.637</v>
      </c>
      <c r="F15" s="22">
        <v>0.712</v>
      </c>
      <c r="G15" s="22">
        <v>0.717</v>
      </c>
      <c r="H15" s="22">
        <v>0.714</v>
      </c>
      <c r="I15" s="60">
        <f t="shared" si="1"/>
        <v>0.4712990937</v>
      </c>
      <c r="J15" s="60">
        <f t="shared" si="2"/>
        <v>0.8070562293</v>
      </c>
      <c r="K15" s="60">
        <f t="shared" si="3"/>
        <v>0.6391776615</v>
      </c>
      <c r="L15" s="22">
        <v>0.701</v>
      </c>
      <c r="M15" s="22">
        <v>0.279</v>
      </c>
      <c r="N15" s="22">
        <v>0.797</v>
      </c>
      <c r="O15" s="22">
        <v>0.817</v>
      </c>
      <c r="P15" s="22">
        <v>78.0</v>
      </c>
      <c r="Q15" s="22">
        <v>93.0</v>
      </c>
      <c r="R15" s="22">
        <v>82.0</v>
      </c>
      <c r="S15" s="22">
        <v>366.0</v>
      </c>
    </row>
    <row r="16">
      <c r="A16" s="23"/>
      <c r="B16" s="23"/>
      <c r="C16" s="23"/>
      <c r="D16" s="11"/>
      <c r="E16" s="22">
        <v>0.633</v>
      </c>
      <c r="F16" s="22">
        <v>0.71</v>
      </c>
      <c r="G16" s="22">
        <v>0.717</v>
      </c>
      <c r="H16" s="22">
        <v>0.713</v>
      </c>
      <c r="I16" s="60">
        <f t="shared" si="1"/>
        <v>0.4648318043</v>
      </c>
      <c r="J16" s="60">
        <f t="shared" si="2"/>
        <v>0.8079034029</v>
      </c>
      <c r="K16" s="60">
        <f t="shared" si="3"/>
        <v>0.6363676036</v>
      </c>
      <c r="L16" s="22">
        <v>0.672</v>
      </c>
      <c r="M16" s="22">
        <v>0.274</v>
      </c>
      <c r="N16" s="22">
        <v>0.795</v>
      </c>
      <c r="O16" s="22">
        <v>0.821</v>
      </c>
      <c r="P16" s="22">
        <v>76.0</v>
      </c>
      <c r="Q16" s="22">
        <v>95.0</v>
      </c>
      <c r="R16" s="22">
        <v>80.0</v>
      </c>
      <c r="S16" s="22">
        <v>368.0</v>
      </c>
    </row>
    <row r="17">
      <c r="A17" s="23"/>
      <c r="B17" s="23"/>
      <c r="C17" s="23"/>
      <c r="D17" s="11"/>
      <c r="E17" s="22">
        <v>0.649</v>
      </c>
      <c r="F17" s="22">
        <v>0.719</v>
      </c>
      <c r="G17" s="22">
        <v>0.719</v>
      </c>
      <c r="H17" s="22">
        <v>0.719</v>
      </c>
      <c r="I17" s="60">
        <f t="shared" si="1"/>
        <v>0.4912280702</v>
      </c>
      <c r="J17" s="60">
        <f t="shared" si="2"/>
        <v>0.8058035714</v>
      </c>
      <c r="K17" s="60">
        <f t="shared" si="3"/>
        <v>0.6485158208</v>
      </c>
      <c r="L17" s="22">
        <v>0.66</v>
      </c>
      <c r="M17" s="22">
        <v>0.297</v>
      </c>
      <c r="N17" s="22">
        <v>0.806</v>
      </c>
      <c r="O17" s="22">
        <v>0.806</v>
      </c>
      <c r="P17" s="22">
        <v>84.0</v>
      </c>
      <c r="Q17" s="22">
        <v>87.0</v>
      </c>
      <c r="R17" s="22">
        <v>87.0</v>
      </c>
      <c r="S17" s="22">
        <v>361.0</v>
      </c>
    </row>
    <row r="18">
      <c r="A18" s="23"/>
      <c r="B18" s="23"/>
      <c r="C18" s="23"/>
      <c r="D18" s="11"/>
      <c r="E18" s="22">
        <v>0.625</v>
      </c>
      <c r="F18" s="22">
        <v>0.705</v>
      </c>
      <c r="G18" s="22">
        <v>0.716</v>
      </c>
      <c r="H18" s="22">
        <v>0.709</v>
      </c>
      <c r="I18" s="60">
        <f t="shared" si="1"/>
        <v>0.45</v>
      </c>
      <c r="J18" s="60">
        <f t="shared" si="2"/>
        <v>0.8082788671</v>
      </c>
      <c r="K18" s="60">
        <f t="shared" si="3"/>
        <v>0.6291394336</v>
      </c>
      <c r="L18" s="22">
        <v>0.66</v>
      </c>
      <c r="M18" s="22">
        <v>0.261</v>
      </c>
      <c r="N18" s="22">
        <v>0.789</v>
      </c>
      <c r="O18" s="22">
        <v>0.828</v>
      </c>
      <c r="P18" s="22">
        <v>72.0</v>
      </c>
      <c r="Q18" s="22">
        <v>99.0</v>
      </c>
      <c r="R18" s="22">
        <v>77.0</v>
      </c>
      <c r="S18" s="22">
        <v>371.0</v>
      </c>
    </row>
    <row r="19">
      <c r="A19" s="23"/>
      <c r="B19" s="23"/>
      <c r="C19" s="23"/>
      <c r="D19" s="11"/>
      <c r="E19" s="22">
        <v>0.634</v>
      </c>
      <c r="F19" s="22">
        <v>0.712</v>
      </c>
      <c r="G19" s="22">
        <v>0.722</v>
      </c>
      <c r="H19" s="22">
        <v>0.717</v>
      </c>
      <c r="I19" s="60">
        <f t="shared" si="1"/>
        <v>0.4658385093</v>
      </c>
      <c r="J19" s="60">
        <f t="shared" si="2"/>
        <v>0.8122270742</v>
      </c>
      <c r="K19" s="60">
        <f t="shared" si="3"/>
        <v>0.6390327918</v>
      </c>
      <c r="L19" s="22">
        <v>0.671</v>
      </c>
      <c r="M19" s="22">
        <v>0.28</v>
      </c>
      <c r="N19" s="22">
        <v>0.795</v>
      </c>
      <c r="O19" s="22">
        <v>0.83</v>
      </c>
      <c r="P19" s="22">
        <v>75.0</v>
      </c>
      <c r="Q19" s="22">
        <v>96.0</v>
      </c>
      <c r="R19" s="22">
        <v>76.0</v>
      </c>
      <c r="S19" s="22">
        <v>372.0</v>
      </c>
    </row>
    <row r="20">
      <c r="A20" s="23"/>
      <c r="B20" s="23"/>
      <c r="C20" s="23"/>
      <c r="D20" s="11"/>
      <c r="E20" s="22">
        <v>0.641</v>
      </c>
      <c r="F20" s="22">
        <v>0.718</v>
      </c>
      <c r="G20" s="22">
        <v>0.729</v>
      </c>
      <c r="H20" s="22">
        <v>0.723</v>
      </c>
      <c r="I20" s="60">
        <f t="shared" si="1"/>
        <v>0.475</v>
      </c>
      <c r="J20" s="60">
        <f t="shared" si="2"/>
        <v>0.8169934641</v>
      </c>
      <c r="K20" s="60">
        <f t="shared" si="3"/>
        <v>0.645996732</v>
      </c>
      <c r="L20" s="22">
        <v>0.693</v>
      </c>
      <c r="M20" s="22">
        <v>0.294</v>
      </c>
      <c r="N20" s="22">
        <v>0.798</v>
      </c>
      <c r="O20" s="22">
        <v>0.837</v>
      </c>
      <c r="P20" s="22">
        <v>76.0</v>
      </c>
      <c r="Q20" s="22">
        <v>95.0</v>
      </c>
      <c r="R20" s="22">
        <v>73.0</v>
      </c>
      <c r="S20" s="22">
        <v>375.0</v>
      </c>
    </row>
    <row r="21">
      <c r="A21" s="23"/>
      <c r="B21" s="23"/>
      <c r="C21" s="23"/>
      <c r="D21" s="11"/>
      <c r="E21" s="22">
        <v>0.64</v>
      </c>
      <c r="F21" s="22">
        <v>0.717</v>
      </c>
      <c r="G21" s="22">
        <v>0.725</v>
      </c>
      <c r="H21" s="22">
        <v>0.72</v>
      </c>
      <c r="I21" s="60">
        <f t="shared" si="1"/>
        <v>0.475308642</v>
      </c>
      <c r="J21" s="60">
        <f t="shared" si="2"/>
        <v>0.8140043764</v>
      </c>
      <c r="K21" s="60">
        <f t="shared" si="3"/>
        <v>0.6446565092</v>
      </c>
      <c r="L21" s="22">
        <v>0.676</v>
      </c>
      <c r="M21" s="22">
        <v>0.291</v>
      </c>
      <c r="N21" s="22">
        <v>0.798</v>
      </c>
      <c r="O21" s="22">
        <v>0.83</v>
      </c>
      <c r="P21" s="22">
        <v>77.0</v>
      </c>
      <c r="Q21" s="22">
        <v>94.0</v>
      </c>
      <c r="R21" s="22">
        <v>76.0</v>
      </c>
      <c r="S21" s="22">
        <v>372.0</v>
      </c>
    </row>
    <row r="22">
      <c r="A22" s="23"/>
      <c r="B22" s="23"/>
      <c r="C22" s="23"/>
      <c r="D22" s="11"/>
      <c r="E22" s="22">
        <v>0.647</v>
      </c>
      <c r="F22" s="22">
        <v>0.724</v>
      </c>
      <c r="G22" s="80">
        <v>0.735</v>
      </c>
      <c r="H22" s="22">
        <v>0.729</v>
      </c>
      <c r="I22" s="60">
        <f t="shared" si="1"/>
        <v>0.4842767296</v>
      </c>
      <c r="J22" s="60">
        <f t="shared" si="2"/>
        <v>0.8217391304</v>
      </c>
      <c r="K22" s="60">
        <f t="shared" si="3"/>
        <v>0.65300793</v>
      </c>
      <c r="L22" s="80">
        <v>0.699</v>
      </c>
      <c r="M22" s="22">
        <v>0.309</v>
      </c>
      <c r="N22" s="22">
        <v>0.801</v>
      </c>
      <c r="O22" s="80">
        <v>0.844</v>
      </c>
      <c r="P22" s="22">
        <v>77.0</v>
      </c>
      <c r="Q22" s="22">
        <v>94.0</v>
      </c>
      <c r="R22" s="22">
        <v>70.0</v>
      </c>
      <c r="S22" s="22">
        <v>378.0</v>
      </c>
    </row>
    <row r="23">
      <c r="A23" s="23"/>
      <c r="B23" s="23"/>
      <c r="C23" s="23"/>
      <c r="D23" s="11"/>
      <c r="E23" s="22">
        <v>0.65</v>
      </c>
      <c r="F23" s="22">
        <v>0.723</v>
      </c>
      <c r="G23" s="22">
        <v>0.729</v>
      </c>
      <c r="H23" s="22">
        <v>0.725</v>
      </c>
      <c r="I23" s="60">
        <f t="shared" si="1"/>
        <v>0.4909090909</v>
      </c>
      <c r="J23" s="60">
        <f t="shared" si="2"/>
        <v>0.8149779736</v>
      </c>
      <c r="K23" s="60">
        <f t="shared" si="3"/>
        <v>0.6529435322</v>
      </c>
      <c r="L23" s="22">
        <v>0.693</v>
      </c>
      <c r="M23" s="22">
        <v>0.307</v>
      </c>
      <c r="N23" s="22">
        <v>0.804</v>
      </c>
      <c r="O23" s="22">
        <v>0.826</v>
      </c>
      <c r="P23" s="22">
        <v>81.0</v>
      </c>
      <c r="Q23" s="22">
        <v>90.0</v>
      </c>
      <c r="R23" s="22">
        <v>78.0</v>
      </c>
      <c r="S23" s="22">
        <v>370.0</v>
      </c>
    </row>
    <row r="24">
      <c r="A24" s="23"/>
      <c r="B24" s="23"/>
      <c r="C24" s="23"/>
      <c r="D24" s="11"/>
      <c r="E24" s="22">
        <v>0.633</v>
      </c>
      <c r="F24" s="22">
        <v>0.712</v>
      </c>
      <c r="G24" s="22">
        <v>0.722</v>
      </c>
      <c r="H24" s="22">
        <v>0.716</v>
      </c>
      <c r="I24" s="60">
        <f t="shared" si="1"/>
        <v>0.4625</v>
      </c>
      <c r="J24" s="60">
        <f t="shared" si="2"/>
        <v>0.8126361656</v>
      </c>
      <c r="K24" s="60">
        <f t="shared" si="3"/>
        <v>0.6375680828</v>
      </c>
      <c r="L24" s="22">
        <v>0.702</v>
      </c>
      <c r="M24" s="22">
        <v>0.278</v>
      </c>
      <c r="N24" s="22">
        <v>0.794</v>
      </c>
      <c r="O24" s="22">
        <v>0.833</v>
      </c>
      <c r="P24" s="22">
        <v>74.0</v>
      </c>
      <c r="Q24" s="22">
        <v>97.0</v>
      </c>
      <c r="R24" s="22">
        <v>75.0</v>
      </c>
      <c r="S24" s="22">
        <v>373.0</v>
      </c>
    </row>
    <row r="25">
      <c r="A25" s="23"/>
      <c r="B25" s="23"/>
      <c r="C25" s="23"/>
      <c r="D25" s="11"/>
      <c r="E25" s="22">
        <v>0.644</v>
      </c>
      <c r="F25" s="22">
        <v>0.72</v>
      </c>
      <c r="G25" s="22">
        <v>0.73</v>
      </c>
      <c r="H25" s="22">
        <v>0.724</v>
      </c>
      <c r="I25" s="60">
        <f t="shared" si="1"/>
        <v>0.4797507788</v>
      </c>
      <c r="J25" s="60">
        <f t="shared" si="2"/>
        <v>0.8178844057</v>
      </c>
      <c r="K25" s="60">
        <f t="shared" si="3"/>
        <v>0.6488175922</v>
      </c>
      <c r="L25" s="22">
        <v>0.718</v>
      </c>
      <c r="M25" s="22">
        <v>0.3</v>
      </c>
      <c r="N25" s="22">
        <v>0.8</v>
      </c>
      <c r="O25" s="22">
        <v>0.837</v>
      </c>
      <c r="P25" s="22">
        <v>77.0</v>
      </c>
      <c r="Q25" s="22">
        <v>94.0</v>
      </c>
      <c r="R25" s="22">
        <v>73.0</v>
      </c>
      <c r="S25" s="22">
        <v>375.0</v>
      </c>
    </row>
    <row r="26">
      <c r="A26" s="23"/>
      <c r="B26" s="23"/>
      <c r="C26" s="23"/>
      <c r="D26" s="11"/>
      <c r="E26" s="22">
        <v>0.646</v>
      </c>
      <c r="F26" s="22">
        <v>0.721</v>
      </c>
      <c r="G26" s="22">
        <v>0.729</v>
      </c>
      <c r="H26" s="22">
        <v>0.724</v>
      </c>
      <c r="I26" s="60">
        <f t="shared" si="1"/>
        <v>0.4846625767</v>
      </c>
      <c r="J26" s="60">
        <f t="shared" si="2"/>
        <v>0.8157894737</v>
      </c>
      <c r="K26" s="60">
        <f t="shared" si="3"/>
        <v>0.6502260252</v>
      </c>
      <c r="L26" s="22">
        <v>0.698</v>
      </c>
      <c r="M26" s="22">
        <v>0.302</v>
      </c>
      <c r="N26" s="22">
        <v>0.802</v>
      </c>
      <c r="O26" s="22">
        <v>0.83</v>
      </c>
      <c r="P26" s="22">
        <v>79.0</v>
      </c>
      <c r="Q26" s="22">
        <v>92.0</v>
      </c>
      <c r="R26" s="22">
        <v>76.0</v>
      </c>
      <c r="S26" s="22">
        <v>372.0</v>
      </c>
    </row>
    <row r="27">
      <c r="A27" s="23"/>
      <c r="B27" s="23"/>
      <c r="C27" s="23"/>
      <c r="D27" s="11"/>
      <c r="E27" s="22">
        <v>0.634</v>
      </c>
      <c r="F27" s="22">
        <v>0.712</v>
      </c>
      <c r="G27" s="22">
        <v>0.722</v>
      </c>
      <c r="H27" s="22">
        <v>0.717</v>
      </c>
      <c r="I27" s="60">
        <f t="shared" si="1"/>
        <v>0.4658385093</v>
      </c>
      <c r="J27" s="60">
        <f t="shared" si="2"/>
        <v>0.8122270742</v>
      </c>
      <c r="K27" s="60">
        <f t="shared" si="3"/>
        <v>0.6390327918</v>
      </c>
      <c r="L27" s="22">
        <v>0.7</v>
      </c>
      <c r="M27" s="22">
        <v>0.28</v>
      </c>
      <c r="N27" s="22">
        <v>0.795</v>
      </c>
      <c r="O27" s="22">
        <v>0.83</v>
      </c>
      <c r="P27" s="22">
        <v>75.0</v>
      </c>
      <c r="Q27" s="22">
        <v>96.0</v>
      </c>
      <c r="R27" s="22">
        <v>76.0</v>
      </c>
      <c r="S27" s="22">
        <v>372.0</v>
      </c>
    </row>
    <row r="28">
      <c r="A28" s="23"/>
      <c r="B28" s="23"/>
      <c r="C28" s="23"/>
      <c r="D28" s="11"/>
      <c r="E28" s="22">
        <v>0.641</v>
      </c>
      <c r="F28" s="22">
        <v>0.718</v>
      </c>
      <c r="G28" s="22">
        <v>0.727</v>
      </c>
      <c r="H28" s="22">
        <v>0.722</v>
      </c>
      <c r="I28" s="60">
        <f t="shared" si="1"/>
        <v>0.4767801858</v>
      </c>
      <c r="J28" s="60">
        <f t="shared" si="2"/>
        <v>0.8153005464</v>
      </c>
      <c r="K28" s="60">
        <f t="shared" si="3"/>
        <v>0.6460403661</v>
      </c>
      <c r="L28" s="22">
        <v>0.698</v>
      </c>
      <c r="M28" s="22">
        <v>0.294</v>
      </c>
      <c r="N28" s="22">
        <v>0.799</v>
      </c>
      <c r="O28" s="22">
        <v>0.833</v>
      </c>
      <c r="P28" s="22">
        <v>77.0</v>
      </c>
      <c r="Q28" s="22">
        <v>94.0</v>
      </c>
      <c r="R28" s="22">
        <v>75.0</v>
      </c>
      <c r="S28" s="22">
        <v>373.0</v>
      </c>
    </row>
    <row r="29">
      <c r="A29" s="23"/>
      <c r="B29" s="23"/>
      <c r="C29" s="23"/>
      <c r="D29" s="11"/>
      <c r="E29" s="22">
        <v>0.637</v>
      </c>
      <c r="F29" s="22">
        <v>0.712</v>
      </c>
      <c r="G29" s="22">
        <v>0.717</v>
      </c>
      <c r="H29" s="22">
        <v>0.714</v>
      </c>
      <c r="I29" s="60">
        <f t="shared" si="1"/>
        <v>0.4712990937</v>
      </c>
      <c r="J29" s="60">
        <f t="shared" si="2"/>
        <v>0.8070562293</v>
      </c>
      <c r="K29" s="60">
        <f t="shared" si="3"/>
        <v>0.6391776615</v>
      </c>
      <c r="L29" s="22">
        <v>0.689</v>
      </c>
      <c r="M29" s="22">
        <v>0.279</v>
      </c>
      <c r="N29" s="22">
        <v>0.797</v>
      </c>
      <c r="O29" s="22">
        <v>0.817</v>
      </c>
      <c r="P29" s="22">
        <v>78.0</v>
      </c>
      <c r="Q29" s="22">
        <v>93.0</v>
      </c>
      <c r="R29" s="22">
        <v>82.0</v>
      </c>
      <c r="S29" s="22">
        <v>366.0</v>
      </c>
    </row>
    <row r="30">
      <c r="A30" s="23"/>
      <c r="B30" s="23"/>
      <c r="C30" s="23"/>
      <c r="D30" s="11"/>
      <c r="E30" s="22">
        <v>0.643</v>
      </c>
      <c r="F30" s="22">
        <v>0.719</v>
      </c>
      <c r="G30" s="22">
        <v>0.727</v>
      </c>
      <c r="H30" s="22">
        <v>0.722</v>
      </c>
      <c r="I30" s="60">
        <f t="shared" si="1"/>
        <v>0.48</v>
      </c>
      <c r="J30" s="60">
        <f t="shared" si="2"/>
        <v>0.8148959474</v>
      </c>
      <c r="K30" s="60">
        <f t="shared" si="3"/>
        <v>0.6474479737</v>
      </c>
      <c r="L30" s="22">
        <v>0.707</v>
      </c>
      <c r="M30" s="22">
        <v>0.296</v>
      </c>
      <c r="N30" s="22">
        <v>0.8</v>
      </c>
      <c r="O30" s="22">
        <v>0.83</v>
      </c>
      <c r="P30" s="22">
        <v>78.0</v>
      </c>
      <c r="Q30" s="22">
        <v>93.0</v>
      </c>
      <c r="R30" s="22">
        <v>76.0</v>
      </c>
      <c r="S30" s="22">
        <v>372.0</v>
      </c>
    </row>
    <row r="31">
      <c r="A31" s="23"/>
      <c r="B31" s="23"/>
      <c r="C31" s="23"/>
      <c r="D31" s="11"/>
      <c r="E31" s="22">
        <v>0.63</v>
      </c>
      <c r="F31" s="22">
        <v>0.709</v>
      </c>
      <c r="G31" s="22">
        <v>0.721</v>
      </c>
      <c r="H31" s="22">
        <v>0.714</v>
      </c>
      <c r="I31" s="60">
        <f t="shared" si="1"/>
        <v>0.4576802508</v>
      </c>
      <c r="J31" s="60">
        <f t="shared" si="2"/>
        <v>0.8117519042</v>
      </c>
      <c r="K31" s="60">
        <f t="shared" si="3"/>
        <v>0.6347160775</v>
      </c>
      <c r="L31" s="22">
        <v>0.693</v>
      </c>
      <c r="M31" s="22">
        <v>0.272</v>
      </c>
      <c r="N31" s="22">
        <v>0.792</v>
      </c>
      <c r="O31" s="22">
        <v>0.833</v>
      </c>
      <c r="P31" s="22">
        <v>73.0</v>
      </c>
      <c r="Q31" s="22">
        <v>98.0</v>
      </c>
      <c r="R31" s="22">
        <v>75.0</v>
      </c>
      <c r="S31" s="22">
        <v>373.0</v>
      </c>
    </row>
    <row r="32">
      <c r="A32" s="23"/>
      <c r="B32" s="23"/>
      <c r="C32" s="23"/>
      <c r="D32" s="11"/>
      <c r="E32" s="22">
        <v>0.643</v>
      </c>
      <c r="F32" s="22">
        <v>0.712</v>
      </c>
      <c r="G32" s="22">
        <v>0.708</v>
      </c>
      <c r="H32" s="22">
        <v>0.71</v>
      </c>
      <c r="I32" s="60">
        <f t="shared" si="1"/>
        <v>0.4843304843</v>
      </c>
      <c r="J32" s="60">
        <f t="shared" si="2"/>
        <v>0.7959413754</v>
      </c>
      <c r="K32" s="60">
        <f t="shared" si="3"/>
        <v>0.6401359299</v>
      </c>
      <c r="L32" s="22">
        <v>0.664</v>
      </c>
      <c r="M32" s="22">
        <v>0.281</v>
      </c>
      <c r="N32" s="22">
        <v>0.804</v>
      </c>
      <c r="O32" s="22">
        <v>0.788</v>
      </c>
      <c r="P32" s="22">
        <v>85.0</v>
      </c>
      <c r="Q32" s="22">
        <v>86.0</v>
      </c>
      <c r="R32" s="22">
        <v>95.0</v>
      </c>
      <c r="S32" s="22">
        <v>353.0</v>
      </c>
    </row>
    <row r="33">
      <c r="A33" s="23"/>
      <c r="B33" s="23"/>
      <c r="C33" s="23"/>
      <c r="D33" s="11"/>
      <c r="E33" s="22">
        <v>0.619</v>
      </c>
      <c r="F33" s="22">
        <v>0.699</v>
      </c>
      <c r="G33" s="22">
        <v>0.708</v>
      </c>
      <c r="H33" s="22">
        <v>0.703</v>
      </c>
      <c r="I33" s="60">
        <f t="shared" si="1"/>
        <v>0.4430769231</v>
      </c>
      <c r="J33" s="60">
        <f t="shared" si="2"/>
        <v>0.8017524644</v>
      </c>
      <c r="K33" s="60">
        <f t="shared" si="3"/>
        <v>0.6224146937</v>
      </c>
      <c r="L33" s="22">
        <v>0.656</v>
      </c>
      <c r="M33" s="22">
        <v>0.246</v>
      </c>
      <c r="N33" s="22">
        <v>0.787</v>
      </c>
      <c r="O33" s="22">
        <v>0.817</v>
      </c>
      <c r="P33" s="22">
        <v>72.0</v>
      </c>
      <c r="Q33" s="22">
        <v>99.0</v>
      </c>
      <c r="R33" s="22">
        <v>82.0</v>
      </c>
      <c r="S33" s="22">
        <v>366.0</v>
      </c>
    </row>
    <row r="34">
      <c r="A34" s="23"/>
      <c r="B34" s="23"/>
      <c r="C34" s="23"/>
      <c r="D34" s="71" t="s">
        <v>23</v>
      </c>
      <c r="E34" s="22">
        <v>0.638</v>
      </c>
      <c r="F34" s="22">
        <v>0.715</v>
      </c>
      <c r="G34" s="22">
        <v>0.724</v>
      </c>
      <c r="H34" s="22">
        <v>0.719</v>
      </c>
      <c r="I34" s="60">
        <f t="shared" ref="I34:K34" si="4">MEDIAN(I4:I33)</f>
        <v>0.4712990937</v>
      </c>
      <c r="J34" s="60">
        <f t="shared" si="4"/>
        <v>0.813320271</v>
      </c>
      <c r="K34" s="60">
        <f t="shared" si="4"/>
        <v>0.642472178</v>
      </c>
      <c r="L34" s="22">
        <v>0.689</v>
      </c>
      <c r="M34" s="22">
        <v>0.287</v>
      </c>
      <c r="N34" s="22">
        <v>0.797</v>
      </c>
      <c r="O34" s="22">
        <v>0.829</v>
      </c>
      <c r="P34" s="22">
        <v>76.533</v>
      </c>
      <c r="Q34" s="22">
        <v>94.467</v>
      </c>
      <c r="R34" s="22">
        <v>76.6</v>
      </c>
      <c r="S34" s="22">
        <v>371.4</v>
      </c>
    </row>
    <row r="35">
      <c r="A35" s="72"/>
      <c r="B35" s="72"/>
      <c r="C35" s="72"/>
      <c r="D35" s="73" t="s">
        <v>232</v>
      </c>
      <c r="E35" s="22">
        <v>0.008</v>
      </c>
      <c r="F35" s="22">
        <v>0.006</v>
      </c>
      <c r="G35" s="22">
        <v>0.008</v>
      </c>
      <c r="H35" s="22">
        <v>0.007</v>
      </c>
      <c r="I35" s="60">
        <f t="shared" ref="I35:K35" si="5">_xlfn.STDEV.P(I4:I33)</f>
        <v>0.01184988973</v>
      </c>
      <c r="J35" s="60">
        <f t="shared" si="5"/>
        <v>0.006246175058</v>
      </c>
      <c r="K35" s="60">
        <f t="shared" si="5"/>
        <v>0.007680963562</v>
      </c>
      <c r="L35" s="22">
        <v>0.016</v>
      </c>
      <c r="M35" s="22">
        <v>0.016</v>
      </c>
      <c r="N35" s="22">
        <v>0.004</v>
      </c>
      <c r="O35" s="22">
        <v>0.013</v>
      </c>
      <c r="P35" s="22">
        <v>3.052</v>
      </c>
      <c r="Q35" s="22">
        <v>3.052</v>
      </c>
      <c r="R35" s="22">
        <v>5.631</v>
      </c>
      <c r="S35" s="22">
        <v>5.631</v>
      </c>
    </row>
    <row r="36">
      <c r="I36" s="60"/>
      <c r="J36" s="60"/>
      <c r="K36" s="60"/>
    </row>
    <row r="37">
      <c r="A37" s="77" t="s">
        <v>233</v>
      </c>
      <c r="B37" s="78" t="s">
        <v>231</v>
      </c>
      <c r="C37" s="78" t="s">
        <v>19</v>
      </c>
      <c r="D37" s="79"/>
      <c r="E37" s="32">
        <v>0.637</v>
      </c>
      <c r="F37" s="32">
        <v>0.717</v>
      </c>
      <c r="G37" s="32">
        <v>0.729</v>
      </c>
      <c r="H37" s="32">
        <v>0.721</v>
      </c>
      <c r="I37" s="60">
        <f t="shared" ref="I37:I66" si="6">(2*P37)/((2*P37) + Q37 + R37)</f>
        <v>0.4683544304</v>
      </c>
      <c r="J37" s="60">
        <f t="shared" ref="J37:J66" si="7">(2*S37)/((2*S37) + Q37 + R37)</f>
        <v>0.8177874187</v>
      </c>
      <c r="K37" s="60">
        <f t="shared" ref="K37:K66" si="8"> MEDIAN(I37,J37)</f>
        <v>0.6430709245</v>
      </c>
      <c r="L37" s="32">
        <v>0.674</v>
      </c>
      <c r="M37" s="32">
        <v>0.29</v>
      </c>
      <c r="N37" s="32">
        <v>0.795</v>
      </c>
      <c r="O37" s="32">
        <v>0.842</v>
      </c>
      <c r="P37" s="32">
        <v>74.0</v>
      </c>
      <c r="Q37" s="32">
        <v>97.0</v>
      </c>
      <c r="R37" s="22">
        <v>71.0</v>
      </c>
      <c r="S37" s="32">
        <v>377.0</v>
      </c>
    </row>
    <row r="38">
      <c r="A38" s="23"/>
      <c r="B38" s="23"/>
      <c r="C38" s="23"/>
      <c r="D38" s="69"/>
      <c r="E38" s="22">
        <v>0.621</v>
      </c>
      <c r="F38" s="32">
        <v>0.701</v>
      </c>
      <c r="G38" s="22">
        <v>0.711</v>
      </c>
      <c r="H38" s="22">
        <v>0.705</v>
      </c>
      <c r="I38" s="60">
        <f t="shared" si="6"/>
        <v>0.4458204334</v>
      </c>
      <c r="J38" s="60">
        <f t="shared" si="7"/>
        <v>0.8043715847</v>
      </c>
      <c r="K38" s="60">
        <f t="shared" si="8"/>
        <v>0.6250960091</v>
      </c>
      <c r="L38" s="22">
        <v>0.673</v>
      </c>
      <c r="M38" s="22">
        <v>0.252</v>
      </c>
      <c r="N38" s="22">
        <v>0.788</v>
      </c>
      <c r="O38" s="32">
        <v>0.821</v>
      </c>
      <c r="P38" s="22">
        <v>72.0</v>
      </c>
      <c r="Q38" s="22">
        <v>99.0</v>
      </c>
      <c r="R38" s="22">
        <v>80.0</v>
      </c>
      <c r="S38" s="22">
        <v>368.0</v>
      </c>
    </row>
    <row r="39">
      <c r="A39" s="23"/>
      <c r="B39" s="23"/>
      <c r="C39" s="23"/>
      <c r="D39" s="70"/>
      <c r="E39" s="22">
        <v>0.65</v>
      </c>
      <c r="F39" s="22">
        <v>0.721</v>
      </c>
      <c r="G39" s="22">
        <v>0.724</v>
      </c>
      <c r="H39" s="22">
        <v>0.722</v>
      </c>
      <c r="I39" s="60">
        <f t="shared" si="6"/>
        <v>0.4925816024</v>
      </c>
      <c r="J39" s="60">
        <f t="shared" si="7"/>
        <v>0.8102108768</v>
      </c>
      <c r="K39" s="60">
        <f t="shared" si="8"/>
        <v>0.6513962396</v>
      </c>
      <c r="L39" s="22">
        <v>0.666</v>
      </c>
      <c r="M39" s="22">
        <v>0.303</v>
      </c>
      <c r="N39" s="22">
        <v>0.806</v>
      </c>
      <c r="O39" s="22">
        <v>0.815</v>
      </c>
      <c r="P39" s="22">
        <v>83.0</v>
      </c>
      <c r="Q39" s="22">
        <v>88.0</v>
      </c>
      <c r="R39" s="22">
        <v>83.0</v>
      </c>
      <c r="S39" s="22">
        <v>365.0</v>
      </c>
    </row>
    <row r="40">
      <c r="A40" s="23"/>
      <c r="B40" s="23"/>
      <c r="C40" s="23"/>
      <c r="D40" s="70"/>
      <c r="E40" s="22">
        <v>0.645</v>
      </c>
      <c r="F40" s="22">
        <v>0.72</v>
      </c>
      <c r="G40" s="22">
        <v>0.727</v>
      </c>
      <c r="H40" s="22">
        <v>0.723</v>
      </c>
      <c r="I40" s="60">
        <f t="shared" si="6"/>
        <v>0.4831804281</v>
      </c>
      <c r="J40" s="60">
        <f t="shared" si="7"/>
        <v>0.8144895719</v>
      </c>
      <c r="K40" s="60">
        <f t="shared" si="8"/>
        <v>0.648835</v>
      </c>
      <c r="L40" s="22">
        <v>0.669</v>
      </c>
      <c r="M40" s="22">
        <v>0.299</v>
      </c>
      <c r="N40" s="22">
        <v>0.801</v>
      </c>
      <c r="O40" s="22">
        <v>0.828</v>
      </c>
      <c r="P40" s="22">
        <v>79.0</v>
      </c>
      <c r="Q40" s="22">
        <v>92.0</v>
      </c>
      <c r="R40" s="22">
        <v>77.0</v>
      </c>
      <c r="S40" s="22">
        <v>371.0</v>
      </c>
    </row>
    <row r="41">
      <c r="A41" s="23"/>
      <c r="B41" s="23"/>
      <c r="C41" s="23"/>
      <c r="D41" s="70"/>
      <c r="E41" s="22">
        <v>0.627</v>
      </c>
      <c r="F41" s="22">
        <v>0.709</v>
      </c>
      <c r="G41" s="22">
        <v>0.722</v>
      </c>
      <c r="H41" s="22">
        <v>0.714</v>
      </c>
      <c r="I41" s="60">
        <f t="shared" si="6"/>
        <v>0.4522292994</v>
      </c>
      <c r="J41" s="60">
        <f t="shared" si="7"/>
        <v>0.8138528139</v>
      </c>
      <c r="K41" s="60">
        <f t="shared" si="8"/>
        <v>0.6330410566</v>
      </c>
      <c r="L41" s="22">
        <v>0.675</v>
      </c>
      <c r="M41" s="22">
        <v>0.27</v>
      </c>
      <c r="N41" s="22">
        <v>0.79</v>
      </c>
      <c r="O41" s="22">
        <v>0.839</v>
      </c>
      <c r="P41" s="22">
        <v>71.0</v>
      </c>
      <c r="Q41" s="22">
        <v>100.0</v>
      </c>
      <c r="R41" s="22">
        <v>72.0</v>
      </c>
      <c r="S41" s="22">
        <v>376.0</v>
      </c>
    </row>
    <row r="42">
      <c r="A42" s="23"/>
      <c r="B42" s="23"/>
      <c r="C42" s="23"/>
      <c r="D42" s="70"/>
      <c r="E42" s="22">
        <v>0.631</v>
      </c>
      <c r="F42" s="22">
        <v>0.709</v>
      </c>
      <c r="G42" s="22">
        <v>0.717</v>
      </c>
      <c r="H42" s="22">
        <v>0.713</v>
      </c>
      <c r="I42" s="60">
        <f t="shared" si="6"/>
        <v>0.4615384615</v>
      </c>
      <c r="J42" s="60">
        <f t="shared" si="7"/>
        <v>0.8083242059</v>
      </c>
      <c r="K42" s="60">
        <f t="shared" si="8"/>
        <v>0.6349313337</v>
      </c>
      <c r="L42" s="22">
        <v>0.656</v>
      </c>
      <c r="M42" s="22">
        <v>0.271</v>
      </c>
      <c r="N42" s="22">
        <v>0.794</v>
      </c>
      <c r="O42" s="22">
        <v>0.824</v>
      </c>
      <c r="P42" s="22">
        <v>75.0</v>
      </c>
      <c r="Q42" s="22">
        <v>96.0</v>
      </c>
      <c r="R42" s="22">
        <v>79.0</v>
      </c>
      <c r="S42" s="22">
        <v>369.0</v>
      </c>
    </row>
    <row r="43">
      <c r="A43" s="23"/>
      <c r="B43" s="23"/>
      <c r="C43" s="23"/>
      <c r="D43" s="70"/>
      <c r="E43" s="22">
        <v>0.625</v>
      </c>
      <c r="F43" s="22">
        <v>0.708</v>
      </c>
      <c r="G43" s="22">
        <v>0.722</v>
      </c>
      <c r="H43" s="22">
        <v>0.713</v>
      </c>
      <c r="I43" s="60">
        <f t="shared" si="6"/>
        <v>0.4487179487</v>
      </c>
      <c r="J43" s="60">
        <f t="shared" si="7"/>
        <v>0.8142548596</v>
      </c>
      <c r="K43" s="60">
        <f t="shared" si="8"/>
        <v>0.6314864042</v>
      </c>
      <c r="L43" s="22">
        <v>0.659</v>
      </c>
      <c r="M43" s="22">
        <v>0.267</v>
      </c>
      <c r="N43" s="22">
        <v>0.789</v>
      </c>
      <c r="O43" s="22">
        <v>0.842</v>
      </c>
      <c r="P43" s="22">
        <v>70.0</v>
      </c>
      <c r="Q43" s="22">
        <v>101.0</v>
      </c>
      <c r="R43" s="22">
        <v>71.0</v>
      </c>
      <c r="S43" s="22">
        <v>377.0</v>
      </c>
    </row>
    <row r="44">
      <c r="A44" s="23"/>
      <c r="B44" s="23"/>
      <c r="C44" s="23"/>
      <c r="D44" s="70"/>
      <c r="E44" s="22">
        <v>0.634</v>
      </c>
      <c r="F44" s="22">
        <v>0.713</v>
      </c>
      <c r="G44" s="22">
        <v>0.724</v>
      </c>
      <c r="H44" s="22">
        <v>0.717</v>
      </c>
      <c r="I44" s="60">
        <f t="shared" si="6"/>
        <v>0.4639498433</v>
      </c>
      <c r="J44" s="60">
        <f t="shared" si="7"/>
        <v>0.8139281828</v>
      </c>
      <c r="K44" s="60">
        <f t="shared" si="8"/>
        <v>0.638939013</v>
      </c>
      <c r="L44" s="22">
        <v>0.678</v>
      </c>
      <c r="M44" s="22">
        <v>0.281</v>
      </c>
      <c r="N44" s="22">
        <v>0.794</v>
      </c>
      <c r="O44" s="22">
        <v>0.835</v>
      </c>
      <c r="P44" s="22">
        <v>74.0</v>
      </c>
      <c r="Q44" s="22">
        <v>97.0</v>
      </c>
      <c r="R44" s="22">
        <v>74.0</v>
      </c>
      <c r="S44" s="22">
        <v>374.0</v>
      </c>
    </row>
    <row r="45">
      <c r="A45" s="23"/>
      <c r="B45" s="23"/>
      <c r="C45" s="23"/>
      <c r="D45" s="70"/>
      <c r="E45" s="22">
        <v>0.629</v>
      </c>
      <c r="F45" s="22">
        <v>0.708</v>
      </c>
      <c r="G45" s="22">
        <v>0.719</v>
      </c>
      <c r="H45" s="22">
        <v>0.713</v>
      </c>
      <c r="I45" s="60">
        <f t="shared" si="6"/>
        <v>0.45625</v>
      </c>
      <c r="J45" s="60">
        <f t="shared" si="7"/>
        <v>0.8104575163</v>
      </c>
      <c r="K45" s="60">
        <f t="shared" si="8"/>
        <v>0.6333537582</v>
      </c>
      <c r="L45" s="22">
        <v>0.671</v>
      </c>
      <c r="M45" s="22">
        <v>0.269</v>
      </c>
      <c r="N45" s="22">
        <v>0.791</v>
      </c>
      <c r="O45" s="22">
        <v>0.83</v>
      </c>
      <c r="P45" s="22">
        <v>73.0</v>
      </c>
      <c r="Q45" s="22">
        <v>98.0</v>
      </c>
      <c r="R45" s="22">
        <v>76.0</v>
      </c>
      <c r="S45" s="22">
        <v>372.0</v>
      </c>
    </row>
    <row r="46">
      <c r="A46" s="23"/>
      <c r="B46" s="23"/>
      <c r="C46" s="23"/>
      <c r="D46" s="70"/>
      <c r="E46" s="22">
        <v>0.64</v>
      </c>
      <c r="F46" s="22">
        <v>0.717</v>
      </c>
      <c r="G46" s="22">
        <v>0.727</v>
      </c>
      <c r="H46" s="22">
        <v>0.721</v>
      </c>
      <c r="I46" s="60">
        <f t="shared" si="6"/>
        <v>0.4735202492</v>
      </c>
      <c r="J46" s="60">
        <f t="shared" si="7"/>
        <v>0.8157033806</v>
      </c>
      <c r="K46" s="60">
        <f t="shared" si="8"/>
        <v>0.6446118149</v>
      </c>
      <c r="L46" s="22">
        <v>0.637</v>
      </c>
      <c r="M46" s="22">
        <v>0.291</v>
      </c>
      <c r="N46" s="22">
        <v>0.797</v>
      </c>
      <c r="O46" s="22">
        <v>0.835</v>
      </c>
      <c r="P46" s="22">
        <v>76.0</v>
      </c>
      <c r="Q46" s="22">
        <v>95.0</v>
      </c>
      <c r="R46" s="22">
        <v>74.0</v>
      </c>
      <c r="S46" s="22">
        <v>374.0</v>
      </c>
    </row>
    <row r="47">
      <c r="A47" s="23"/>
      <c r="B47" s="23"/>
      <c r="C47" s="23"/>
      <c r="D47" s="11"/>
      <c r="E47" s="22">
        <v>0.661</v>
      </c>
      <c r="F47" s="22">
        <v>0.728</v>
      </c>
      <c r="G47" s="22">
        <v>0.727</v>
      </c>
      <c r="H47" s="22">
        <v>0.728</v>
      </c>
      <c r="I47" s="60">
        <f t="shared" si="6"/>
        <v>0.5101449275</v>
      </c>
      <c r="J47" s="60">
        <f t="shared" si="7"/>
        <v>0.81075028</v>
      </c>
      <c r="K47" s="60">
        <f t="shared" si="8"/>
        <v>0.6604476037</v>
      </c>
      <c r="L47" s="22">
        <v>0.689</v>
      </c>
      <c r="M47" s="22">
        <v>0.321</v>
      </c>
      <c r="N47" s="22">
        <v>0.813</v>
      </c>
      <c r="O47" s="22">
        <v>0.808</v>
      </c>
      <c r="P47" s="22">
        <v>88.0</v>
      </c>
      <c r="Q47" s="22">
        <v>83.0</v>
      </c>
      <c r="R47" s="22">
        <v>86.0</v>
      </c>
      <c r="S47" s="22">
        <v>362.0</v>
      </c>
    </row>
    <row r="48">
      <c r="A48" s="23"/>
      <c r="B48" s="23"/>
      <c r="C48" s="23"/>
      <c r="D48" s="11"/>
      <c r="E48" s="22">
        <v>0.637</v>
      </c>
      <c r="F48" s="22">
        <v>0.715</v>
      </c>
      <c r="G48" s="22">
        <v>0.725</v>
      </c>
      <c r="H48" s="22">
        <v>0.719</v>
      </c>
      <c r="I48" s="60">
        <f t="shared" si="6"/>
        <v>0.46875</v>
      </c>
      <c r="J48" s="60">
        <f t="shared" si="7"/>
        <v>0.8148148148</v>
      </c>
      <c r="K48" s="60">
        <f t="shared" si="8"/>
        <v>0.6417824074</v>
      </c>
      <c r="L48" s="22">
        <v>0.692</v>
      </c>
      <c r="M48" s="22">
        <v>0.286</v>
      </c>
      <c r="N48" s="22">
        <v>0.796</v>
      </c>
      <c r="O48" s="22">
        <v>0.835</v>
      </c>
      <c r="P48" s="22">
        <v>75.0</v>
      </c>
      <c r="Q48" s="22">
        <v>96.0</v>
      </c>
      <c r="R48" s="22">
        <v>74.0</v>
      </c>
      <c r="S48" s="22">
        <v>374.0</v>
      </c>
    </row>
    <row r="49">
      <c r="A49" s="23"/>
      <c r="B49" s="23"/>
      <c r="C49" s="23"/>
      <c r="D49" s="11"/>
      <c r="E49" s="22">
        <v>0.642</v>
      </c>
      <c r="F49" s="22">
        <v>0.718</v>
      </c>
      <c r="G49" s="22">
        <v>0.725</v>
      </c>
      <c r="H49" s="22">
        <v>0.721</v>
      </c>
      <c r="I49" s="60">
        <f t="shared" si="6"/>
        <v>0.4785276074</v>
      </c>
      <c r="J49" s="60">
        <f t="shared" si="7"/>
        <v>0.8135964912</v>
      </c>
      <c r="K49" s="60">
        <f t="shared" si="8"/>
        <v>0.6460620493</v>
      </c>
      <c r="L49" s="22">
        <v>0.687</v>
      </c>
      <c r="M49" s="22">
        <v>0.293</v>
      </c>
      <c r="N49" s="22">
        <v>0.8</v>
      </c>
      <c r="O49" s="22">
        <v>0.828</v>
      </c>
      <c r="P49" s="22">
        <v>78.0</v>
      </c>
      <c r="Q49" s="22">
        <v>93.0</v>
      </c>
      <c r="R49" s="22">
        <v>77.0</v>
      </c>
      <c r="S49" s="22">
        <v>371.0</v>
      </c>
    </row>
    <row r="50">
      <c r="A50" s="23"/>
      <c r="B50" s="23"/>
      <c r="C50" s="23"/>
      <c r="D50" s="11"/>
      <c r="E50" s="22">
        <v>0.641</v>
      </c>
      <c r="F50" s="22">
        <v>0.718</v>
      </c>
      <c r="G50" s="22">
        <v>0.727</v>
      </c>
      <c r="H50" s="22">
        <v>0.722</v>
      </c>
      <c r="I50" s="60">
        <f t="shared" si="6"/>
        <v>0.4767801858</v>
      </c>
      <c r="J50" s="60">
        <f t="shared" si="7"/>
        <v>0.8153005464</v>
      </c>
      <c r="K50" s="60">
        <f t="shared" si="8"/>
        <v>0.6460403661</v>
      </c>
      <c r="L50" s="22">
        <v>0.68</v>
      </c>
      <c r="M50" s="22">
        <v>0.294</v>
      </c>
      <c r="N50" s="22">
        <v>0.799</v>
      </c>
      <c r="O50" s="22">
        <v>0.833</v>
      </c>
      <c r="P50" s="22">
        <v>77.0</v>
      </c>
      <c r="Q50" s="22">
        <v>94.0</v>
      </c>
      <c r="R50" s="22">
        <v>75.0</v>
      </c>
      <c r="S50" s="22">
        <v>373.0</v>
      </c>
    </row>
    <row r="51">
      <c r="A51" s="23"/>
      <c r="B51" s="23"/>
      <c r="C51" s="23"/>
      <c r="D51" s="11"/>
      <c r="E51" s="22">
        <v>0.64</v>
      </c>
      <c r="F51" s="22">
        <v>0.717</v>
      </c>
      <c r="G51" s="22">
        <v>0.727</v>
      </c>
      <c r="H51" s="22">
        <v>0.721</v>
      </c>
      <c r="I51" s="60">
        <f t="shared" si="6"/>
        <v>0.4735202492</v>
      </c>
      <c r="J51" s="60">
        <f t="shared" si="7"/>
        <v>0.8157033806</v>
      </c>
      <c r="K51" s="60">
        <f t="shared" si="8"/>
        <v>0.6446118149</v>
      </c>
      <c r="L51" s="22">
        <v>0.685</v>
      </c>
      <c r="M51" s="22">
        <v>0.291</v>
      </c>
      <c r="N51" s="22">
        <v>0.797</v>
      </c>
      <c r="O51" s="22">
        <v>0.835</v>
      </c>
      <c r="P51" s="22">
        <v>76.0</v>
      </c>
      <c r="Q51" s="22">
        <v>95.0</v>
      </c>
      <c r="R51" s="22">
        <v>74.0</v>
      </c>
      <c r="S51" s="22">
        <v>374.0</v>
      </c>
    </row>
    <row r="52">
      <c r="A52" s="23"/>
      <c r="B52" s="23"/>
      <c r="C52" s="23"/>
      <c r="D52" s="11"/>
      <c r="E52" s="22">
        <v>0.633</v>
      </c>
      <c r="F52" s="22">
        <v>0.712</v>
      </c>
      <c r="G52" s="22">
        <v>0.722</v>
      </c>
      <c r="H52" s="22">
        <v>0.716</v>
      </c>
      <c r="I52" s="60">
        <f t="shared" si="6"/>
        <v>0.4625</v>
      </c>
      <c r="J52" s="60">
        <f t="shared" si="7"/>
        <v>0.8126361656</v>
      </c>
      <c r="K52" s="60">
        <f t="shared" si="8"/>
        <v>0.6375680828</v>
      </c>
      <c r="L52" s="22">
        <v>0.666</v>
      </c>
      <c r="M52" s="22">
        <v>0.278</v>
      </c>
      <c r="N52" s="22">
        <v>0.794</v>
      </c>
      <c r="O52" s="22">
        <v>0.833</v>
      </c>
      <c r="P52" s="22">
        <v>74.0</v>
      </c>
      <c r="Q52" s="22">
        <v>97.0</v>
      </c>
      <c r="R52" s="22">
        <v>75.0</v>
      </c>
      <c r="S52" s="22">
        <v>373.0</v>
      </c>
    </row>
    <row r="53">
      <c r="A53" s="23"/>
      <c r="B53" s="23"/>
      <c r="C53" s="23"/>
      <c r="D53" s="11"/>
      <c r="E53" s="22">
        <v>0.637</v>
      </c>
      <c r="F53" s="22">
        <v>0.719</v>
      </c>
      <c r="G53" s="22">
        <v>0.733</v>
      </c>
      <c r="H53" s="22">
        <v>0.724</v>
      </c>
      <c r="I53" s="60">
        <f t="shared" si="6"/>
        <v>0.4660194175</v>
      </c>
      <c r="J53" s="60">
        <f t="shared" si="7"/>
        <v>0.8223896663</v>
      </c>
      <c r="K53" s="60">
        <f t="shared" si="8"/>
        <v>0.6442045419</v>
      </c>
      <c r="L53" s="22">
        <v>0.687</v>
      </c>
      <c r="M53" s="22">
        <v>0.294</v>
      </c>
      <c r="N53" s="22">
        <v>0.794</v>
      </c>
      <c r="O53" s="22">
        <v>0.853</v>
      </c>
      <c r="P53" s="22">
        <v>72.0</v>
      </c>
      <c r="Q53" s="22">
        <v>99.0</v>
      </c>
      <c r="R53" s="22">
        <v>66.0</v>
      </c>
      <c r="S53" s="22">
        <v>382.0</v>
      </c>
    </row>
    <row r="54">
      <c r="A54" s="23"/>
      <c r="B54" s="23"/>
      <c r="C54" s="23"/>
      <c r="D54" s="11"/>
      <c r="E54" s="22">
        <v>0.635</v>
      </c>
      <c r="F54" s="22">
        <v>0.714</v>
      </c>
      <c r="G54" s="22">
        <v>0.725</v>
      </c>
      <c r="H54" s="22">
        <v>0.719</v>
      </c>
      <c r="I54" s="60">
        <f t="shared" si="6"/>
        <v>0.465408805</v>
      </c>
      <c r="J54" s="60">
        <f t="shared" si="7"/>
        <v>0.8152173913</v>
      </c>
      <c r="K54" s="60">
        <f t="shared" si="8"/>
        <v>0.6403130982</v>
      </c>
      <c r="L54" s="22">
        <v>0.69</v>
      </c>
      <c r="M54" s="22">
        <v>0.283</v>
      </c>
      <c r="N54" s="22">
        <v>0.794</v>
      </c>
      <c r="O54" s="22">
        <v>0.837</v>
      </c>
      <c r="P54" s="22">
        <v>74.0</v>
      </c>
      <c r="Q54" s="22">
        <v>97.0</v>
      </c>
      <c r="R54" s="22">
        <v>73.0</v>
      </c>
      <c r="S54" s="22">
        <v>375.0</v>
      </c>
    </row>
    <row r="55">
      <c r="A55" s="23"/>
      <c r="B55" s="23"/>
      <c r="C55" s="23"/>
      <c r="D55" s="11"/>
      <c r="E55" s="22">
        <v>0.632</v>
      </c>
      <c r="F55" s="22">
        <v>0.712</v>
      </c>
      <c r="G55" s="22">
        <v>0.724</v>
      </c>
      <c r="H55" s="22">
        <v>0.717</v>
      </c>
      <c r="I55" s="60">
        <f t="shared" si="6"/>
        <v>0.4605678233</v>
      </c>
      <c r="J55" s="60">
        <f t="shared" si="7"/>
        <v>0.8143322476</v>
      </c>
      <c r="K55" s="60">
        <f t="shared" si="8"/>
        <v>0.6374500355</v>
      </c>
      <c r="L55" s="22">
        <v>0.677</v>
      </c>
      <c r="M55" s="22">
        <v>0.278</v>
      </c>
      <c r="N55" s="22">
        <v>0.793</v>
      </c>
      <c r="O55" s="22">
        <v>0.837</v>
      </c>
      <c r="P55" s="22">
        <v>73.0</v>
      </c>
      <c r="Q55" s="22">
        <v>98.0</v>
      </c>
      <c r="R55" s="22">
        <v>73.0</v>
      </c>
      <c r="S55" s="22">
        <v>375.0</v>
      </c>
    </row>
    <row r="56">
      <c r="A56" s="23"/>
      <c r="B56" s="23"/>
      <c r="C56" s="23"/>
      <c r="D56" s="11"/>
      <c r="E56" s="22">
        <v>0.636</v>
      </c>
      <c r="F56" s="22">
        <v>0.714</v>
      </c>
      <c r="G56" s="22">
        <v>0.724</v>
      </c>
      <c r="H56" s="22">
        <v>0.718</v>
      </c>
      <c r="I56" s="60">
        <f t="shared" si="6"/>
        <v>0.4672897196</v>
      </c>
      <c r="J56" s="60">
        <f t="shared" si="7"/>
        <v>0.8135223555</v>
      </c>
      <c r="K56" s="60">
        <f t="shared" si="8"/>
        <v>0.6404060376</v>
      </c>
      <c r="L56" s="22">
        <v>0.664</v>
      </c>
      <c r="M56" s="22">
        <v>0.283</v>
      </c>
      <c r="N56" s="22">
        <v>0.795</v>
      </c>
      <c r="O56" s="22">
        <v>0.833</v>
      </c>
      <c r="P56" s="22">
        <v>75.0</v>
      </c>
      <c r="Q56" s="22">
        <v>96.0</v>
      </c>
      <c r="R56" s="22">
        <v>75.0</v>
      </c>
      <c r="S56" s="22">
        <v>373.0</v>
      </c>
    </row>
    <row r="57">
      <c r="A57" s="23"/>
      <c r="B57" s="23"/>
      <c r="C57" s="23"/>
      <c r="D57" s="11"/>
      <c r="E57" s="22">
        <v>0.633</v>
      </c>
      <c r="F57" s="22">
        <v>0.711</v>
      </c>
      <c r="G57" s="22">
        <v>0.721</v>
      </c>
      <c r="H57" s="22">
        <v>0.715</v>
      </c>
      <c r="I57" s="60">
        <f t="shared" si="6"/>
        <v>0.4643962848</v>
      </c>
      <c r="J57" s="60">
        <f t="shared" si="7"/>
        <v>0.8109289617</v>
      </c>
      <c r="K57" s="60">
        <f t="shared" si="8"/>
        <v>0.6376626233</v>
      </c>
      <c r="L57" s="22">
        <v>0.633</v>
      </c>
      <c r="M57" s="22">
        <v>0.277</v>
      </c>
      <c r="N57" s="22">
        <v>0.794</v>
      </c>
      <c r="O57" s="22">
        <v>0.828</v>
      </c>
      <c r="P57" s="22">
        <v>75.0</v>
      </c>
      <c r="Q57" s="22">
        <v>96.0</v>
      </c>
      <c r="R57" s="22">
        <v>77.0</v>
      </c>
      <c r="S57" s="22">
        <v>371.0</v>
      </c>
    </row>
    <row r="58">
      <c r="A58" s="23"/>
      <c r="B58" s="23"/>
      <c r="C58" s="23"/>
      <c r="D58" s="11"/>
      <c r="E58" s="22">
        <v>0.625</v>
      </c>
      <c r="F58" s="22">
        <v>0.705</v>
      </c>
      <c r="G58" s="22">
        <v>0.716</v>
      </c>
      <c r="H58" s="22">
        <v>0.709</v>
      </c>
      <c r="I58" s="60">
        <f t="shared" si="6"/>
        <v>0.45</v>
      </c>
      <c r="J58" s="60">
        <f t="shared" si="7"/>
        <v>0.8082788671</v>
      </c>
      <c r="K58" s="60">
        <f t="shared" si="8"/>
        <v>0.6291394336</v>
      </c>
      <c r="L58" s="22">
        <v>0.672</v>
      </c>
      <c r="M58" s="22">
        <v>0.261</v>
      </c>
      <c r="N58" s="22">
        <v>0.789</v>
      </c>
      <c r="O58" s="22">
        <v>0.828</v>
      </c>
      <c r="P58" s="22">
        <v>72.0</v>
      </c>
      <c r="Q58" s="22">
        <v>99.0</v>
      </c>
      <c r="R58" s="22">
        <v>77.0</v>
      </c>
      <c r="S58" s="22">
        <v>371.0</v>
      </c>
    </row>
    <row r="59">
      <c r="A59" s="23"/>
      <c r="B59" s="23"/>
      <c r="C59" s="23"/>
      <c r="D59" s="11"/>
      <c r="E59" s="22">
        <v>0.627</v>
      </c>
      <c r="F59" s="22">
        <v>0.707</v>
      </c>
      <c r="G59" s="22">
        <v>0.719</v>
      </c>
      <c r="H59" s="22">
        <v>0.712</v>
      </c>
      <c r="I59" s="60">
        <f t="shared" si="6"/>
        <v>0.4528301887</v>
      </c>
      <c r="J59" s="60">
        <f t="shared" si="7"/>
        <v>0.8108695652</v>
      </c>
      <c r="K59" s="60">
        <f t="shared" si="8"/>
        <v>0.6318498769</v>
      </c>
      <c r="L59" s="22">
        <v>0.662</v>
      </c>
      <c r="M59" s="22">
        <v>0.267</v>
      </c>
      <c r="N59" s="22">
        <v>0.79</v>
      </c>
      <c r="O59" s="22">
        <v>0.833</v>
      </c>
      <c r="P59" s="22">
        <v>72.0</v>
      </c>
      <c r="Q59" s="22">
        <v>99.0</v>
      </c>
      <c r="R59" s="22">
        <v>75.0</v>
      </c>
      <c r="S59" s="22">
        <v>373.0</v>
      </c>
    </row>
    <row r="60">
      <c r="A60" s="23"/>
      <c r="B60" s="23"/>
      <c r="C60" s="23"/>
      <c r="D60" s="11"/>
      <c r="E60" s="22">
        <v>0.632</v>
      </c>
      <c r="F60" s="22">
        <v>0.712</v>
      </c>
      <c r="G60" s="22">
        <v>0.724</v>
      </c>
      <c r="H60" s="22">
        <v>0.717</v>
      </c>
      <c r="I60" s="60">
        <f t="shared" si="6"/>
        <v>0.4605678233</v>
      </c>
      <c r="J60" s="60">
        <f t="shared" si="7"/>
        <v>0.8143322476</v>
      </c>
      <c r="K60" s="60">
        <f t="shared" si="8"/>
        <v>0.6374500355</v>
      </c>
      <c r="L60" s="22">
        <v>0.686</v>
      </c>
      <c r="M60" s="22">
        <v>0.278</v>
      </c>
      <c r="N60" s="22">
        <v>0.793</v>
      </c>
      <c r="O60" s="22">
        <v>0.837</v>
      </c>
      <c r="P60" s="22">
        <v>73.0</v>
      </c>
      <c r="Q60" s="22">
        <v>98.0</v>
      </c>
      <c r="R60" s="22">
        <v>73.0</v>
      </c>
      <c r="S60" s="22">
        <v>375.0</v>
      </c>
    </row>
    <row r="61">
      <c r="A61" s="23"/>
      <c r="B61" s="23"/>
      <c r="C61" s="23"/>
      <c r="D61" s="11"/>
      <c r="E61" s="22">
        <v>0.638</v>
      </c>
      <c r="F61" s="22">
        <v>0.716</v>
      </c>
      <c r="G61" s="22">
        <v>0.727</v>
      </c>
      <c r="H61" s="22">
        <v>0.721</v>
      </c>
      <c r="I61" s="60">
        <f t="shared" si="6"/>
        <v>0.4702194357</v>
      </c>
      <c r="J61" s="60">
        <f t="shared" si="7"/>
        <v>0.8161044614</v>
      </c>
      <c r="K61" s="60">
        <f t="shared" si="8"/>
        <v>0.6431619486</v>
      </c>
      <c r="L61" s="22">
        <v>0.697</v>
      </c>
      <c r="M61" s="22">
        <v>0.289</v>
      </c>
      <c r="N61" s="22">
        <v>0.796</v>
      </c>
      <c r="O61" s="22">
        <v>0.837</v>
      </c>
      <c r="P61" s="22">
        <v>75.0</v>
      </c>
      <c r="Q61" s="22">
        <v>96.0</v>
      </c>
      <c r="R61" s="22">
        <v>73.0</v>
      </c>
      <c r="S61" s="22">
        <v>375.0</v>
      </c>
    </row>
    <row r="62">
      <c r="A62" s="23"/>
      <c r="B62" s="23"/>
      <c r="C62" s="23"/>
      <c r="D62" s="11"/>
      <c r="E62" s="22">
        <v>0.634</v>
      </c>
      <c r="F62" s="22">
        <v>0.713</v>
      </c>
      <c r="G62" s="22">
        <v>0.724</v>
      </c>
      <c r="H62" s="22">
        <v>0.717</v>
      </c>
      <c r="I62" s="60">
        <f t="shared" si="6"/>
        <v>0.4639498433</v>
      </c>
      <c r="J62" s="60">
        <f t="shared" si="7"/>
        <v>0.8139281828</v>
      </c>
      <c r="K62" s="60">
        <f t="shared" si="8"/>
        <v>0.638939013</v>
      </c>
      <c r="L62" s="22">
        <v>0.655</v>
      </c>
      <c r="M62" s="22">
        <v>0.281</v>
      </c>
      <c r="N62" s="22">
        <v>0.794</v>
      </c>
      <c r="O62" s="22">
        <v>0.835</v>
      </c>
      <c r="P62" s="22">
        <v>74.0</v>
      </c>
      <c r="Q62" s="22">
        <v>97.0</v>
      </c>
      <c r="R62" s="22">
        <v>74.0</v>
      </c>
      <c r="S62" s="22">
        <v>374.0</v>
      </c>
    </row>
    <row r="63">
      <c r="A63" s="23"/>
      <c r="B63" s="23"/>
      <c r="C63" s="23"/>
      <c r="D63" s="11"/>
      <c r="E63" s="22">
        <v>0.633</v>
      </c>
      <c r="F63" s="22">
        <v>0.711</v>
      </c>
      <c r="G63" s="22">
        <v>0.721</v>
      </c>
      <c r="H63" s="22">
        <v>0.715</v>
      </c>
      <c r="I63" s="60">
        <f t="shared" si="6"/>
        <v>0.4643962848</v>
      </c>
      <c r="J63" s="60">
        <f t="shared" si="7"/>
        <v>0.8109289617</v>
      </c>
      <c r="K63" s="60">
        <f t="shared" si="8"/>
        <v>0.6376626233</v>
      </c>
      <c r="L63" s="22">
        <v>0.684</v>
      </c>
      <c r="M63" s="22">
        <v>0.277</v>
      </c>
      <c r="N63" s="22">
        <v>0.794</v>
      </c>
      <c r="O63" s="22">
        <v>0.828</v>
      </c>
      <c r="P63" s="22">
        <v>75.0</v>
      </c>
      <c r="Q63" s="22">
        <v>96.0</v>
      </c>
      <c r="R63" s="22">
        <v>77.0</v>
      </c>
      <c r="S63" s="22">
        <v>371.0</v>
      </c>
    </row>
    <row r="64">
      <c r="A64" s="23"/>
      <c r="B64" s="23"/>
      <c r="C64" s="23"/>
      <c r="D64" s="11"/>
      <c r="E64" s="22">
        <v>0.633</v>
      </c>
      <c r="F64" s="22">
        <v>0.711</v>
      </c>
      <c r="G64" s="22">
        <v>0.721</v>
      </c>
      <c r="H64" s="22">
        <v>0.715</v>
      </c>
      <c r="I64" s="60">
        <f t="shared" si="6"/>
        <v>0.4643962848</v>
      </c>
      <c r="J64" s="60">
        <f t="shared" si="7"/>
        <v>0.8109289617</v>
      </c>
      <c r="K64" s="60">
        <f t="shared" si="8"/>
        <v>0.6376626233</v>
      </c>
      <c r="L64" s="22">
        <v>0.679</v>
      </c>
      <c r="M64" s="22">
        <v>0.277</v>
      </c>
      <c r="N64" s="22">
        <v>0.794</v>
      </c>
      <c r="O64" s="22">
        <v>0.828</v>
      </c>
      <c r="P64" s="22">
        <v>75.0</v>
      </c>
      <c r="Q64" s="22">
        <v>96.0</v>
      </c>
      <c r="R64" s="22">
        <v>77.0</v>
      </c>
      <c r="S64" s="22">
        <v>371.0</v>
      </c>
    </row>
    <row r="65">
      <c r="A65" s="23"/>
      <c r="B65" s="23"/>
      <c r="C65" s="23"/>
      <c r="D65" s="11"/>
      <c r="E65" s="22">
        <v>0.641</v>
      </c>
      <c r="F65" s="22">
        <v>0.716</v>
      </c>
      <c r="G65" s="22">
        <v>0.724</v>
      </c>
      <c r="H65" s="22">
        <v>0.72</v>
      </c>
      <c r="I65" s="60">
        <f t="shared" si="6"/>
        <v>0.4770642202</v>
      </c>
      <c r="J65" s="60">
        <f t="shared" si="7"/>
        <v>0.8122941822</v>
      </c>
      <c r="K65" s="60">
        <f t="shared" si="8"/>
        <v>0.6446792012</v>
      </c>
      <c r="L65" s="22">
        <v>0.681</v>
      </c>
      <c r="M65" s="22">
        <v>0.29</v>
      </c>
      <c r="N65" s="22">
        <v>0.799</v>
      </c>
      <c r="O65" s="22">
        <v>0.826</v>
      </c>
      <c r="P65" s="22">
        <v>78.0</v>
      </c>
      <c r="Q65" s="22">
        <v>93.0</v>
      </c>
      <c r="R65" s="22">
        <v>78.0</v>
      </c>
      <c r="S65" s="22">
        <v>370.0</v>
      </c>
    </row>
    <row r="66">
      <c r="A66" s="23"/>
      <c r="B66" s="23"/>
      <c r="C66" s="23"/>
      <c r="D66" s="11"/>
      <c r="E66" s="22">
        <v>0.634</v>
      </c>
      <c r="F66" s="22">
        <v>0.708</v>
      </c>
      <c r="G66" s="22">
        <v>0.711</v>
      </c>
      <c r="H66" s="22">
        <v>0.709</v>
      </c>
      <c r="I66" s="60">
        <f t="shared" si="6"/>
        <v>0.46884273</v>
      </c>
      <c r="J66" s="60">
        <f t="shared" si="7"/>
        <v>0.8013318535</v>
      </c>
      <c r="K66" s="60">
        <f t="shared" si="8"/>
        <v>0.6350872917</v>
      </c>
      <c r="L66" s="22">
        <v>0.625</v>
      </c>
      <c r="M66" s="22">
        <v>0.27</v>
      </c>
      <c r="N66" s="22">
        <v>0.797</v>
      </c>
      <c r="O66" s="22">
        <v>0.806</v>
      </c>
      <c r="P66" s="22">
        <v>79.0</v>
      </c>
      <c r="Q66" s="22">
        <v>92.0</v>
      </c>
      <c r="R66" s="22">
        <v>87.0</v>
      </c>
      <c r="S66" s="22">
        <v>361.0</v>
      </c>
    </row>
    <row r="67">
      <c r="A67" s="23"/>
      <c r="B67" s="23"/>
      <c r="C67" s="23"/>
      <c r="D67" s="71" t="s">
        <v>23</v>
      </c>
      <c r="E67" s="22">
        <v>0.635</v>
      </c>
      <c r="F67" s="22">
        <v>0.713</v>
      </c>
      <c r="G67" s="22">
        <v>0.723</v>
      </c>
      <c r="H67" s="22">
        <v>0.717</v>
      </c>
      <c r="I67" s="60">
        <f t="shared" ref="I67:K67" si="9">MEDIAN(I37:I66)</f>
        <v>0.4649025449</v>
      </c>
      <c r="J67" s="60">
        <f t="shared" si="9"/>
        <v>0.8137246525</v>
      </c>
      <c r="K67" s="60">
        <f t="shared" si="9"/>
        <v>0.638939013</v>
      </c>
      <c r="L67" s="22">
        <v>0.672</v>
      </c>
      <c r="M67" s="22">
        <v>0.282</v>
      </c>
      <c r="N67" s="22">
        <v>0.795</v>
      </c>
      <c r="O67" s="22">
        <v>0.831</v>
      </c>
      <c r="P67" s="22">
        <v>75.233</v>
      </c>
      <c r="Q67" s="22">
        <v>95.767</v>
      </c>
      <c r="R67" s="22">
        <v>75.767</v>
      </c>
      <c r="S67" s="22">
        <v>372.233</v>
      </c>
    </row>
    <row r="68">
      <c r="A68" s="72"/>
      <c r="B68" s="72"/>
      <c r="C68" s="72"/>
      <c r="D68" s="73" t="s">
        <v>232</v>
      </c>
      <c r="E68" s="22">
        <v>0.008</v>
      </c>
      <c r="F68" s="22">
        <v>0.005</v>
      </c>
      <c r="G68" s="22">
        <v>0.005</v>
      </c>
      <c r="H68" s="22">
        <v>0.005</v>
      </c>
      <c r="I68" s="60">
        <f t="shared" ref="I68:K68" si="10">_xlfn.STDEV.P(I37:I66)</f>
        <v>0.01290053669</v>
      </c>
      <c r="J68" s="60">
        <f t="shared" si="10"/>
        <v>0.003868611544</v>
      </c>
      <c r="K68" s="60">
        <f t="shared" si="10"/>
        <v>0.00698309949</v>
      </c>
      <c r="L68" s="22">
        <v>0.017</v>
      </c>
      <c r="M68" s="22">
        <v>0.014</v>
      </c>
      <c r="N68" s="22">
        <v>0.005</v>
      </c>
      <c r="O68" s="22">
        <v>0.009</v>
      </c>
      <c r="P68" s="22">
        <v>3.565</v>
      </c>
      <c r="Q68" s="22">
        <v>3.565</v>
      </c>
      <c r="R68" s="22">
        <v>4.201</v>
      </c>
      <c r="S68" s="22">
        <v>4.201</v>
      </c>
    </row>
    <row r="69">
      <c r="I69" s="60"/>
      <c r="J69" s="60"/>
      <c r="K69" s="60"/>
    </row>
    <row r="70">
      <c r="A70" s="77" t="s">
        <v>234</v>
      </c>
      <c r="B70" s="78" t="s">
        <v>231</v>
      </c>
      <c r="C70" s="78" t="s">
        <v>48</v>
      </c>
      <c r="D70" s="79"/>
      <c r="E70" s="32">
        <v>0.573</v>
      </c>
      <c r="F70" s="32">
        <v>0.709</v>
      </c>
      <c r="G70" s="32">
        <v>0.74</v>
      </c>
      <c r="H70" s="32">
        <v>0.69</v>
      </c>
      <c r="I70" s="60">
        <f t="shared" ref="I70:I99" si="11">(2*P70)/((2*P70) + Q70 + R70)</f>
        <v>0.2969432314</v>
      </c>
      <c r="J70" s="60">
        <f t="shared" ref="J70:J99" si="12">(2*S70)/((2*S70) + Q70 + R70)</f>
        <v>0.8404360753</v>
      </c>
      <c r="K70" s="60">
        <f t="shared" ref="K70:K99" si="13"> MEDIAN(I70,J70)</f>
        <v>0.5686896534</v>
      </c>
      <c r="L70" s="32">
        <v>0.686</v>
      </c>
      <c r="M70" s="32">
        <v>0.223</v>
      </c>
      <c r="N70" s="32">
        <v>0.756</v>
      </c>
      <c r="O70" s="32">
        <v>0.946</v>
      </c>
      <c r="P70" s="32">
        <v>34.0</v>
      </c>
      <c r="Q70" s="32">
        <v>137.0</v>
      </c>
      <c r="R70" s="22">
        <v>24.0</v>
      </c>
      <c r="S70" s="32">
        <v>424.0</v>
      </c>
    </row>
    <row r="71">
      <c r="A71" s="23"/>
      <c r="B71" s="23"/>
      <c r="C71" s="23"/>
      <c r="D71" s="69"/>
      <c r="E71" s="22">
        <v>0.6</v>
      </c>
      <c r="F71" s="32">
        <v>0.677</v>
      </c>
      <c r="G71" s="22">
        <v>0.664</v>
      </c>
      <c r="H71" s="22">
        <v>0.67</v>
      </c>
      <c r="I71" s="60">
        <f t="shared" si="11"/>
        <v>0.4285714286</v>
      </c>
      <c r="J71" s="60">
        <f t="shared" si="12"/>
        <v>0.76201373</v>
      </c>
      <c r="K71" s="60">
        <f t="shared" si="13"/>
        <v>0.5952925793</v>
      </c>
      <c r="L71" s="22">
        <v>0.671</v>
      </c>
      <c r="M71" s="22">
        <v>0.193</v>
      </c>
      <c r="N71" s="22">
        <v>0.782</v>
      </c>
      <c r="O71" s="32">
        <v>0.743</v>
      </c>
      <c r="P71" s="22">
        <v>78.0</v>
      </c>
      <c r="Q71" s="22">
        <v>93.0</v>
      </c>
      <c r="R71" s="22">
        <v>115.0</v>
      </c>
      <c r="S71" s="22">
        <v>333.0</v>
      </c>
    </row>
    <row r="72">
      <c r="A72" s="23"/>
      <c r="B72" s="23"/>
      <c r="C72" s="23"/>
      <c r="D72" s="70"/>
      <c r="E72" s="22">
        <v>0.571</v>
      </c>
      <c r="F72" s="22">
        <v>0.685</v>
      </c>
      <c r="G72" s="22">
        <v>0.724</v>
      </c>
      <c r="H72" s="22">
        <v>0.685</v>
      </c>
      <c r="I72" s="60">
        <f t="shared" si="11"/>
        <v>0.313253012</v>
      </c>
      <c r="J72" s="60">
        <f t="shared" si="12"/>
        <v>0.8270980789</v>
      </c>
      <c r="K72" s="60">
        <f t="shared" si="13"/>
        <v>0.5701755455</v>
      </c>
      <c r="L72" s="22">
        <v>0.666</v>
      </c>
      <c r="M72" s="22">
        <v>0.19</v>
      </c>
      <c r="N72" s="22">
        <v>0.756</v>
      </c>
      <c r="O72" s="22">
        <v>0.913</v>
      </c>
      <c r="P72" s="22">
        <v>39.0</v>
      </c>
      <c r="Q72" s="22">
        <v>132.0</v>
      </c>
      <c r="R72" s="22">
        <v>39.0</v>
      </c>
      <c r="S72" s="22">
        <v>409.0</v>
      </c>
    </row>
    <row r="73">
      <c r="A73" s="23"/>
      <c r="B73" s="23"/>
      <c r="C73" s="23"/>
      <c r="D73" s="70"/>
      <c r="E73" s="22">
        <v>0.621</v>
      </c>
      <c r="F73" s="22">
        <v>0.703</v>
      </c>
      <c r="G73" s="22">
        <v>0.716</v>
      </c>
      <c r="H73" s="22">
        <v>0.708</v>
      </c>
      <c r="I73" s="60">
        <f t="shared" si="11"/>
        <v>0.4430379747</v>
      </c>
      <c r="J73" s="60">
        <f t="shared" si="12"/>
        <v>0.8091106291</v>
      </c>
      <c r="K73" s="60">
        <f t="shared" si="13"/>
        <v>0.6260743019</v>
      </c>
      <c r="L73" s="22">
        <v>0.7</v>
      </c>
      <c r="M73" s="22">
        <v>0.255</v>
      </c>
      <c r="N73" s="22">
        <v>0.787</v>
      </c>
      <c r="O73" s="22">
        <v>0.833</v>
      </c>
      <c r="P73" s="22">
        <v>70.0</v>
      </c>
      <c r="Q73" s="22">
        <v>101.0</v>
      </c>
      <c r="R73" s="22">
        <v>75.0</v>
      </c>
      <c r="S73" s="22">
        <v>373.0</v>
      </c>
    </row>
    <row r="74">
      <c r="A74" s="23"/>
      <c r="B74" s="23"/>
      <c r="C74" s="23"/>
      <c r="D74" s="70"/>
      <c r="E74" s="22">
        <v>0.621</v>
      </c>
      <c r="F74" s="22">
        <v>0.721</v>
      </c>
      <c r="G74" s="22">
        <v>0.745</v>
      </c>
      <c r="H74" s="22">
        <v>0.723</v>
      </c>
      <c r="I74" s="60">
        <f t="shared" si="11"/>
        <v>0.4275362319</v>
      </c>
      <c r="J74" s="60">
        <f t="shared" si="12"/>
        <v>0.8357588358</v>
      </c>
      <c r="K74" s="60">
        <f t="shared" si="13"/>
        <v>0.6316475338</v>
      </c>
      <c r="L74" s="22">
        <v>0.743</v>
      </c>
      <c r="M74" s="22">
        <v>0.289</v>
      </c>
      <c r="N74" s="22">
        <v>0.782</v>
      </c>
      <c r="O74" s="22">
        <v>0.897</v>
      </c>
      <c r="P74" s="22">
        <v>59.0</v>
      </c>
      <c r="Q74" s="22">
        <v>112.0</v>
      </c>
      <c r="R74" s="22">
        <v>46.0</v>
      </c>
      <c r="S74" s="22">
        <v>402.0</v>
      </c>
    </row>
    <row r="75">
      <c r="A75" s="23"/>
      <c r="B75" s="23"/>
      <c r="C75" s="23"/>
      <c r="D75" s="70"/>
      <c r="E75" s="22">
        <v>0.566</v>
      </c>
      <c r="F75" s="22">
        <v>0.686</v>
      </c>
      <c r="G75" s="22">
        <v>0.725</v>
      </c>
      <c r="H75" s="22">
        <v>0.682</v>
      </c>
      <c r="I75" s="60">
        <f t="shared" si="11"/>
        <v>0.2975206612</v>
      </c>
      <c r="J75" s="60">
        <f t="shared" si="12"/>
        <v>0.8293172691</v>
      </c>
      <c r="K75" s="60">
        <f t="shared" si="13"/>
        <v>0.5634189651</v>
      </c>
      <c r="L75" s="22">
        <v>0.683</v>
      </c>
      <c r="M75" s="22">
        <v>0.186</v>
      </c>
      <c r="N75" s="22">
        <v>0.754</v>
      </c>
      <c r="O75" s="22">
        <v>0.922</v>
      </c>
      <c r="P75" s="22">
        <v>36.0</v>
      </c>
      <c r="Q75" s="22">
        <v>135.0</v>
      </c>
      <c r="R75" s="22">
        <v>35.0</v>
      </c>
      <c r="S75" s="22">
        <v>413.0</v>
      </c>
    </row>
    <row r="76">
      <c r="A76" s="23"/>
      <c r="B76" s="23"/>
      <c r="C76" s="23"/>
      <c r="D76" s="70"/>
      <c r="E76" s="22">
        <v>0.617</v>
      </c>
      <c r="F76" s="22">
        <v>0.706</v>
      </c>
      <c r="G76" s="22">
        <v>0.725</v>
      </c>
      <c r="H76" s="22">
        <v>0.712</v>
      </c>
      <c r="I76" s="60">
        <f t="shared" si="11"/>
        <v>0.4295302013</v>
      </c>
      <c r="J76" s="60">
        <f t="shared" si="12"/>
        <v>0.8191489362</v>
      </c>
      <c r="K76" s="60">
        <f t="shared" si="13"/>
        <v>0.6243395688</v>
      </c>
      <c r="L76" s="22">
        <v>0.716</v>
      </c>
      <c r="M76" s="22">
        <v>0.259</v>
      </c>
      <c r="N76" s="22">
        <v>0.783</v>
      </c>
      <c r="O76" s="22">
        <v>0.859</v>
      </c>
      <c r="P76" s="22">
        <v>64.0</v>
      </c>
      <c r="Q76" s="22">
        <v>107.0</v>
      </c>
      <c r="R76" s="22">
        <v>63.0</v>
      </c>
      <c r="S76" s="22">
        <v>385.0</v>
      </c>
    </row>
    <row r="77">
      <c r="A77" s="23"/>
      <c r="B77" s="23"/>
      <c r="C77" s="23"/>
      <c r="D77" s="70"/>
      <c r="E77" s="22">
        <v>0.613</v>
      </c>
      <c r="F77" s="22">
        <v>0.739</v>
      </c>
      <c r="G77" s="22">
        <v>0.759</v>
      </c>
      <c r="H77" s="22">
        <v>0.725</v>
      </c>
      <c r="I77" s="60">
        <f t="shared" si="11"/>
        <v>0.3967611336</v>
      </c>
      <c r="J77" s="60">
        <f t="shared" si="12"/>
        <v>0.8496468214</v>
      </c>
      <c r="K77" s="60">
        <f t="shared" si="13"/>
        <v>0.6232039775</v>
      </c>
      <c r="L77" s="22">
        <v>0.745</v>
      </c>
      <c r="M77" s="22">
        <v>0.308</v>
      </c>
      <c r="N77" s="22">
        <v>0.775</v>
      </c>
      <c r="O77" s="22">
        <v>0.94</v>
      </c>
      <c r="P77" s="22">
        <v>49.0</v>
      </c>
      <c r="Q77" s="22">
        <v>122.0</v>
      </c>
      <c r="R77" s="22">
        <v>27.0</v>
      </c>
      <c r="S77" s="22">
        <v>421.0</v>
      </c>
    </row>
    <row r="78">
      <c r="A78" s="23"/>
      <c r="B78" s="23"/>
      <c r="C78" s="23"/>
      <c r="D78" s="70"/>
      <c r="E78" s="22">
        <v>0.594</v>
      </c>
      <c r="F78" s="22">
        <v>0.722</v>
      </c>
      <c r="G78" s="22">
        <v>0.748</v>
      </c>
      <c r="H78" s="22">
        <v>0.709</v>
      </c>
      <c r="I78" s="60">
        <f t="shared" si="11"/>
        <v>0.3553719008</v>
      </c>
      <c r="J78" s="60">
        <f t="shared" si="12"/>
        <v>0.843373494</v>
      </c>
      <c r="K78" s="60">
        <f t="shared" si="13"/>
        <v>0.5993726974</v>
      </c>
      <c r="L78" s="22">
        <v>0.747</v>
      </c>
      <c r="M78" s="22">
        <v>0.265</v>
      </c>
      <c r="N78" s="22">
        <v>0.766</v>
      </c>
      <c r="O78" s="22">
        <v>0.938</v>
      </c>
      <c r="P78" s="22">
        <v>43.0</v>
      </c>
      <c r="Q78" s="22">
        <v>128.0</v>
      </c>
      <c r="R78" s="22">
        <v>28.0</v>
      </c>
      <c r="S78" s="22">
        <v>420.0</v>
      </c>
    </row>
    <row r="79">
      <c r="A79" s="23"/>
      <c r="B79" s="23"/>
      <c r="C79" s="23"/>
      <c r="D79" s="70"/>
      <c r="E79" s="22">
        <v>0.626</v>
      </c>
      <c r="F79" s="22">
        <v>0.717</v>
      </c>
      <c r="G79" s="22">
        <v>0.737</v>
      </c>
      <c r="H79" s="22">
        <v>0.721</v>
      </c>
      <c r="I79" s="60">
        <f t="shared" si="11"/>
        <v>0.4436860068</v>
      </c>
      <c r="J79" s="60">
        <f t="shared" si="12"/>
        <v>0.8275132275</v>
      </c>
      <c r="K79" s="60">
        <f t="shared" si="13"/>
        <v>0.6355996172</v>
      </c>
      <c r="L79" s="22">
        <v>0.741</v>
      </c>
      <c r="M79" s="22">
        <v>0.284</v>
      </c>
      <c r="N79" s="22">
        <v>0.787</v>
      </c>
      <c r="O79" s="22">
        <v>0.873</v>
      </c>
      <c r="P79" s="22">
        <v>65.0</v>
      </c>
      <c r="Q79" s="22">
        <v>106.0</v>
      </c>
      <c r="R79" s="22">
        <v>57.0</v>
      </c>
      <c r="S79" s="22">
        <v>391.0</v>
      </c>
    </row>
    <row r="80">
      <c r="A80" s="23"/>
      <c r="B80" s="23"/>
      <c r="C80" s="23"/>
      <c r="D80" s="11"/>
      <c r="E80" s="22">
        <v>0.593</v>
      </c>
      <c r="F80" s="22">
        <v>0.687</v>
      </c>
      <c r="G80" s="22">
        <v>0.712</v>
      </c>
      <c r="H80" s="22">
        <v>0.695</v>
      </c>
      <c r="I80" s="60">
        <f t="shared" si="11"/>
        <v>0.3862068966</v>
      </c>
      <c r="J80" s="60">
        <f t="shared" si="12"/>
        <v>0.8122362869</v>
      </c>
      <c r="K80" s="60">
        <f t="shared" si="13"/>
        <v>0.5992215917</v>
      </c>
      <c r="L80" s="22">
        <v>0.702</v>
      </c>
      <c r="M80" s="22">
        <v>0.212</v>
      </c>
      <c r="N80" s="22">
        <v>0.77</v>
      </c>
      <c r="O80" s="22">
        <v>0.859</v>
      </c>
      <c r="P80" s="22">
        <v>56.0</v>
      </c>
      <c r="Q80" s="22">
        <v>115.0</v>
      </c>
      <c r="R80" s="22">
        <v>63.0</v>
      </c>
      <c r="S80" s="22">
        <v>385.0</v>
      </c>
    </row>
    <row r="81">
      <c r="A81" s="23"/>
      <c r="B81" s="23"/>
      <c r="C81" s="23"/>
      <c r="D81" s="11"/>
      <c r="E81" s="22">
        <v>0.629</v>
      </c>
      <c r="F81" s="22">
        <v>0.719</v>
      </c>
      <c r="G81" s="22">
        <v>0.738</v>
      </c>
      <c r="H81" s="22">
        <v>0.724</v>
      </c>
      <c r="I81" s="60">
        <f t="shared" si="11"/>
        <v>0.4489795918</v>
      </c>
      <c r="J81" s="60">
        <f t="shared" si="12"/>
        <v>0.8283898305</v>
      </c>
      <c r="K81" s="60">
        <f t="shared" si="13"/>
        <v>0.6386847112</v>
      </c>
      <c r="L81" s="22">
        <v>0.729</v>
      </c>
      <c r="M81" s="22">
        <v>0.29</v>
      </c>
      <c r="N81" s="22">
        <v>0.788</v>
      </c>
      <c r="O81" s="22">
        <v>0.873</v>
      </c>
      <c r="P81" s="22">
        <v>66.0</v>
      </c>
      <c r="Q81" s="22">
        <v>105.0</v>
      </c>
      <c r="R81" s="22">
        <v>57.0</v>
      </c>
      <c r="S81" s="22">
        <v>391.0</v>
      </c>
    </row>
    <row r="82">
      <c r="A82" s="23"/>
      <c r="B82" s="23"/>
      <c r="C82" s="23"/>
      <c r="D82" s="11"/>
      <c r="E82" s="22">
        <v>0.615</v>
      </c>
      <c r="F82" s="22">
        <v>0.707</v>
      </c>
      <c r="G82" s="22">
        <v>0.729</v>
      </c>
      <c r="H82" s="22">
        <v>0.713</v>
      </c>
      <c r="I82" s="60">
        <f t="shared" si="11"/>
        <v>0.4246575342</v>
      </c>
      <c r="J82" s="60">
        <f t="shared" si="12"/>
        <v>0.822410148</v>
      </c>
      <c r="K82" s="60">
        <f t="shared" si="13"/>
        <v>0.6235338411</v>
      </c>
      <c r="L82" s="22">
        <v>0.683</v>
      </c>
      <c r="M82" s="22">
        <v>0.26</v>
      </c>
      <c r="N82" s="22">
        <v>0.781</v>
      </c>
      <c r="O82" s="22">
        <v>0.868</v>
      </c>
      <c r="P82" s="22">
        <v>62.0</v>
      </c>
      <c r="Q82" s="22">
        <v>109.0</v>
      </c>
      <c r="R82" s="22">
        <v>59.0</v>
      </c>
      <c r="S82" s="22">
        <v>389.0</v>
      </c>
    </row>
    <row r="83">
      <c r="A83" s="23"/>
      <c r="B83" s="23"/>
      <c r="C83" s="23"/>
      <c r="D83" s="11"/>
      <c r="E83" s="22">
        <v>0.583</v>
      </c>
      <c r="F83" s="22">
        <v>0.728</v>
      </c>
      <c r="G83" s="22">
        <v>0.75</v>
      </c>
      <c r="H83" s="22">
        <v>0.7</v>
      </c>
      <c r="I83" s="60">
        <f t="shared" si="11"/>
        <v>0.3171806167</v>
      </c>
      <c r="J83" s="60">
        <f t="shared" si="12"/>
        <v>0.8466864491</v>
      </c>
      <c r="K83" s="60">
        <f t="shared" si="13"/>
        <v>0.5819335329</v>
      </c>
      <c r="L83" s="22">
        <v>0.696</v>
      </c>
      <c r="M83" s="22">
        <v>0.259</v>
      </c>
      <c r="N83" s="22">
        <v>0.76</v>
      </c>
      <c r="O83" s="22">
        <v>0.955</v>
      </c>
      <c r="P83" s="22">
        <v>36.0</v>
      </c>
      <c r="Q83" s="22">
        <v>135.0</v>
      </c>
      <c r="R83" s="22">
        <v>20.0</v>
      </c>
      <c r="S83" s="22">
        <v>428.0</v>
      </c>
    </row>
    <row r="84">
      <c r="A84" s="23"/>
      <c r="B84" s="23"/>
      <c r="C84" s="23"/>
      <c r="D84" s="11"/>
      <c r="E84" s="22">
        <v>0.595</v>
      </c>
      <c r="F84" s="22">
        <v>0.728</v>
      </c>
      <c r="G84" s="22">
        <v>0.751</v>
      </c>
      <c r="H84" s="22">
        <v>0.71</v>
      </c>
      <c r="I84" s="60">
        <f t="shared" si="11"/>
        <v>0.3529411765</v>
      </c>
      <c r="J84" s="60">
        <f t="shared" si="12"/>
        <v>0.846</v>
      </c>
      <c r="K84" s="60">
        <f t="shared" si="13"/>
        <v>0.5994705882</v>
      </c>
      <c r="L84" s="22">
        <v>0.757</v>
      </c>
      <c r="M84" s="22">
        <v>0.273</v>
      </c>
      <c r="N84" s="22">
        <v>0.766</v>
      </c>
      <c r="O84" s="22">
        <v>0.944</v>
      </c>
      <c r="P84" s="22">
        <v>42.0</v>
      </c>
      <c r="Q84" s="22">
        <v>129.0</v>
      </c>
      <c r="R84" s="22">
        <v>25.0</v>
      </c>
      <c r="S84" s="22">
        <v>423.0</v>
      </c>
    </row>
    <row r="85">
      <c r="A85" s="23"/>
      <c r="B85" s="23"/>
      <c r="C85" s="23"/>
      <c r="D85" s="11"/>
      <c r="E85" s="22">
        <v>0.625</v>
      </c>
      <c r="F85" s="22">
        <v>0.708</v>
      </c>
      <c r="G85" s="22">
        <v>0.724</v>
      </c>
      <c r="H85" s="22">
        <v>0.714</v>
      </c>
      <c r="I85" s="60">
        <f t="shared" si="11"/>
        <v>0.4466019417</v>
      </c>
      <c r="J85" s="60">
        <f t="shared" si="12"/>
        <v>0.8159311087</v>
      </c>
      <c r="K85" s="60">
        <f t="shared" si="13"/>
        <v>0.6312665252</v>
      </c>
      <c r="L85" s="22">
        <v>0.721</v>
      </c>
      <c r="M85" s="22">
        <v>0.268</v>
      </c>
      <c r="N85" s="22">
        <v>0.788</v>
      </c>
      <c r="O85" s="22">
        <v>0.846</v>
      </c>
      <c r="P85" s="22">
        <v>69.0</v>
      </c>
      <c r="Q85" s="22">
        <v>102.0</v>
      </c>
      <c r="R85" s="22">
        <v>69.0</v>
      </c>
      <c r="S85" s="22">
        <v>379.0</v>
      </c>
    </row>
    <row r="86">
      <c r="A86" s="23"/>
      <c r="B86" s="23"/>
      <c r="C86" s="23"/>
      <c r="D86" s="11"/>
      <c r="E86" s="22">
        <v>0.567</v>
      </c>
      <c r="F86" s="22">
        <v>0.655</v>
      </c>
      <c r="G86" s="22">
        <v>0.661</v>
      </c>
      <c r="H86" s="22">
        <v>0.658</v>
      </c>
      <c r="I86" s="60">
        <f t="shared" si="11"/>
        <v>0.3674698795</v>
      </c>
      <c r="J86" s="60">
        <f t="shared" si="12"/>
        <v>0.7682119205</v>
      </c>
      <c r="K86" s="60">
        <f t="shared" si="13"/>
        <v>0.5678409</v>
      </c>
      <c r="L86" s="22">
        <v>0.634</v>
      </c>
      <c r="M86" s="22">
        <v>0.136</v>
      </c>
      <c r="N86" s="22">
        <v>0.76</v>
      </c>
      <c r="O86" s="22">
        <v>0.777</v>
      </c>
      <c r="P86" s="22">
        <v>61.0</v>
      </c>
      <c r="Q86" s="22">
        <v>110.0</v>
      </c>
      <c r="R86" s="22">
        <v>100.0</v>
      </c>
      <c r="S86" s="22">
        <v>348.0</v>
      </c>
    </row>
    <row r="87">
      <c r="A87" s="23"/>
      <c r="B87" s="23"/>
      <c r="C87" s="23"/>
      <c r="D87" s="11"/>
      <c r="E87" s="22">
        <v>0.604</v>
      </c>
      <c r="F87" s="22">
        <v>0.735</v>
      </c>
      <c r="G87" s="22">
        <v>0.756</v>
      </c>
      <c r="H87" s="22">
        <v>0.717</v>
      </c>
      <c r="I87" s="60">
        <f t="shared" si="11"/>
        <v>0.3734439834</v>
      </c>
      <c r="J87" s="60">
        <f t="shared" si="12"/>
        <v>0.8485456369</v>
      </c>
      <c r="K87" s="60">
        <f t="shared" si="13"/>
        <v>0.6109948102</v>
      </c>
      <c r="L87" s="22">
        <v>0.737</v>
      </c>
      <c r="M87" s="22">
        <v>0.293</v>
      </c>
      <c r="N87" s="22">
        <v>0.77</v>
      </c>
      <c r="O87" s="22">
        <v>0.944</v>
      </c>
      <c r="P87" s="22">
        <v>45.0</v>
      </c>
      <c r="Q87" s="22">
        <v>126.0</v>
      </c>
      <c r="R87" s="22">
        <v>25.0</v>
      </c>
      <c r="S87" s="22">
        <v>423.0</v>
      </c>
    </row>
    <row r="88">
      <c r="A88" s="23"/>
      <c r="B88" s="23"/>
      <c r="C88" s="23"/>
      <c r="D88" s="11"/>
      <c r="E88" s="22">
        <v>0.573</v>
      </c>
      <c r="F88" s="22">
        <v>0.709</v>
      </c>
      <c r="G88" s="22">
        <v>0.74</v>
      </c>
      <c r="H88" s="22">
        <v>0.69</v>
      </c>
      <c r="I88" s="60">
        <f t="shared" si="11"/>
        <v>0.2969432314</v>
      </c>
      <c r="J88" s="60">
        <f t="shared" si="12"/>
        <v>0.8404360753</v>
      </c>
      <c r="K88" s="60">
        <f t="shared" si="13"/>
        <v>0.5686896534</v>
      </c>
      <c r="L88" s="22">
        <v>0.735</v>
      </c>
      <c r="M88" s="22">
        <v>0.223</v>
      </c>
      <c r="N88" s="22">
        <v>0.756</v>
      </c>
      <c r="O88" s="22">
        <v>0.946</v>
      </c>
      <c r="P88" s="22">
        <v>34.0</v>
      </c>
      <c r="Q88" s="22">
        <v>137.0</v>
      </c>
      <c r="R88" s="22">
        <v>24.0</v>
      </c>
      <c r="S88" s="22">
        <v>424.0</v>
      </c>
    </row>
    <row r="89">
      <c r="A89" s="23"/>
      <c r="B89" s="23"/>
      <c r="C89" s="23"/>
      <c r="D89" s="11"/>
      <c r="E89" s="22">
        <v>0.596</v>
      </c>
      <c r="F89" s="22">
        <v>0.707</v>
      </c>
      <c r="G89" s="22">
        <v>0.737</v>
      </c>
      <c r="H89" s="22">
        <v>0.706</v>
      </c>
      <c r="I89" s="60">
        <f t="shared" si="11"/>
        <v>0.3706563707</v>
      </c>
      <c r="J89" s="60">
        <f t="shared" si="12"/>
        <v>0.8335035751</v>
      </c>
      <c r="K89" s="60">
        <f t="shared" si="13"/>
        <v>0.6020799729</v>
      </c>
      <c r="L89" s="22">
        <v>0.705</v>
      </c>
      <c r="M89" s="22">
        <v>0.245</v>
      </c>
      <c r="N89" s="22">
        <v>0.768</v>
      </c>
      <c r="O89" s="22">
        <v>0.911</v>
      </c>
      <c r="P89" s="22">
        <v>48.0</v>
      </c>
      <c r="Q89" s="22">
        <v>123.0</v>
      </c>
      <c r="R89" s="22">
        <v>40.0</v>
      </c>
      <c r="S89" s="22">
        <v>408.0</v>
      </c>
    </row>
    <row r="90">
      <c r="A90" s="23"/>
      <c r="B90" s="23"/>
      <c r="C90" s="23"/>
      <c r="D90" s="11"/>
      <c r="E90" s="22">
        <v>0.611</v>
      </c>
      <c r="F90" s="22">
        <v>0.721</v>
      </c>
      <c r="G90" s="22">
        <v>0.746</v>
      </c>
      <c r="H90" s="22">
        <v>0.719</v>
      </c>
      <c r="I90" s="60">
        <f t="shared" si="11"/>
        <v>0.4030418251</v>
      </c>
      <c r="J90" s="60">
        <f t="shared" si="12"/>
        <v>0.838974359</v>
      </c>
      <c r="K90" s="60">
        <f t="shared" si="13"/>
        <v>0.621008092</v>
      </c>
      <c r="L90" s="22">
        <v>0.713</v>
      </c>
      <c r="M90" s="22">
        <v>0.28</v>
      </c>
      <c r="N90" s="22">
        <v>0.776</v>
      </c>
      <c r="O90" s="22">
        <v>0.913</v>
      </c>
      <c r="P90" s="22">
        <v>53.0</v>
      </c>
      <c r="Q90" s="22">
        <v>118.0</v>
      </c>
      <c r="R90" s="22">
        <v>39.0</v>
      </c>
      <c r="S90" s="22">
        <v>409.0</v>
      </c>
    </row>
    <row r="91">
      <c r="A91" s="23"/>
      <c r="B91" s="23"/>
      <c r="C91" s="23"/>
      <c r="D91" s="11"/>
      <c r="E91" s="22">
        <v>0.655</v>
      </c>
      <c r="F91" s="22">
        <v>0.719</v>
      </c>
      <c r="G91" s="22">
        <v>0.704</v>
      </c>
      <c r="H91" s="22">
        <v>0.711</v>
      </c>
      <c r="I91" s="60">
        <f t="shared" si="11"/>
        <v>0.5040650407</v>
      </c>
      <c r="J91" s="60">
        <f t="shared" si="12"/>
        <v>0.7894131185</v>
      </c>
      <c r="K91" s="60">
        <f t="shared" si="13"/>
        <v>0.6467390796</v>
      </c>
      <c r="L91" s="22">
        <v>0.728</v>
      </c>
      <c r="M91" s="22">
        <v>0.297</v>
      </c>
      <c r="N91" s="22">
        <v>0.815</v>
      </c>
      <c r="O91" s="22">
        <v>0.766</v>
      </c>
      <c r="P91" s="22">
        <v>93.0</v>
      </c>
      <c r="Q91" s="22">
        <v>78.0</v>
      </c>
      <c r="R91" s="22">
        <v>105.0</v>
      </c>
      <c r="S91" s="22">
        <v>343.0</v>
      </c>
    </row>
    <row r="92">
      <c r="A92" s="23"/>
      <c r="B92" s="23"/>
      <c r="C92" s="23"/>
      <c r="D92" s="11"/>
      <c r="E92" s="22">
        <v>0.581</v>
      </c>
      <c r="F92" s="22">
        <v>0.729</v>
      </c>
      <c r="G92" s="22">
        <v>0.75</v>
      </c>
      <c r="H92" s="22">
        <v>0.699</v>
      </c>
      <c r="I92" s="60">
        <f t="shared" si="11"/>
        <v>0.3111111111</v>
      </c>
      <c r="J92" s="60">
        <f t="shared" si="12"/>
        <v>0.8469891412</v>
      </c>
      <c r="K92" s="60">
        <f t="shared" si="13"/>
        <v>0.5790501261</v>
      </c>
      <c r="L92" s="22">
        <v>0.718</v>
      </c>
      <c r="M92" s="22">
        <v>0.257</v>
      </c>
      <c r="N92" s="22">
        <v>0.759</v>
      </c>
      <c r="O92" s="22">
        <v>0.958</v>
      </c>
      <c r="P92" s="22">
        <v>35.0</v>
      </c>
      <c r="Q92" s="22">
        <v>136.0</v>
      </c>
      <c r="R92" s="22">
        <v>19.0</v>
      </c>
      <c r="S92" s="22">
        <v>429.0</v>
      </c>
    </row>
    <row r="93">
      <c r="A93" s="23"/>
      <c r="B93" s="23"/>
      <c r="C93" s="23"/>
      <c r="D93" s="11"/>
      <c r="E93" s="22">
        <v>0.582</v>
      </c>
      <c r="F93" s="22">
        <v>0.702</v>
      </c>
      <c r="G93" s="22">
        <v>0.735</v>
      </c>
      <c r="H93" s="22">
        <v>0.696</v>
      </c>
      <c r="I93" s="60">
        <f t="shared" si="11"/>
        <v>0.3333333333</v>
      </c>
      <c r="J93" s="60">
        <f t="shared" si="12"/>
        <v>0.8346774194</v>
      </c>
      <c r="K93" s="60">
        <f t="shared" si="13"/>
        <v>0.5840053763</v>
      </c>
      <c r="L93" s="22">
        <v>0.736</v>
      </c>
      <c r="M93" s="22">
        <v>0.225</v>
      </c>
      <c r="N93" s="22">
        <v>0.761</v>
      </c>
      <c r="O93" s="22">
        <v>0.924</v>
      </c>
      <c r="P93" s="22">
        <v>41.0</v>
      </c>
      <c r="Q93" s="22">
        <v>130.0</v>
      </c>
      <c r="R93" s="22">
        <v>34.0</v>
      </c>
      <c r="S93" s="22">
        <v>414.0</v>
      </c>
    </row>
    <row r="94">
      <c r="A94" s="23"/>
      <c r="B94" s="23"/>
      <c r="C94" s="23"/>
      <c r="D94" s="11"/>
      <c r="E94" s="22">
        <v>0.624</v>
      </c>
      <c r="F94" s="22">
        <v>0.734</v>
      </c>
      <c r="G94" s="22">
        <v>0.756</v>
      </c>
      <c r="H94" s="22">
        <v>0.729</v>
      </c>
      <c r="I94" s="60">
        <f t="shared" si="11"/>
        <v>0.4258555133</v>
      </c>
      <c r="J94" s="60">
        <f t="shared" si="12"/>
        <v>0.8451282051</v>
      </c>
      <c r="K94" s="60">
        <f t="shared" si="13"/>
        <v>0.6354918592</v>
      </c>
      <c r="L94" s="22">
        <v>0.728</v>
      </c>
      <c r="M94" s="22">
        <v>0.311</v>
      </c>
      <c r="N94" s="22">
        <v>0.782</v>
      </c>
      <c r="O94" s="22">
        <v>0.92</v>
      </c>
      <c r="P94" s="22">
        <v>56.0</v>
      </c>
      <c r="Q94" s="22">
        <v>115.0</v>
      </c>
      <c r="R94" s="22">
        <v>36.0</v>
      </c>
      <c r="S94" s="22">
        <v>412.0</v>
      </c>
    </row>
    <row r="95">
      <c r="A95" s="23"/>
      <c r="B95" s="23"/>
      <c r="C95" s="23"/>
      <c r="D95" s="11"/>
      <c r="E95" s="22">
        <v>0.598</v>
      </c>
      <c r="F95" s="22">
        <v>0.707</v>
      </c>
      <c r="G95" s="22">
        <v>0.737</v>
      </c>
      <c r="H95" s="22">
        <v>0.707</v>
      </c>
      <c r="I95" s="60">
        <f t="shared" si="11"/>
        <v>0.3754789272</v>
      </c>
      <c r="J95" s="60">
        <f t="shared" si="12"/>
        <v>0.8331627431</v>
      </c>
      <c r="K95" s="60">
        <f t="shared" si="13"/>
        <v>0.6043208351</v>
      </c>
      <c r="L95" s="22">
        <v>0.674</v>
      </c>
      <c r="M95" s="22">
        <v>0.247</v>
      </c>
      <c r="N95" s="22">
        <v>0.769</v>
      </c>
      <c r="O95" s="22">
        <v>0.908</v>
      </c>
      <c r="P95" s="22">
        <v>49.0</v>
      </c>
      <c r="Q95" s="22">
        <v>122.0</v>
      </c>
      <c r="R95" s="22">
        <v>41.0</v>
      </c>
      <c r="S95" s="22">
        <v>407.0</v>
      </c>
    </row>
    <row r="96">
      <c r="A96" s="23"/>
      <c r="B96" s="23"/>
      <c r="C96" s="23"/>
      <c r="D96" s="11"/>
      <c r="E96" s="22">
        <v>0.631</v>
      </c>
      <c r="F96" s="22">
        <v>0.712</v>
      </c>
      <c r="G96" s="22">
        <v>0.725</v>
      </c>
      <c r="H96" s="22">
        <v>0.717</v>
      </c>
      <c r="I96" s="60">
        <f t="shared" si="11"/>
        <v>0.4585987261</v>
      </c>
      <c r="J96" s="60">
        <f t="shared" si="12"/>
        <v>0.816017316</v>
      </c>
      <c r="K96" s="60">
        <f t="shared" si="13"/>
        <v>0.6373080211</v>
      </c>
      <c r="L96" s="22">
        <v>0.709</v>
      </c>
      <c r="M96" s="22">
        <v>0.279</v>
      </c>
      <c r="N96" s="22">
        <v>0.792</v>
      </c>
      <c r="O96" s="22">
        <v>0.842</v>
      </c>
      <c r="P96" s="22">
        <v>72.0</v>
      </c>
      <c r="Q96" s="22">
        <v>99.0</v>
      </c>
      <c r="R96" s="22">
        <v>71.0</v>
      </c>
      <c r="S96" s="22">
        <v>377.0</v>
      </c>
    </row>
    <row r="97">
      <c r="A97" s="23"/>
      <c r="B97" s="23"/>
      <c r="C97" s="23"/>
      <c r="D97" s="11"/>
      <c r="E97" s="22">
        <v>0.629</v>
      </c>
      <c r="F97" s="22">
        <v>0.726</v>
      </c>
      <c r="G97" s="22">
        <v>0.748</v>
      </c>
      <c r="H97" s="22">
        <v>0.728</v>
      </c>
      <c r="I97" s="60">
        <f t="shared" si="11"/>
        <v>0.4428571429</v>
      </c>
      <c r="J97" s="60">
        <f t="shared" si="12"/>
        <v>0.8371607516</v>
      </c>
      <c r="K97" s="60">
        <f t="shared" si="13"/>
        <v>0.6400089472</v>
      </c>
      <c r="L97" s="22">
        <v>0.734</v>
      </c>
      <c r="M97" s="22">
        <v>0.302</v>
      </c>
      <c r="N97" s="22">
        <v>0.786</v>
      </c>
      <c r="O97" s="22">
        <v>0.895</v>
      </c>
      <c r="P97" s="22">
        <v>62.0</v>
      </c>
      <c r="Q97" s="22">
        <v>109.0</v>
      </c>
      <c r="R97" s="22">
        <v>47.0</v>
      </c>
      <c r="S97" s="22">
        <v>401.0</v>
      </c>
    </row>
    <row r="98">
      <c r="A98" s="23"/>
      <c r="B98" s="23"/>
      <c r="C98" s="23"/>
      <c r="D98" s="11"/>
      <c r="E98" s="22">
        <v>0.589</v>
      </c>
      <c r="F98" s="22">
        <v>0.747</v>
      </c>
      <c r="G98" s="22">
        <v>0.758</v>
      </c>
      <c r="H98" s="22">
        <v>0.706</v>
      </c>
      <c r="I98" s="60">
        <f t="shared" si="11"/>
        <v>0.3243243243</v>
      </c>
      <c r="J98" s="60">
        <f t="shared" si="12"/>
        <v>0.8523622047</v>
      </c>
      <c r="K98" s="60">
        <f t="shared" si="13"/>
        <v>0.5883432645</v>
      </c>
      <c r="L98" s="22">
        <v>0.748</v>
      </c>
      <c r="M98" s="22">
        <v>0.288</v>
      </c>
      <c r="N98" s="22">
        <v>0.762</v>
      </c>
      <c r="O98" s="22">
        <v>0.967</v>
      </c>
      <c r="P98" s="22">
        <v>36.0</v>
      </c>
      <c r="Q98" s="22">
        <v>135.0</v>
      </c>
      <c r="R98" s="22">
        <v>15.0</v>
      </c>
      <c r="S98" s="22">
        <v>433.0</v>
      </c>
    </row>
    <row r="99">
      <c r="A99" s="23"/>
      <c r="B99" s="23"/>
      <c r="C99" s="23"/>
      <c r="D99" s="11"/>
      <c r="E99" s="22">
        <v>0.629</v>
      </c>
      <c r="F99" s="22">
        <v>0.72</v>
      </c>
      <c r="G99" s="22">
        <v>0.74</v>
      </c>
      <c r="H99" s="22">
        <v>0.724</v>
      </c>
      <c r="I99" s="60">
        <f t="shared" si="11"/>
        <v>0.4467353952</v>
      </c>
      <c r="J99" s="60">
        <f t="shared" si="12"/>
        <v>0.8299894403</v>
      </c>
      <c r="K99" s="60">
        <f t="shared" si="13"/>
        <v>0.6383624178</v>
      </c>
      <c r="L99" s="22">
        <v>0.753</v>
      </c>
      <c r="M99" s="22">
        <v>0.291</v>
      </c>
      <c r="N99" s="22">
        <v>0.788</v>
      </c>
      <c r="O99" s="22">
        <v>0.877</v>
      </c>
      <c r="P99" s="22">
        <v>65.0</v>
      </c>
      <c r="Q99" s="22">
        <v>106.0</v>
      </c>
      <c r="R99" s="22">
        <v>55.0</v>
      </c>
      <c r="S99" s="22">
        <v>393.0</v>
      </c>
    </row>
    <row r="100">
      <c r="A100" s="23"/>
      <c r="B100" s="23"/>
      <c r="C100" s="23"/>
      <c r="D100" s="71" t="s">
        <v>23</v>
      </c>
      <c r="E100" s="22">
        <v>0.604</v>
      </c>
      <c r="F100" s="22">
        <v>0.712</v>
      </c>
      <c r="G100" s="22">
        <v>0.733</v>
      </c>
      <c r="H100" s="22">
        <v>0.706</v>
      </c>
      <c r="I100" s="60">
        <f t="shared" ref="I100:K100" si="14">MEDIAN(I70:I99)</f>
        <v>0.3914840151</v>
      </c>
      <c r="J100" s="60">
        <f t="shared" si="14"/>
        <v>0.8333331591</v>
      </c>
      <c r="K100" s="60">
        <f t="shared" si="14"/>
        <v>0.6076578227</v>
      </c>
      <c r="L100" s="22">
        <v>0.715</v>
      </c>
      <c r="M100" s="22">
        <v>0.256</v>
      </c>
      <c r="N100" s="22">
        <v>0.774</v>
      </c>
      <c r="O100" s="22">
        <v>0.892</v>
      </c>
      <c r="P100" s="22">
        <v>53.933</v>
      </c>
      <c r="Q100" s="22">
        <v>117.067</v>
      </c>
      <c r="R100" s="22">
        <v>48.433</v>
      </c>
      <c r="S100" s="22">
        <v>399.567</v>
      </c>
    </row>
    <row r="101">
      <c r="A101" s="72"/>
      <c r="B101" s="72"/>
      <c r="C101" s="72"/>
      <c r="D101" s="73" t="s">
        <v>232</v>
      </c>
      <c r="E101" s="22">
        <v>0.023</v>
      </c>
      <c r="F101" s="22">
        <v>0.019</v>
      </c>
      <c r="G101" s="22">
        <v>0.023</v>
      </c>
      <c r="H101" s="22">
        <v>0.017</v>
      </c>
      <c r="I101" s="60">
        <f t="shared" ref="I101:K101" si="15">_xlfn.STDEV.P(I70:I99)</f>
        <v>0.05713295035</v>
      </c>
      <c r="J101" s="60">
        <f t="shared" si="15"/>
        <v>0.02171659682</v>
      </c>
      <c r="K101" s="60">
        <f t="shared" si="15"/>
        <v>0.02591336506</v>
      </c>
      <c r="L101" s="22">
        <v>0.03</v>
      </c>
      <c r="M101" s="22">
        <v>0.041</v>
      </c>
      <c r="N101" s="22">
        <v>0.014</v>
      </c>
      <c r="O101" s="22">
        <v>0.057</v>
      </c>
      <c r="P101" s="22">
        <v>14.785</v>
      </c>
      <c r="Q101" s="22">
        <v>14.785</v>
      </c>
      <c r="R101" s="22">
        <v>25.476</v>
      </c>
      <c r="S101" s="22">
        <v>25.476</v>
      </c>
    </row>
    <row r="102">
      <c r="I102" s="60"/>
      <c r="J102" s="60"/>
      <c r="K102" s="60"/>
    </row>
    <row r="103">
      <c r="A103" s="77" t="s">
        <v>235</v>
      </c>
      <c r="B103" s="78" t="s">
        <v>231</v>
      </c>
      <c r="C103" s="81" t="s">
        <v>236</v>
      </c>
      <c r="D103" s="79"/>
      <c r="E103" s="32">
        <v>0.626</v>
      </c>
      <c r="F103" s="32">
        <v>0.706</v>
      </c>
      <c r="G103" s="32">
        <v>0.717</v>
      </c>
      <c r="H103" s="32">
        <v>0.711</v>
      </c>
      <c r="I103" s="60">
        <f t="shared" ref="I103:I132" si="16">(2*P103)/((2*P103) + Q103 + R103)</f>
        <v>0.4514106583</v>
      </c>
      <c r="J103" s="60">
        <f t="shared" ref="J103:J132" si="17">(2*S103)/((2*S103) + Q103 + R103)</f>
        <v>0.8095756257</v>
      </c>
      <c r="K103" s="60">
        <f t="shared" ref="K103:K132" si="18"> MEDIAN(I103,J103)</f>
        <v>0.630493142</v>
      </c>
      <c r="L103" s="32">
        <v>0.719</v>
      </c>
      <c r="M103" s="32">
        <v>0.264</v>
      </c>
      <c r="N103" s="32">
        <v>0.79</v>
      </c>
      <c r="O103" s="32">
        <v>0.83</v>
      </c>
      <c r="P103" s="32">
        <v>72.0</v>
      </c>
      <c r="Q103" s="32">
        <v>99.0</v>
      </c>
      <c r="R103" s="22">
        <v>76.0</v>
      </c>
      <c r="S103" s="32">
        <v>372.0</v>
      </c>
    </row>
    <row r="104">
      <c r="A104" s="23"/>
      <c r="B104" s="23"/>
      <c r="C104" s="23"/>
      <c r="D104" s="69"/>
      <c r="E104" s="22">
        <v>0.587</v>
      </c>
      <c r="F104" s="32">
        <v>0.727</v>
      </c>
      <c r="G104" s="22">
        <v>0.75</v>
      </c>
      <c r="H104" s="22">
        <v>0.703</v>
      </c>
      <c r="I104" s="60">
        <f t="shared" si="16"/>
        <v>0.329004329</v>
      </c>
      <c r="J104" s="60">
        <f t="shared" si="17"/>
        <v>0.8460774578</v>
      </c>
      <c r="K104" s="60">
        <f t="shared" si="18"/>
        <v>0.5875408934</v>
      </c>
      <c r="L104" s="22">
        <v>0.764</v>
      </c>
      <c r="M104" s="22">
        <v>0.262</v>
      </c>
      <c r="N104" s="22">
        <v>0.762</v>
      </c>
      <c r="O104" s="32">
        <v>0.951</v>
      </c>
      <c r="P104" s="22">
        <v>38.0</v>
      </c>
      <c r="Q104" s="22">
        <v>133.0</v>
      </c>
      <c r="R104" s="22">
        <v>22.0</v>
      </c>
      <c r="S104" s="22">
        <v>426.0</v>
      </c>
    </row>
    <row r="105">
      <c r="A105" s="23"/>
      <c r="B105" s="23"/>
      <c r="C105" s="23"/>
      <c r="D105" s="70"/>
      <c r="E105" s="22">
        <v>0.597</v>
      </c>
      <c r="F105" s="22">
        <v>0.709</v>
      </c>
      <c r="G105" s="22">
        <v>0.738</v>
      </c>
      <c r="H105" s="22">
        <v>0.707</v>
      </c>
      <c r="I105" s="60">
        <f t="shared" si="16"/>
        <v>0.3720930233</v>
      </c>
      <c r="J105" s="60">
        <f t="shared" si="17"/>
        <v>0.8346938776</v>
      </c>
      <c r="K105" s="60">
        <f t="shared" si="18"/>
        <v>0.6033934504</v>
      </c>
      <c r="L105" s="22">
        <v>0.703</v>
      </c>
      <c r="M105" s="22">
        <v>0.249</v>
      </c>
      <c r="N105" s="22">
        <v>0.769</v>
      </c>
      <c r="O105" s="22">
        <v>0.913</v>
      </c>
      <c r="P105" s="22">
        <v>48.0</v>
      </c>
      <c r="Q105" s="22">
        <v>123.0</v>
      </c>
      <c r="R105" s="22">
        <v>39.0</v>
      </c>
      <c r="S105" s="22">
        <v>409.0</v>
      </c>
    </row>
    <row r="106">
      <c r="A106" s="23"/>
      <c r="B106" s="23"/>
      <c r="C106" s="23"/>
      <c r="D106" s="70"/>
      <c r="E106" s="22">
        <v>0.62</v>
      </c>
      <c r="F106" s="22">
        <v>0.713</v>
      </c>
      <c r="G106" s="22">
        <v>0.735</v>
      </c>
      <c r="H106" s="22">
        <v>0.718</v>
      </c>
      <c r="I106" s="60">
        <f t="shared" si="16"/>
        <v>0.4305555556</v>
      </c>
      <c r="J106" s="60">
        <f t="shared" si="17"/>
        <v>0.8273684211</v>
      </c>
      <c r="K106" s="60">
        <f t="shared" si="18"/>
        <v>0.6289619883</v>
      </c>
      <c r="L106" s="22">
        <v>0.74</v>
      </c>
      <c r="M106" s="22">
        <v>0.274</v>
      </c>
      <c r="N106" s="22">
        <v>0.783</v>
      </c>
      <c r="O106" s="22">
        <v>0.877</v>
      </c>
      <c r="P106" s="22">
        <v>62.0</v>
      </c>
      <c r="Q106" s="22">
        <v>109.0</v>
      </c>
      <c r="R106" s="22">
        <v>55.0</v>
      </c>
      <c r="S106" s="22">
        <v>393.0</v>
      </c>
    </row>
    <row r="107">
      <c r="A107" s="23"/>
      <c r="B107" s="23"/>
      <c r="C107" s="23"/>
      <c r="D107" s="70"/>
      <c r="E107" s="22">
        <v>0.617</v>
      </c>
      <c r="F107" s="22">
        <v>0.739</v>
      </c>
      <c r="G107" s="22">
        <v>0.759</v>
      </c>
      <c r="H107" s="22">
        <v>0.727</v>
      </c>
      <c r="I107" s="60">
        <f t="shared" si="16"/>
        <v>0.406374502</v>
      </c>
      <c r="J107" s="60">
        <f t="shared" si="17"/>
        <v>0.8490374873</v>
      </c>
      <c r="K107" s="60">
        <f t="shared" si="18"/>
        <v>0.6277059947</v>
      </c>
      <c r="L107" s="22">
        <v>0.752</v>
      </c>
      <c r="M107" s="22">
        <v>0.311</v>
      </c>
      <c r="N107" s="22">
        <v>0.777</v>
      </c>
      <c r="O107" s="22">
        <v>0.935</v>
      </c>
      <c r="P107" s="22">
        <v>51.0</v>
      </c>
      <c r="Q107" s="22">
        <v>120.0</v>
      </c>
      <c r="R107" s="22">
        <v>29.0</v>
      </c>
      <c r="S107" s="22">
        <v>419.0</v>
      </c>
    </row>
    <row r="108">
      <c r="A108" s="23"/>
      <c r="B108" s="23"/>
      <c r="C108" s="23"/>
      <c r="D108" s="70"/>
      <c r="E108" s="22">
        <v>0.624</v>
      </c>
      <c r="F108" s="22">
        <v>0.717</v>
      </c>
      <c r="G108" s="22">
        <v>0.738</v>
      </c>
      <c r="H108" s="22">
        <v>0.721</v>
      </c>
      <c r="I108" s="60">
        <f t="shared" si="16"/>
        <v>0.4375</v>
      </c>
      <c r="J108" s="60">
        <f t="shared" si="17"/>
        <v>0.8294736842</v>
      </c>
      <c r="K108" s="60">
        <f t="shared" si="18"/>
        <v>0.6334868421</v>
      </c>
      <c r="L108" s="22">
        <v>0.758</v>
      </c>
      <c r="M108" s="22">
        <v>0.283</v>
      </c>
      <c r="N108" s="22">
        <v>0.785</v>
      </c>
      <c r="O108" s="22">
        <v>0.879</v>
      </c>
      <c r="P108" s="22">
        <v>63.0</v>
      </c>
      <c r="Q108" s="22">
        <v>108.0</v>
      </c>
      <c r="R108" s="22">
        <v>54.0</v>
      </c>
      <c r="S108" s="22">
        <v>394.0</v>
      </c>
    </row>
    <row r="109">
      <c r="A109" s="23"/>
      <c r="B109" s="23"/>
      <c r="C109" s="23"/>
      <c r="D109" s="70"/>
      <c r="E109" s="22">
        <v>0.614</v>
      </c>
      <c r="F109" s="22">
        <v>0.712</v>
      </c>
      <c r="G109" s="22">
        <v>0.737</v>
      </c>
      <c r="H109" s="22">
        <v>0.716</v>
      </c>
      <c r="I109" s="60">
        <f t="shared" si="16"/>
        <v>0.4157706093</v>
      </c>
      <c r="J109" s="60">
        <f t="shared" si="17"/>
        <v>0.8300312826</v>
      </c>
      <c r="K109" s="60">
        <f t="shared" si="18"/>
        <v>0.622900946</v>
      </c>
      <c r="L109" s="22">
        <v>0.736</v>
      </c>
      <c r="M109" s="22">
        <v>0.268</v>
      </c>
      <c r="N109" s="22">
        <v>0.779</v>
      </c>
      <c r="O109" s="22">
        <v>0.888</v>
      </c>
      <c r="P109" s="22">
        <v>58.0</v>
      </c>
      <c r="Q109" s="22">
        <v>113.0</v>
      </c>
      <c r="R109" s="22">
        <v>50.0</v>
      </c>
      <c r="S109" s="22">
        <v>398.0</v>
      </c>
    </row>
    <row r="110">
      <c r="A110" s="23"/>
      <c r="B110" s="23"/>
      <c r="C110" s="23"/>
      <c r="D110" s="70"/>
      <c r="E110" s="22">
        <v>0.628</v>
      </c>
      <c r="F110" s="22">
        <v>0.71</v>
      </c>
      <c r="G110" s="22">
        <v>0.724</v>
      </c>
      <c r="H110" s="22">
        <v>0.715</v>
      </c>
      <c r="I110" s="60">
        <f t="shared" si="16"/>
        <v>0.4536741214</v>
      </c>
      <c r="J110" s="60">
        <f t="shared" si="17"/>
        <v>0.8151351351</v>
      </c>
      <c r="K110" s="60">
        <f t="shared" si="18"/>
        <v>0.6344046283</v>
      </c>
      <c r="L110" s="22">
        <v>0.717</v>
      </c>
      <c r="M110" s="22">
        <v>0.273</v>
      </c>
      <c r="N110" s="22">
        <v>0.79</v>
      </c>
      <c r="O110" s="22">
        <v>0.842</v>
      </c>
      <c r="P110" s="22">
        <v>71.0</v>
      </c>
      <c r="Q110" s="22">
        <v>100.0</v>
      </c>
      <c r="R110" s="22">
        <v>71.0</v>
      </c>
      <c r="S110" s="22">
        <v>377.0</v>
      </c>
    </row>
    <row r="111">
      <c r="A111" s="23"/>
      <c r="B111" s="23"/>
      <c r="C111" s="23"/>
      <c r="D111" s="70"/>
      <c r="E111" s="22">
        <v>0.579</v>
      </c>
      <c r="F111" s="22">
        <v>0.677</v>
      </c>
      <c r="G111" s="22">
        <v>0.708</v>
      </c>
      <c r="H111" s="22">
        <v>0.685</v>
      </c>
      <c r="I111" s="60">
        <f t="shared" si="16"/>
        <v>0.3558718861</v>
      </c>
      <c r="J111" s="60">
        <f t="shared" si="17"/>
        <v>0.8108672936</v>
      </c>
      <c r="K111" s="60">
        <f t="shared" si="18"/>
        <v>0.5833695899</v>
      </c>
      <c r="L111" s="22">
        <v>0.718</v>
      </c>
      <c r="M111" s="22">
        <v>0.185</v>
      </c>
      <c r="N111" s="22">
        <v>0.762</v>
      </c>
      <c r="O111" s="22">
        <v>0.866</v>
      </c>
      <c r="P111" s="22">
        <v>50.0</v>
      </c>
      <c r="Q111" s="22">
        <v>121.0</v>
      </c>
      <c r="R111" s="22">
        <v>60.0</v>
      </c>
      <c r="S111" s="22">
        <v>388.0</v>
      </c>
    </row>
    <row r="112">
      <c r="A112" s="23"/>
      <c r="B112" s="23"/>
      <c r="C112" s="23"/>
      <c r="D112" s="70"/>
      <c r="E112" s="22">
        <v>0.575</v>
      </c>
      <c r="F112" s="22">
        <v>0.694</v>
      </c>
      <c r="G112" s="22">
        <v>0.73</v>
      </c>
      <c r="H112" s="22">
        <v>0.69</v>
      </c>
      <c r="I112" s="60">
        <f t="shared" si="16"/>
        <v>0.3183673469</v>
      </c>
      <c r="J112" s="60">
        <f t="shared" si="17"/>
        <v>0.8318227593</v>
      </c>
      <c r="K112" s="60">
        <f t="shared" si="18"/>
        <v>0.5750950531</v>
      </c>
      <c r="L112" s="22">
        <v>0.726</v>
      </c>
      <c r="M112" s="22">
        <v>0.207</v>
      </c>
      <c r="N112" s="22">
        <v>0.758</v>
      </c>
      <c r="O112" s="22">
        <v>0.922</v>
      </c>
      <c r="P112" s="22">
        <v>39.0</v>
      </c>
      <c r="Q112" s="22">
        <v>132.0</v>
      </c>
      <c r="R112" s="22">
        <v>35.0</v>
      </c>
      <c r="S112" s="22">
        <v>413.0</v>
      </c>
    </row>
    <row r="113">
      <c r="A113" s="23"/>
      <c r="B113" s="23"/>
      <c r="C113" s="23"/>
      <c r="D113" s="11"/>
      <c r="E113" s="22">
        <v>0.636</v>
      </c>
      <c r="F113" s="22">
        <v>0.722</v>
      </c>
      <c r="G113" s="22">
        <v>0.74</v>
      </c>
      <c r="H113" s="22">
        <v>0.727</v>
      </c>
      <c r="I113" s="60">
        <f t="shared" si="16"/>
        <v>0.4615384615</v>
      </c>
      <c r="J113" s="60">
        <f t="shared" si="17"/>
        <v>0.8285410011</v>
      </c>
      <c r="K113" s="60">
        <f t="shared" si="18"/>
        <v>0.6450397313</v>
      </c>
      <c r="L113" s="22">
        <v>0.712</v>
      </c>
      <c r="M113" s="22">
        <v>0.3</v>
      </c>
      <c r="N113" s="22">
        <v>0.792</v>
      </c>
      <c r="O113" s="22">
        <v>0.868</v>
      </c>
      <c r="P113" s="22">
        <v>69.0</v>
      </c>
      <c r="Q113" s="22">
        <v>102.0</v>
      </c>
      <c r="R113" s="22">
        <v>59.0</v>
      </c>
      <c r="S113" s="22">
        <v>389.0</v>
      </c>
    </row>
    <row r="114">
      <c r="A114" s="23"/>
      <c r="B114" s="23"/>
      <c r="C114" s="23"/>
      <c r="D114" s="11"/>
      <c r="E114" s="22">
        <v>0.61</v>
      </c>
      <c r="F114" s="22">
        <v>0.711</v>
      </c>
      <c r="G114" s="22">
        <v>0.737</v>
      </c>
      <c r="H114" s="22">
        <v>0.714</v>
      </c>
      <c r="I114" s="60">
        <f t="shared" si="16"/>
        <v>0.4072727273</v>
      </c>
      <c r="J114" s="60">
        <f t="shared" si="17"/>
        <v>0.8307372793</v>
      </c>
      <c r="K114" s="60">
        <f t="shared" si="18"/>
        <v>0.6190050033</v>
      </c>
      <c r="L114" s="22">
        <v>0.741</v>
      </c>
      <c r="M114" s="22">
        <v>0.264</v>
      </c>
      <c r="N114" s="22">
        <v>0.777</v>
      </c>
      <c r="O114" s="22">
        <v>0.893</v>
      </c>
      <c r="P114" s="22">
        <v>56.0</v>
      </c>
      <c r="Q114" s="22">
        <v>115.0</v>
      </c>
      <c r="R114" s="22">
        <v>48.0</v>
      </c>
      <c r="S114" s="22">
        <v>400.0</v>
      </c>
    </row>
    <row r="115">
      <c r="A115" s="23"/>
      <c r="B115" s="23"/>
      <c r="C115" s="23"/>
      <c r="D115" s="11"/>
      <c r="E115" s="22">
        <v>0.625</v>
      </c>
      <c r="F115" s="22">
        <v>0.725</v>
      </c>
      <c r="G115" s="22">
        <v>0.748</v>
      </c>
      <c r="H115" s="22">
        <v>0.726</v>
      </c>
      <c r="I115" s="60">
        <f t="shared" si="16"/>
        <v>0.4347826087</v>
      </c>
      <c r="J115" s="60">
        <f t="shared" si="17"/>
        <v>0.8378378378</v>
      </c>
      <c r="K115" s="60">
        <f t="shared" si="18"/>
        <v>0.6363102233</v>
      </c>
      <c r="L115" s="22">
        <v>0.716</v>
      </c>
      <c r="M115" s="22">
        <v>0.298</v>
      </c>
      <c r="N115" s="22">
        <v>0.784</v>
      </c>
      <c r="O115" s="22">
        <v>0.9</v>
      </c>
      <c r="P115" s="22">
        <v>60.0</v>
      </c>
      <c r="Q115" s="22">
        <v>111.0</v>
      </c>
      <c r="R115" s="22">
        <v>45.0</v>
      </c>
      <c r="S115" s="22">
        <v>403.0</v>
      </c>
    </row>
    <row r="116">
      <c r="A116" s="23"/>
      <c r="B116" s="23"/>
      <c r="C116" s="23"/>
      <c r="D116" s="11"/>
      <c r="E116" s="22">
        <v>0.618</v>
      </c>
      <c r="F116" s="22">
        <v>0.724</v>
      </c>
      <c r="G116" s="22">
        <v>0.748</v>
      </c>
      <c r="H116" s="22">
        <v>0.723</v>
      </c>
      <c r="I116" s="60">
        <f t="shared" si="16"/>
        <v>0.4179104478</v>
      </c>
      <c r="J116" s="60">
        <f t="shared" si="17"/>
        <v>0.8391752577</v>
      </c>
      <c r="K116" s="60">
        <f t="shared" si="18"/>
        <v>0.6285428527</v>
      </c>
      <c r="L116" s="22">
        <v>0.739</v>
      </c>
      <c r="M116" s="22">
        <v>0.29</v>
      </c>
      <c r="N116" s="22">
        <v>0.78</v>
      </c>
      <c r="O116" s="22">
        <v>0.908</v>
      </c>
      <c r="P116" s="22">
        <v>56.0</v>
      </c>
      <c r="Q116" s="22">
        <v>115.0</v>
      </c>
      <c r="R116" s="22">
        <v>41.0</v>
      </c>
      <c r="S116" s="22">
        <v>407.0</v>
      </c>
    </row>
    <row r="117">
      <c r="A117" s="23"/>
      <c r="B117" s="23"/>
      <c r="C117" s="23"/>
      <c r="D117" s="11"/>
      <c r="E117" s="22">
        <v>0.623</v>
      </c>
      <c r="F117" s="22">
        <v>0.73</v>
      </c>
      <c r="G117" s="22">
        <v>0.753</v>
      </c>
      <c r="H117" s="22">
        <v>0.728</v>
      </c>
      <c r="I117" s="60">
        <f t="shared" si="16"/>
        <v>0.4269662921</v>
      </c>
      <c r="J117" s="60">
        <f t="shared" si="17"/>
        <v>0.842430484</v>
      </c>
      <c r="K117" s="60">
        <f t="shared" si="18"/>
        <v>0.6346983881</v>
      </c>
      <c r="L117" s="22">
        <v>0.735</v>
      </c>
      <c r="M117" s="22">
        <v>0.304</v>
      </c>
      <c r="N117" s="22">
        <v>0.782</v>
      </c>
      <c r="O117" s="22">
        <v>0.913</v>
      </c>
      <c r="P117" s="22">
        <v>57.0</v>
      </c>
      <c r="Q117" s="22">
        <v>114.0</v>
      </c>
      <c r="R117" s="22">
        <v>39.0</v>
      </c>
      <c r="S117" s="22">
        <v>409.0</v>
      </c>
    </row>
    <row r="118">
      <c r="A118" s="23"/>
      <c r="B118" s="23"/>
      <c r="C118" s="23"/>
      <c r="D118" s="11"/>
      <c r="E118" s="22">
        <v>0.586</v>
      </c>
      <c r="F118" s="22">
        <v>0.707</v>
      </c>
      <c r="G118" s="22">
        <v>0.738</v>
      </c>
      <c r="H118" s="22">
        <v>0.7</v>
      </c>
      <c r="I118" s="60">
        <f t="shared" si="16"/>
        <v>0.3414634146</v>
      </c>
      <c r="J118" s="60">
        <f t="shared" si="17"/>
        <v>0.8366935484</v>
      </c>
      <c r="K118" s="60">
        <f t="shared" si="18"/>
        <v>0.5890784815</v>
      </c>
      <c r="L118" s="22">
        <v>0.719</v>
      </c>
      <c r="M118" s="22">
        <v>0.236</v>
      </c>
      <c r="N118" s="22">
        <v>0.763</v>
      </c>
      <c r="O118" s="22">
        <v>0.926</v>
      </c>
      <c r="P118" s="22">
        <v>42.0</v>
      </c>
      <c r="Q118" s="22">
        <v>129.0</v>
      </c>
      <c r="R118" s="22">
        <v>33.0</v>
      </c>
      <c r="S118" s="22">
        <v>415.0</v>
      </c>
    </row>
    <row r="119">
      <c r="A119" s="23"/>
      <c r="B119" s="23"/>
      <c r="C119" s="23"/>
      <c r="D119" s="11"/>
      <c r="E119" s="22">
        <v>0.632</v>
      </c>
      <c r="F119" s="22">
        <v>0.71</v>
      </c>
      <c r="G119" s="22">
        <v>0.721</v>
      </c>
      <c r="H119" s="22">
        <v>0.715</v>
      </c>
      <c r="I119" s="60">
        <f t="shared" si="16"/>
        <v>0.46105919</v>
      </c>
      <c r="J119" s="60">
        <f t="shared" si="17"/>
        <v>0.8113413304</v>
      </c>
      <c r="K119" s="60">
        <f t="shared" si="18"/>
        <v>0.6362002602</v>
      </c>
      <c r="L119" s="22">
        <v>0.7</v>
      </c>
      <c r="M119" s="22">
        <v>0.275</v>
      </c>
      <c r="N119" s="22">
        <v>0.793</v>
      </c>
      <c r="O119" s="22">
        <v>0.83</v>
      </c>
      <c r="P119" s="22">
        <v>74.0</v>
      </c>
      <c r="Q119" s="22">
        <v>97.0</v>
      </c>
      <c r="R119" s="22">
        <v>76.0</v>
      </c>
      <c r="S119" s="22">
        <v>372.0</v>
      </c>
    </row>
    <row r="120">
      <c r="A120" s="23"/>
      <c r="B120" s="23"/>
      <c r="C120" s="23"/>
      <c r="D120" s="11"/>
      <c r="E120" s="22">
        <v>0.643</v>
      </c>
      <c r="F120" s="22">
        <v>0.742</v>
      </c>
      <c r="G120" s="22">
        <v>0.761</v>
      </c>
      <c r="H120" s="22">
        <v>0.741</v>
      </c>
      <c r="I120" s="60">
        <f t="shared" si="16"/>
        <v>0.4676258993</v>
      </c>
      <c r="J120" s="60">
        <f t="shared" si="17"/>
        <v>0.8458333333</v>
      </c>
      <c r="K120" s="60">
        <f t="shared" si="18"/>
        <v>0.6567296163</v>
      </c>
      <c r="L120" s="22">
        <v>0.771</v>
      </c>
      <c r="M120" s="22">
        <v>0.339</v>
      </c>
      <c r="N120" s="22">
        <v>0.793</v>
      </c>
      <c r="O120" s="22">
        <v>0.906</v>
      </c>
      <c r="P120" s="22">
        <v>65.0</v>
      </c>
      <c r="Q120" s="22">
        <v>106.0</v>
      </c>
      <c r="R120" s="22">
        <v>42.0</v>
      </c>
      <c r="S120" s="22">
        <v>406.0</v>
      </c>
    </row>
    <row r="121">
      <c r="A121" s="23"/>
      <c r="B121" s="23"/>
      <c r="C121" s="23"/>
      <c r="D121" s="11"/>
      <c r="E121" s="22">
        <v>0.613</v>
      </c>
      <c r="F121" s="22">
        <v>0.718</v>
      </c>
      <c r="G121" s="22">
        <v>0.743</v>
      </c>
      <c r="H121" s="22">
        <v>0.718</v>
      </c>
      <c r="I121" s="60">
        <f t="shared" si="16"/>
        <v>0.4089219331</v>
      </c>
      <c r="J121" s="60">
        <f t="shared" si="17"/>
        <v>0.8359133127</v>
      </c>
      <c r="K121" s="60">
        <f t="shared" si="18"/>
        <v>0.6224176229</v>
      </c>
      <c r="L121" s="22">
        <v>0.737</v>
      </c>
      <c r="M121" s="22">
        <v>0.276</v>
      </c>
      <c r="N121" s="22">
        <v>0.777</v>
      </c>
      <c r="O121" s="22">
        <v>0.904</v>
      </c>
      <c r="P121" s="22">
        <v>55.0</v>
      </c>
      <c r="Q121" s="22">
        <v>116.0</v>
      </c>
      <c r="R121" s="22">
        <v>43.0</v>
      </c>
      <c r="S121" s="22">
        <v>405.0</v>
      </c>
    </row>
    <row r="122">
      <c r="A122" s="23"/>
      <c r="B122" s="23"/>
      <c r="C122" s="23"/>
      <c r="D122" s="11"/>
      <c r="E122" s="22">
        <v>0.622</v>
      </c>
      <c r="F122" s="22">
        <v>0.711</v>
      </c>
      <c r="G122" s="22">
        <v>0.73</v>
      </c>
      <c r="H122" s="22">
        <v>0.716</v>
      </c>
      <c r="I122" s="60">
        <f t="shared" si="16"/>
        <v>0.4377104377</v>
      </c>
      <c r="J122" s="60">
        <f t="shared" si="17"/>
        <v>0.8225292242</v>
      </c>
      <c r="K122" s="60">
        <f t="shared" si="18"/>
        <v>0.630119831</v>
      </c>
      <c r="L122" s="22">
        <v>0.7</v>
      </c>
      <c r="M122" s="22">
        <v>0.271</v>
      </c>
      <c r="N122" s="22">
        <v>0.785</v>
      </c>
      <c r="O122" s="22">
        <v>0.864</v>
      </c>
      <c r="P122" s="22">
        <v>65.0</v>
      </c>
      <c r="Q122" s="22">
        <v>106.0</v>
      </c>
      <c r="R122" s="22">
        <v>61.0</v>
      </c>
      <c r="S122" s="22">
        <v>387.0</v>
      </c>
    </row>
    <row r="123">
      <c r="A123" s="23"/>
      <c r="B123" s="23"/>
      <c r="C123" s="23"/>
      <c r="D123" s="11"/>
      <c r="E123" s="22">
        <v>0.674</v>
      </c>
      <c r="F123" s="22">
        <v>0.741</v>
      </c>
      <c r="G123" s="22">
        <v>0.743</v>
      </c>
      <c r="H123" s="22">
        <v>0.742</v>
      </c>
      <c r="I123" s="60">
        <f t="shared" si="16"/>
        <v>0.528189911</v>
      </c>
      <c r="J123" s="60">
        <f t="shared" si="17"/>
        <v>0.8235294118</v>
      </c>
      <c r="K123" s="60">
        <f t="shared" si="18"/>
        <v>0.6758596614</v>
      </c>
      <c r="L123" s="22">
        <v>0.761</v>
      </c>
      <c r="M123" s="22">
        <v>0.352</v>
      </c>
      <c r="N123" s="22">
        <v>0.819</v>
      </c>
      <c r="O123" s="22">
        <v>0.828</v>
      </c>
      <c r="P123" s="22">
        <v>89.0</v>
      </c>
      <c r="Q123" s="22">
        <v>82.0</v>
      </c>
      <c r="R123" s="22">
        <v>77.0</v>
      </c>
      <c r="S123" s="22">
        <v>371.0</v>
      </c>
    </row>
    <row r="124">
      <c r="A124" s="23"/>
      <c r="B124" s="23"/>
      <c r="C124" s="23"/>
      <c r="D124" s="11"/>
      <c r="E124" s="22">
        <v>0.56</v>
      </c>
      <c r="F124" s="22">
        <v>0.649</v>
      </c>
      <c r="G124" s="22">
        <v>0.651</v>
      </c>
      <c r="H124" s="22">
        <v>0.65</v>
      </c>
      <c r="I124" s="60">
        <f t="shared" si="16"/>
        <v>0.3609467456</v>
      </c>
      <c r="J124" s="60">
        <f t="shared" si="17"/>
        <v>0.76</v>
      </c>
      <c r="K124" s="60">
        <f t="shared" si="18"/>
        <v>0.5604733728</v>
      </c>
      <c r="L124" s="22">
        <v>0.641</v>
      </c>
      <c r="M124" s="22">
        <v>0.121</v>
      </c>
      <c r="N124" s="22">
        <v>0.757</v>
      </c>
      <c r="O124" s="22">
        <v>0.763</v>
      </c>
      <c r="P124" s="22">
        <v>61.0</v>
      </c>
      <c r="Q124" s="22">
        <v>110.0</v>
      </c>
      <c r="R124" s="22">
        <v>106.0</v>
      </c>
      <c r="S124" s="22">
        <v>342.0</v>
      </c>
    </row>
    <row r="125">
      <c r="A125" s="23"/>
      <c r="B125" s="23"/>
      <c r="C125" s="23"/>
      <c r="D125" s="11"/>
      <c r="E125" s="22">
        <v>0.632</v>
      </c>
      <c r="F125" s="22">
        <v>0.722</v>
      </c>
      <c r="G125" s="22">
        <v>0.742</v>
      </c>
      <c r="H125" s="22">
        <v>0.726</v>
      </c>
      <c r="I125" s="60">
        <f t="shared" si="16"/>
        <v>0.4520547945</v>
      </c>
      <c r="J125" s="60">
        <f t="shared" si="17"/>
        <v>0.8308668076</v>
      </c>
      <c r="K125" s="60">
        <f t="shared" si="18"/>
        <v>0.6414608011</v>
      </c>
      <c r="L125" s="22">
        <v>0.729</v>
      </c>
      <c r="M125" s="22">
        <v>0.297</v>
      </c>
      <c r="N125" s="22">
        <v>0.789</v>
      </c>
      <c r="O125" s="22">
        <v>0.877</v>
      </c>
      <c r="P125" s="22">
        <v>66.0</v>
      </c>
      <c r="Q125" s="22">
        <v>105.0</v>
      </c>
      <c r="R125" s="22">
        <v>55.0</v>
      </c>
      <c r="S125" s="22">
        <v>393.0</v>
      </c>
    </row>
    <row r="126">
      <c r="A126" s="23"/>
      <c r="B126" s="23"/>
      <c r="C126" s="23"/>
      <c r="D126" s="11"/>
      <c r="E126" s="22">
        <v>0.551</v>
      </c>
      <c r="F126" s="22">
        <v>0.701</v>
      </c>
      <c r="G126" s="22">
        <v>0.735</v>
      </c>
      <c r="H126" s="22">
        <v>0.671</v>
      </c>
      <c r="I126" s="60">
        <f t="shared" si="16"/>
        <v>0.2264150943</v>
      </c>
      <c r="J126" s="60">
        <f t="shared" si="17"/>
        <v>0.8401559454</v>
      </c>
      <c r="K126" s="60">
        <f t="shared" si="18"/>
        <v>0.5332855199</v>
      </c>
      <c r="L126" s="22">
        <v>0.721</v>
      </c>
      <c r="M126" s="22">
        <v>0.184</v>
      </c>
      <c r="N126" s="22">
        <v>0.746</v>
      </c>
      <c r="O126" s="22">
        <v>0.962</v>
      </c>
      <c r="P126" s="22">
        <v>24.0</v>
      </c>
      <c r="Q126" s="22">
        <v>147.0</v>
      </c>
      <c r="R126" s="22">
        <v>17.0</v>
      </c>
      <c r="S126" s="22">
        <v>431.0</v>
      </c>
    </row>
    <row r="127">
      <c r="A127" s="23"/>
      <c r="B127" s="23"/>
      <c r="C127" s="23"/>
      <c r="D127" s="11"/>
      <c r="E127" s="22">
        <v>0.617</v>
      </c>
      <c r="F127" s="22">
        <v>0.708</v>
      </c>
      <c r="G127" s="22">
        <v>0.73</v>
      </c>
      <c r="H127" s="22">
        <v>0.714</v>
      </c>
      <c r="I127" s="60">
        <f t="shared" si="16"/>
        <v>0.4261168385</v>
      </c>
      <c r="J127" s="60">
        <f t="shared" si="17"/>
        <v>0.8236536431</v>
      </c>
      <c r="K127" s="60">
        <f t="shared" si="18"/>
        <v>0.6248852408</v>
      </c>
      <c r="L127" s="22">
        <v>0.713</v>
      </c>
      <c r="M127" s="22">
        <v>0.264</v>
      </c>
      <c r="N127" s="22">
        <v>0.782</v>
      </c>
      <c r="O127" s="22">
        <v>0.871</v>
      </c>
      <c r="P127" s="22">
        <v>62.0</v>
      </c>
      <c r="Q127" s="22">
        <v>109.0</v>
      </c>
      <c r="R127" s="22">
        <v>58.0</v>
      </c>
      <c r="S127" s="22">
        <v>390.0</v>
      </c>
    </row>
    <row r="128">
      <c r="A128" s="23"/>
      <c r="B128" s="23"/>
      <c r="C128" s="23"/>
      <c r="D128" s="11"/>
      <c r="E128" s="22">
        <v>0.613</v>
      </c>
      <c r="F128" s="22">
        <v>0.709</v>
      </c>
      <c r="G128" s="22">
        <v>0.733</v>
      </c>
      <c r="H128" s="22">
        <v>0.714</v>
      </c>
      <c r="I128" s="60">
        <f t="shared" si="16"/>
        <v>0.4169611307</v>
      </c>
      <c r="J128" s="60">
        <f t="shared" si="17"/>
        <v>0.8272251309</v>
      </c>
      <c r="K128" s="60">
        <f t="shared" si="18"/>
        <v>0.6220931308</v>
      </c>
      <c r="L128" s="22">
        <v>0.735</v>
      </c>
      <c r="M128" s="22">
        <v>0.263</v>
      </c>
      <c r="N128" s="22">
        <v>0.779</v>
      </c>
      <c r="O128" s="22">
        <v>0.882</v>
      </c>
      <c r="P128" s="22">
        <v>59.0</v>
      </c>
      <c r="Q128" s="22">
        <v>112.0</v>
      </c>
      <c r="R128" s="22">
        <v>53.0</v>
      </c>
      <c r="S128" s="22">
        <v>395.0</v>
      </c>
    </row>
    <row r="129">
      <c r="A129" s="23"/>
      <c r="B129" s="23"/>
      <c r="C129" s="23"/>
      <c r="D129" s="11"/>
      <c r="E129" s="22">
        <v>0.594</v>
      </c>
      <c r="F129" s="22">
        <v>0.701</v>
      </c>
      <c r="G129" s="22">
        <v>0.732</v>
      </c>
      <c r="H129" s="22">
        <v>0.703</v>
      </c>
      <c r="I129" s="60">
        <f t="shared" si="16"/>
        <v>0.3712121212</v>
      </c>
      <c r="J129" s="60">
        <f t="shared" si="17"/>
        <v>0.8295687885</v>
      </c>
      <c r="K129" s="60">
        <f t="shared" si="18"/>
        <v>0.6003904549</v>
      </c>
      <c r="L129" s="22">
        <v>0.745</v>
      </c>
      <c r="M129" s="22">
        <v>0.236</v>
      </c>
      <c r="N129" s="22">
        <v>0.768</v>
      </c>
      <c r="O129" s="22">
        <v>0.902</v>
      </c>
      <c r="P129" s="22">
        <v>49.0</v>
      </c>
      <c r="Q129" s="22">
        <v>122.0</v>
      </c>
      <c r="R129" s="22">
        <v>44.0</v>
      </c>
      <c r="S129" s="22">
        <v>404.0</v>
      </c>
    </row>
    <row r="130">
      <c r="A130" s="23"/>
      <c r="B130" s="23"/>
      <c r="C130" s="23"/>
      <c r="D130" s="11"/>
      <c r="E130" s="22">
        <v>0.603</v>
      </c>
      <c r="F130" s="22">
        <v>0.714</v>
      </c>
      <c r="G130" s="22">
        <v>0.742</v>
      </c>
      <c r="H130" s="22">
        <v>0.712</v>
      </c>
      <c r="I130" s="60">
        <f t="shared" si="16"/>
        <v>0.3846153846</v>
      </c>
      <c r="J130" s="60">
        <f t="shared" si="17"/>
        <v>0.836400818</v>
      </c>
      <c r="K130" s="60">
        <f t="shared" si="18"/>
        <v>0.6105081013</v>
      </c>
      <c r="L130" s="22">
        <v>0.703</v>
      </c>
      <c r="M130" s="22">
        <v>0.262</v>
      </c>
      <c r="N130" s="22">
        <v>0.772</v>
      </c>
      <c r="O130" s="22">
        <v>0.913</v>
      </c>
      <c r="P130" s="22">
        <v>50.0</v>
      </c>
      <c r="Q130" s="22">
        <v>121.0</v>
      </c>
      <c r="R130" s="22">
        <v>39.0</v>
      </c>
      <c r="S130" s="22">
        <v>409.0</v>
      </c>
    </row>
    <row r="131">
      <c r="A131" s="23"/>
      <c r="B131" s="23"/>
      <c r="C131" s="23"/>
      <c r="D131" s="11"/>
      <c r="E131" s="22">
        <v>0.592</v>
      </c>
      <c r="F131" s="22">
        <v>0.712</v>
      </c>
      <c r="G131" s="22">
        <v>0.742</v>
      </c>
      <c r="H131" s="22">
        <v>0.705</v>
      </c>
      <c r="I131" s="60">
        <f t="shared" si="16"/>
        <v>0.3548387097</v>
      </c>
      <c r="J131" s="60">
        <f t="shared" si="17"/>
        <v>0.8383838384</v>
      </c>
      <c r="K131" s="60">
        <f t="shared" si="18"/>
        <v>0.596611274</v>
      </c>
      <c r="L131" s="22">
        <v>0.754</v>
      </c>
      <c r="M131" s="22">
        <v>0.249</v>
      </c>
      <c r="N131" s="22">
        <v>0.766</v>
      </c>
      <c r="O131" s="22">
        <v>0.926</v>
      </c>
      <c r="P131" s="22">
        <v>44.0</v>
      </c>
      <c r="Q131" s="22">
        <v>127.0</v>
      </c>
      <c r="R131" s="22">
        <v>33.0</v>
      </c>
      <c r="S131" s="22">
        <v>415.0</v>
      </c>
    </row>
    <row r="132">
      <c r="A132" s="23"/>
      <c r="B132" s="23"/>
      <c r="C132" s="23"/>
      <c r="D132" s="11"/>
      <c r="E132" s="22">
        <v>0.633</v>
      </c>
      <c r="F132" s="22">
        <v>0.703</v>
      </c>
      <c r="G132" s="22">
        <v>0.632</v>
      </c>
      <c r="H132" s="22">
        <v>0.65</v>
      </c>
      <c r="I132" s="60">
        <f t="shared" si="16"/>
        <v>0.4887892377</v>
      </c>
      <c r="J132" s="60">
        <f t="shared" si="17"/>
        <v>0.7121212121</v>
      </c>
      <c r="K132" s="60">
        <f t="shared" si="18"/>
        <v>0.6004552249</v>
      </c>
      <c r="L132" s="22">
        <v>0.674</v>
      </c>
      <c r="M132" s="22">
        <v>0.24</v>
      </c>
      <c r="N132" s="22">
        <v>0.82</v>
      </c>
      <c r="O132" s="22">
        <v>0.629</v>
      </c>
      <c r="P132" s="22">
        <v>109.0</v>
      </c>
      <c r="Q132" s="22">
        <v>62.0</v>
      </c>
      <c r="R132" s="22">
        <v>166.0</v>
      </c>
      <c r="S132" s="22">
        <v>282.0</v>
      </c>
    </row>
    <row r="133">
      <c r="A133" s="23"/>
      <c r="B133" s="23"/>
      <c r="C133" s="23"/>
      <c r="D133" s="71" t="s">
        <v>23</v>
      </c>
      <c r="E133" s="22">
        <v>0.611</v>
      </c>
      <c r="F133" s="22">
        <v>0.712</v>
      </c>
      <c r="G133" s="22">
        <v>0.731</v>
      </c>
      <c r="H133" s="22">
        <v>0.71</v>
      </c>
      <c r="I133" s="60">
        <f t="shared" ref="I133:K133" si="19">MEDIAN(I103:I132)</f>
        <v>0.4174357893</v>
      </c>
      <c r="J133" s="60">
        <f t="shared" si="19"/>
        <v>0.830384281</v>
      </c>
      <c r="K133" s="60">
        <f t="shared" si="19"/>
        <v>0.6238930934</v>
      </c>
      <c r="L133" s="22">
        <v>0.726</v>
      </c>
      <c r="M133" s="22">
        <v>0.263</v>
      </c>
      <c r="N133" s="22">
        <v>0.779</v>
      </c>
      <c r="O133" s="22">
        <v>0.879</v>
      </c>
      <c r="P133" s="22">
        <v>58.8</v>
      </c>
      <c r="Q133" s="22">
        <v>112.2</v>
      </c>
      <c r="R133" s="22">
        <v>54.2</v>
      </c>
      <c r="S133" s="22">
        <v>393.8</v>
      </c>
    </row>
    <row r="134">
      <c r="A134" s="72"/>
      <c r="B134" s="72"/>
      <c r="C134" s="72"/>
      <c r="D134" s="73" t="s">
        <v>232</v>
      </c>
      <c r="E134" s="22">
        <v>0.025</v>
      </c>
      <c r="F134" s="22">
        <v>0.018</v>
      </c>
      <c r="G134" s="22">
        <v>0.027</v>
      </c>
      <c r="H134" s="22">
        <v>0.022</v>
      </c>
      <c r="I134" s="60">
        <f t="shared" ref="I134:K134" si="20"> _xlfn.STDEV.P(I103:I132)</f>
        <v>0.0584953037</v>
      </c>
      <c r="J134" s="60">
        <f t="shared" si="20"/>
        <v>0.026400801</v>
      </c>
      <c r="K134" s="60">
        <f t="shared" si="20"/>
        <v>0.02879668294</v>
      </c>
      <c r="L134" s="22">
        <v>0.027</v>
      </c>
      <c r="M134" s="22">
        <v>0.045</v>
      </c>
      <c r="N134" s="22">
        <v>0.016</v>
      </c>
      <c r="O134" s="22">
        <v>0.061</v>
      </c>
      <c r="P134" s="22">
        <v>15.559</v>
      </c>
      <c r="Q134" s="22">
        <v>15.559</v>
      </c>
      <c r="R134" s="22">
        <v>27.547</v>
      </c>
      <c r="S134" s="22">
        <v>27.547</v>
      </c>
    </row>
  </sheetData>
  <mergeCells count="12">
    <mergeCell ref="B70:B101"/>
    <mergeCell ref="C70:C101"/>
    <mergeCell ref="A103:A134"/>
    <mergeCell ref="B103:B134"/>
    <mergeCell ref="C103:C134"/>
    <mergeCell ref="A4:A35"/>
    <mergeCell ref="B4:B35"/>
    <mergeCell ref="C4:C35"/>
    <mergeCell ref="A37:A68"/>
    <mergeCell ref="B37:B68"/>
    <mergeCell ref="C37:C68"/>
    <mergeCell ref="A70:A101"/>
  </mergeCells>
  <conditionalFormatting sqref="H4:H35 H37:H68 H70:H101 H103:H134">
    <cfRule type="cellIs" dxfId="0" priority="1" operator="greaterThan">
      <formula>0.725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19.13"/>
    <col customWidth="1" min="3" max="3" width="21.25"/>
  </cols>
  <sheetData>
    <row r="1">
      <c r="A1" s="1" t="s">
        <v>0</v>
      </c>
      <c r="B1" s="2" t="s">
        <v>1</v>
      </c>
      <c r="C1" s="3" t="s">
        <v>2</v>
      </c>
      <c r="D1" s="5"/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6" t="s">
        <v>10</v>
      </c>
      <c r="M1" s="6" t="s">
        <v>243</v>
      </c>
      <c r="N1" s="6" t="s">
        <v>12</v>
      </c>
      <c r="O1" s="6" t="s">
        <v>13</v>
      </c>
      <c r="P1" s="6" t="s">
        <v>244</v>
      </c>
    </row>
    <row r="2" ht="28.5" customHeight="1">
      <c r="A2" s="57" t="s">
        <v>18</v>
      </c>
      <c r="B2" s="58"/>
      <c r="C2" s="19" t="s">
        <v>19</v>
      </c>
      <c r="D2" s="59"/>
      <c r="E2" s="60">
        <v>0.652</v>
      </c>
      <c r="F2" s="60">
        <v>0.724</v>
      </c>
      <c r="G2" s="60">
        <v>0.727</v>
      </c>
      <c r="H2" s="60">
        <v>0.725</v>
      </c>
      <c r="I2" s="60">
        <v>0.684</v>
      </c>
      <c r="J2" s="60">
        <v>0.309</v>
      </c>
      <c r="K2" s="60">
        <v>0.807</v>
      </c>
      <c r="L2" s="60">
        <v>0.819</v>
      </c>
      <c r="M2" s="61">
        <v>83.0</v>
      </c>
      <c r="N2" s="61">
        <v>88.0</v>
      </c>
      <c r="O2" s="61">
        <v>81.0</v>
      </c>
      <c r="P2" s="62">
        <v>367.0</v>
      </c>
    </row>
    <row r="4">
      <c r="A4" s="68" t="s">
        <v>230</v>
      </c>
      <c r="B4" s="19" t="s">
        <v>231</v>
      </c>
      <c r="C4" s="19" t="s">
        <v>215</v>
      </c>
      <c r="D4" s="69"/>
      <c r="E4" s="32">
        <v>0.652</v>
      </c>
      <c r="F4" s="32">
        <v>0.725</v>
      </c>
      <c r="G4" s="32">
        <v>0.732</v>
      </c>
      <c r="H4" s="32">
        <v>0.728</v>
      </c>
      <c r="I4" s="32">
        <v>0.68</v>
      </c>
      <c r="J4" s="32">
        <v>0.312</v>
      </c>
      <c r="K4" s="32">
        <v>0.805</v>
      </c>
      <c r="L4" s="32">
        <v>0.83</v>
      </c>
      <c r="M4" s="32">
        <v>81.0</v>
      </c>
      <c r="N4" s="32">
        <v>90.0</v>
      </c>
      <c r="O4" s="22">
        <v>76.0</v>
      </c>
      <c r="P4" s="32">
        <v>372.0</v>
      </c>
    </row>
    <row r="5">
      <c r="A5" s="23"/>
      <c r="B5" s="23"/>
      <c r="C5" s="23"/>
      <c r="D5" s="69"/>
      <c r="E5" s="22">
        <v>0.639</v>
      </c>
      <c r="F5" s="32">
        <v>0.717</v>
      </c>
      <c r="G5" s="22">
        <v>0.729</v>
      </c>
      <c r="H5" s="22">
        <v>0.722</v>
      </c>
      <c r="I5" s="22">
        <v>0.679</v>
      </c>
      <c r="J5" s="22">
        <v>0.292</v>
      </c>
      <c r="K5" s="22">
        <v>0.797</v>
      </c>
      <c r="L5" s="32">
        <v>0.839</v>
      </c>
      <c r="M5" s="22">
        <v>75.0</v>
      </c>
      <c r="N5" s="22">
        <v>96.0</v>
      </c>
      <c r="O5" s="22">
        <v>72.0</v>
      </c>
      <c r="P5" s="22">
        <v>376.0</v>
      </c>
    </row>
    <row r="6">
      <c r="A6" s="23"/>
      <c r="B6" s="23"/>
      <c r="C6" s="23"/>
      <c r="D6" s="70"/>
      <c r="E6" s="22">
        <v>0.639</v>
      </c>
      <c r="F6" s="22">
        <v>0.716</v>
      </c>
      <c r="G6" s="22">
        <v>0.724</v>
      </c>
      <c r="H6" s="22">
        <v>0.719</v>
      </c>
      <c r="I6" s="22">
        <v>0.684</v>
      </c>
      <c r="J6" s="22">
        <v>0.288</v>
      </c>
      <c r="K6" s="22">
        <v>0.798</v>
      </c>
      <c r="L6" s="22">
        <v>0.828</v>
      </c>
      <c r="M6" s="22">
        <v>77.0</v>
      </c>
      <c r="N6" s="22">
        <v>94.0</v>
      </c>
      <c r="O6" s="22">
        <v>77.0</v>
      </c>
      <c r="P6" s="22">
        <v>371.0</v>
      </c>
    </row>
    <row r="7">
      <c r="A7" s="23"/>
      <c r="B7" s="23"/>
      <c r="C7" s="23"/>
      <c r="D7" s="70"/>
      <c r="E7" s="22">
        <v>0.647</v>
      </c>
      <c r="F7" s="22">
        <v>0.721</v>
      </c>
      <c r="G7" s="22">
        <v>0.727</v>
      </c>
      <c r="H7" s="22">
        <v>0.724</v>
      </c>
      <c r="I7" s="22">
        <v>0.682</v>
      </c>
      <c r="J7" s="22">
        <v>0.301</v>
      </c>
      <c r="K7" s="22">
        <v>0.803</v>
      </c>
      <c r="L7" s="22">
        <v>0.826</v>
      </c>
      <c r="M7" s="22">
        <v>80.0</v>
      </c>
      <c r="N7" s="22">
        <v>91.0</v>
      </c>
      <c r="O7" s="22">
        <v>78.0</v>
      </c>
      <c r="P7" s="22">
        <v>370.0</v>
      </c>
    </row>
    <row r="8">
      <c r="A8" s="23"/>
      <c r="B8" s="23"/>
      <c r="C8" s="23"/>
      <c r="D8" s="70"/>
      <c r="E8" s="22">
        <v>0.651</v>
      </c>
      <c r="F8" s="22">
        <v>0.724</v>
      </c>
      <c r="G8" s="22">
        <v>0.73</v>
      </c>
      <c r="H8" s="22">
        <v>0.727</v>
      </c>
      <c r="I8" s="22">
        <v>0.684</v>
      </c>
      <c r="J8" s="22">
        <v>0.31</v>
      </c>
      <c r="K8" s="22">
        <v>0.805</v>
      </c>
      <c r="L8" s="22">
        <v>0.828</v>
      </c>
      <c r="M8" s="22">
        <v>81.0</v>
      </c>
      <c r="N8" s="22">
        <v>90.0</v>
      </c>
      <c r="O8" s="22">
        <v>77.0</v>
      </c>
      <c r="P8" s="22">
        <v>371.0</v>
      </c>
    </row>
    <row r="9">
      <c r="A9" s="23"/>
      <c r="B9" s="23"/>
      <c r="C9" s="23"/>
      <c r="D9" s="70"/>
      <c r="E9" s="22">
        <v>0.64</v>
      </c>
      <c r="F9" s="22">
        <v>0.715</v>
      </c>
      <c r="G9" s="22">
        <v>0.722</v>
      </c>
      <c r="H9" s="22">
        <v>0.718</v>
      </c>
      <c r="I9" s="22">
        <v>0.689</v>
      </c>
      <c r="J9" s="22">
        <v>0.288</v>
      </c>
      <c r="K9" s="22">
        <v>0.799</v>
      </c>
      <c r="L9" s="22">
        <v>0.824</v>
      </c>
      <c r="M9" s="22">
        <v>78.0</v>
      </c>
      <c r="N9" s="22">
        <v>93.0</v>
      </c>
      <c r="O9" s="22">
        <v>79.0</v>
      </c>
      <c r="P9" s="22">
        <v>369.0</v>
      </c>
    </row>
    <row r="10">
      <c r="A10" s="23"/>
      <c r="B10" s="23"/>
      <c r="C10" s="23"/>
      <c r="D10" s="70"/>
      <c r="E10" s="22">
        <v>0.641</v>
      </c>
      <c r="F10" s="22">
        <v>0.716</v>
      </c>
      <c r="G10" s="22">
        <v>0.724</v>
      </c>
      <c r="H10" s="22">
        <v>0.72</v>
      </c>
      <c r="I10" s="22">
        <v>0.669</v>
      </c>
      <c r="J10" s="22">
        <v>0.29</v>
      </c>
      <c r="K10" s="22">
        <v>0.799</v>
      </c>
      <c r="L10" s="22">
        <v>0.826</v>
      </c>
      <c r="M10" s="22">
        <v>78.0</v>
      </c>
      <c r="N10" s="22">
        <v>93.0</v>
      </c>
      <c r="O10" s="22">
        <v>78.0</v>
      </c>
      <c r="P10" s="22">
        <v>370.0</v>
      </c>
    </row>
    <row r="11">
      <c r="A11" s="23"/>
      <c r="B11" s="23"/>
      <c r="C11" s="23"/>
      <c r="D11" s="70"/>
      <c r="E11" s="22">
        <v>0.647</v>
      </c>
      <c r="F11" s="22">
        <v>0.722</v>
      </c>
      <c r="G11" s="22">
        <v>0.73</v>
      </c>
      <c r="H11" s="22">
        <v>0.726</v>
      </c>
      <c r="I11" s="22">
        <v>0.689</v>
      </c>
      <c r="J11" s="22">
        <v>0.305</v>
      </c>
      <c r="K11" s="22">
        <v>0.802</v>
      </c>
      <c r="L11" s="22">
        <v>0.833</v>
      </c>
      <c r="M11" s="22">
        <v>79.0</v>
      </c>
      <c r="N11" s="22">
        <v>92.0</v>
      </c>
      <c r="O11" s="22">
        <v>75.0</v>
      </c>
      <c r="P11" s="22">
        <v>373.0</v>
      </c>
    </row>
    <row r="12">
      <c r="A12" s="23"/>
      <c r="B12" s="23"/>
      <c r="C12" s="23"/>
      <c r="D12" s="70"/>
      <c r="E12" s="22">
        <v>0.646</v>
      </c>
      <c r="F12" s="22">
        <v>0.721</v>
      </c>
      <c r="G12" s="22">
        <v>0.729</v>
      </c>
      <c r="H12" s="22">
        <v>0.724</v>
      </c>
      <c r="I12" s="22">
        <v>0.686</v>
      </c>
      <c r="J12" s="22">
        <v>0.302</v>
      </c>
      <c r="K12" s="22">
        <v>0.802</v>
      </c>
      <c r="L12" s="22">
        <v>0.83</v>
      </c>
      <c r="M12" s="22">
        <v>79.0</v>
      </c>
      <c r="N12" s="22">
        <v>92.0</v>
      </c>
      <c r="O12" s="22">
        <v>76.0</v>
      </c>
      <c r="P12" s="22">
        <v>372.0</v>
      </c>
    </row>
    <row r="13">
      <c r="A13" s="23"/>
      <c r="B13" s="23"/>
      <c r="C13" s="23"/>
      <c r="D13" s="70"/>
      <c r="E13" s="22">
        <v>0.642</v>
      </c>
      <c r="F13" s="22">
        <v>0.716</v>
      </c>
      <c r="G13" s="22">
        <v>0.722</v>
      </c>
      <c r="H13" s="22">
        <v>0.719</v>
      </c>
      <c r="I13" s="22">
        <v>0.691</v>
      </c>
      <c r="J13" s="22">
        <v>0.29</v>
      </c>
      <c r="K13" s="22">
        <v>0.8</v>
      </c>
      <c r="L13" s="22">
        <v>0.821</v>
      </c>
      <c r="M13" s="22">
        <v>79.0</v>
      </c>
      <c r="N13" s="22">
        <v>92.0</v>
      </c>
      <c r="O13" s="22">
        <v>80.0</v>
      </c>
      <c r="P13" s="22">
        <v>368.0</v>
      </c>
    </row>
    <row r="14">
      <c r="A14" s="23"/>
      <c r="B14" s="23"/>
      <c r="C14" s="23"/>
      <c r="D14" s="11"/>
      <c r="E14" s="22">
        <v>0.649</v>
      </c>
      <c r="F14" s="22">
        <v>0.721</v>
      </c>
      <c r="G14" s="22">
        <v>0.725</v>
      </c>
      <c r="H14" s="22">
        <v>0.723</v>
      </c>
      <c r="I14" s="22">
        <v>0.697</v>
      </c>
      <c r="J14" s="22">
        <v>0.303</v>
      </c>
      <c r="K14" s="22">
        <v>0.805</v>
      </c>
      <c r="L14" s="22">
        <v>0.819</v>
      </c>
      <c r="M14" s="22">
        <v>82.0</v>
      </c>
      <c r="N14" s="22">
        <v>89.0</v>
      </c>
      <c r="O14" s="22">
        <v>81.0</v>
      </c>
      <c r="P14" s="22">
        <v>367.0</v>
      </c>
    </row>
    <row r="15">
      <c r="A15" s="23"/>
      <c r="B15" s="23"/>
      <c r="C15" s="23"/>
      <c r="D15" s="11"/>
      <c r="E15" s="22">
        <v>0.634</v>
      </c>
      <c r="F15" s="22">
        <v>0.711</v>
      </c>
      <c r="G15" s="22">
        <v>0.719</v>
      </c>
      <c r="H15" s="22">
        <v>0.714</v>
      </c>
      <c r="I15" s="22">
        <v>0.695</v>
      </c>
      <c r="J15" s="22">
        <v>0.277</v>
      </c>
      <c r="K15" s="22">
        <v>0.795</v>
      </c>
      <c r="L15" s="22">
        <v>0.824</v>
      </c>
      <c r="M15" s="22">
        <v>76.0</v>
      </c>
      <c r="N15" s="22">
        <v>95.0</v>
      </c>
      <c r="O15" s="22">
        <v>79.0</v>
      </c>
      <c r="P15" s="22">
        <v>369.0</v>
      </c>
    </row>
    <row r="16">
      <c r="A16" s="23"/>
      <c r="B16" s="23"/>
      <c r="C16" s="23"/>
      <c r="D16" s="11"/>
      <c r="E16" s="22">
        <v>0.646</v>
      </c>
      <c r="F16" s="22">
        <v>0.72</v>
      </c>
      <c r="G16" s="22">
        <v>0.725</v>
      </c>
      <c r="H16" s="22">
        <v>0.722</v>
      </c>
      <c r="I16" s="22">
        <v>0.686</v>
      </c>
      <c r="J16" s="22">
        <v>0.298</v>
      </c>
      <c r="K16" s="22">
        <v>0.802</v>
      </c>
      <c r="L16" s="22">
        <v>0.824</v>
      </c>
      <c r="M16" s="22">
        <v>80.0</v>
      </c>
      <c r="N16" s="22">
        <v>91.0</v>
      </c>
      <c r="O16" s="22">
        <v>79.0</v>
      </c>
      <c r="P16" s="22">
        <v>369.0</v>
      </c>
    </row>
    <row r="17">
      <c r="A17" s="23"/>
      <c r="B17" s="23"/>
      <c r="C17" s="23"/>
      <c r="D17" s="11"/>
      <c r="E17" s="22">
        <v>0.655</v>
      </c>
      <c r="F17" s="22">
        <v>0.722</v>
      </c>
      <c r="G17" s="22">
        <v>0.716</v>
      </c>
      <c r="H17" s="22">
        <v>0.719</v>
      </c>
      <c r="I17" s="22">
        <v>0.653</v>
      </c>
      <c r="J17" s="22">
        <v>0.304</v>
      </c>
      <c r="K17" s="22">
        <v>0.812</v>
      </c>
      <c r="L17" s="22">
        <v>0.79</v>
      </c>
      <c r="M17" s="22">
        <v>89.0</v>
      </c>
      <c r="N17" s="22">
        <v>82.0</v>
      </c>
      <c r="O17" s="22">
        <v>94.0</v>
      </c>
      <c r="P17" s="22">
        <v>354.0</v>
      </c>
    </row>
    <row r="18">
      <c r="A18" s="23"/>
      <c r="B18" s="23"/>
      <c r="C18" s="23"/>
      <c r="D18" s="11"/>
      <c r="E18" s="22">
        <v>0.624</v>
      </c>
      <c r="F18" s="22">
        <v>0.705</v>
      </c>
      <c r="G18" s="22">
        <v>0.717</v>
      </c>
      <c r="H18" s="22">
        <v>0.71</v>
      </c>
      <c r="I18" s="22">
        <v>0.667</v>
      </c>
      <c r="J18" s="22">
        <v>0.261</v>
      </c>
      <c r="K18" s="22">
        <v>0.789</v>
      </c>
      <c r="L18" s="22">
        <v>0.833</v>
      </c>
      <c r="M18" s="22">
        <v>71.0</v>
      </c>
      <c r="N18" s="22">
        <v>100.0</v>
      </c>
      <c r="O18" s="22">
        <v>75.0</v>
      </c>
      <c r="P18" s="22">
        <v>373.0</v>
      </c>
    </row>
    <row r="19">
      <c r="A19" s="23"/>
      <c r="B19" s="23"/>
      <c r="C19" s="23"/>
      <c r="D19" s="11"/>
      <c r="E19" s="22">
        <v>0.644</v>
      </c>
      <c r="F19" s="22">
        <v>0.72</v>
      </c>
      <c r="G19" s="22">
        <v>0.729</v>
      </c>
      <c r="H19" s="22">
        <v>0.724</v>
      </c>
      <c r="I19" s="22">
        <v>0.684</v>
      </c>
      <c r="J19" s="22">
        <v>0.299</v>
      </c>
      <c r="K19" s="22">
        <v>0.8</v>
      </c>
      <c r="L19" s="22">
        <v>0.833</v>
      </c>
      <c r="M19" s="22">
        <v>78.0</v>
      </c>
      <c r="N19" s="22">
        <v>93.0</v>
      </c>
      <c r="O19" s="22">
        <v>75.0</v>
      </c>
      <c r="P19" s="22">
        <v>373.0</v>
      </c>
    </row>
    <row r="20">
      <c r="A20" s="23"/>
      <c r="B20" s="23"/>
      <c r="C20" s="23"/>
      <c r="D20" s="11"/>
      <c r="E20" s="22">
        <v>0.642</v>
      </c>
      <c r="F20" s="22">
        <v>0.718</v>
      </c>
      <c r="G20" s="22">
        <v>0.725</v>
      </c>
      <c r="H20" s="22">
        <v>0.721</v>
      </c>
      <c r="I20" s="22">
        <v>0.687</v>
      </c>
      <c r="J20" s="22">
        <v>0.293</v>
      </c>
      <c r="K20" s="22">
        <v>0.8</v>
      </c>
      <c r="L20" s="22">
        <v>0.828</v>
      </c>
      <c r="M20" s="22">
        <v>78.0</v>
      </c>
      <c r="N20" s="22">
        <v>93.0</v>
      </c>
      <c r="O20" s="22">
        <v>77.0</v>
      </c>
      <c r="P20" s="22">
        <v>371.0</v>
      </c>
    </row>
    <row r="21">
      <c r="A21" s="23"/>
      <c r="B21" s="23"/>
      <c r="C21" s="23"/>
      <c r="D21" s="11"/>
      <c r="E21" s="22">
        <v>0.639</v>
      </c>
      <c r="F21" s="22">
        <v>0.717</v>
      </c>
      <c r="G21" s="22">
        <v>0.729</v>
      </c>
      <c r="H21" s="22">
        <v>0.722</v>
      </c>
      <c r="I21" s="22">
        <v>0.677</v>
      </c>
      <c r="J21" s="22">
        <v>0.292</v>
      </c>
      <c r="K21" s="22">
        <v>0.797</v>
      </c>
      <c r="L21" s="22">
        <v>0.839</v>
      </c>
      <c r="M21" s="22">
        <v>75.0</v>
      </c>
      <c r="N21" s="22">
        <v>96.0</v>
      </c>
      <c r="O21" s="22">
        <v>72.0</v>
      </c>
      <c r="P21" s="22">
        <v>376.0</v>
      </c>
    </row>
    <row r="22">
      <c r="A22" s="23"/>
      <c r="B22" s="23"/>
      <c r="C22" s="23"/>
      <c r="D22" s="11"/>
      <c r="E22" s="22">
        <v>0.647</v>
      </c>
      <c r="F22" s="22">
        <v>0.721</v>
      </c>
      <c r="G22" s="22">
        <v>0.727</v>
      </c>
      <c r="H22" s="22">
        <v>0.724</v>
      </c>
      <c r="I22" s="22">
        <v>0.68</v>
      </c>
      <c r="J22" s="22">
        <v>0.301</v>
      </c>
      <c r="K22" s="22">
        <v>0.803</v>
      </c>
      <c r="L22" s="22">
        <v>0.826</v>
      </c>
      <c r="M22" s="22">
        <v>80.0</v>
      </c>
      <c r="N22" s="22">
        <v>91.0</v>
      </c>
      <c r="O22" s="22">
        <v>78.0</v>
      </c>
      <c r="P22" s="22">
        <v>370.0</v>
      </c>
    </row>
    <row r="23">
      <c r="A23" s="23"/>
      <c r="B23" s="23"/>
      <c r="C23" s="23"/>
      <c r="D23" s="11"/>
      <c r="E23" s="22">
        <v>0.649</v>
      </c>
      <c r="F23" s="22">
        <v>0.723</v>
      </c>
      <c r="G23" s="22">
        <v>0.73</v>
      </c>
      <c r="H23" s="22">
        <v>0.726</v>
      </c>
      <c r="I23" s="22">
        <v>0.694</v>
      </c>
      <c r="J23" s="22">
        <v>0.307</v>
      </c>
      <c r="K23" s="22">
        <v>0.803</v>
      </c>
      <c r="L23" s="22">
        <v>0.83</v>
      </c>
      <c r="M23" s="22">
        <v>80.0</v>
      </c>
      <c r="N23" s="22">
        <v>91.0</v>
      </c>
      <c r="O23" s="22">
        <v>76.0</v>
      </c>
      <c r="P23" s="22">
        <v>372.0</v>
      </c>
    </row>
    <row r="24">
      <c r="A24" s="23"/>
      <c r="B24" s="23"/>
      <c r="C24" s="23"/>
      <c r="D24" s="11"/>
      <c r="E24" s="22">
        <v>0.647</v>
      </c>
      <c r="F24" s="22">
        <v>0.722</v>
      </c>
      <c r="G24" s="22">
        <v>0.73</v>
      </c>
      <c r="H24" s="22">
        <v>0.726</v>
      </c>
      <c r="I24" s="22">
        <v>0.688</v>
      </c>
      <c r="J24" s="22">
        <v>0.305</v>
      </c>
      <c r="K24" s="22">
        <v>0.802</v>
      </c>
      <c r="L24" s="22">
        <v>0.833</v>
      </c>
      <c r="M24" s="22">
        <v>79.0</v>
      </c>
      <c r="N24" s="22">
        <v>92.0</v>
      </c>
      <c r="O24" s="22">
        <v>75.0</v>
      </c>
      <c r="P24" s="22">
        <v>373.0</v>
      </c>
    </row>
    <row r="25">
      <c r="A25" s="23"/>
      <c r="B25" s="23"/>
      <c r="C25" s="23"/>
      <c r="D25" s="11"/>
      <c r="E25" s="22">
        <v>0.637</v>
      </c>
      <c r="F25" s="22">
        <v>0.713</v>
      </c>
      <c r="G25" s="22">
        <v>0.721</v>
      </c>
      <c r="H25" s="22">
        <v>0.716</v>
      </c>
      <c r="I25" s="22">
        <v>0.679</v>
      </c>
      <c r="J25" s="22">
        <v>0.282</v>
      </c>
      <c r="K25" s="22">
        <v>0.797</v>
      </c>
      <c r="L25" s="22">
        <v>0.824</v>
      </c>
      <c r="M25" s="22">
        <v>77.0</v>
      </c>
      <c r="N25" s="22">
        <v>94.0</v>
      </c>
      <c r="O25" s="22">
        <v>79.0</v>
      </c>
      <c r="P25" s="22">
        <v>369.0</v>
      </c>
    </row>
    <row r="26">
      <c r="A26" s="23"/>
      <c r="B26" s="23"/>
      <c r="C26" s="23"/>
      <c r="D26" s="11"/>
      <c r="E26" s="22">
        <v>0.638</v>
      </c>
      <c r="F26" s="22">
        <v>0.714</v>
      </c>
      <c r="G26" s="22">
        <v>0.722</v>
      </c>
      <c r="H26" s="22">
        <v>0.718</v>
      </c>
      <c r="I26" s="22">
        <v>0.678</v>
      </c>
      <c r="J26" s="22">
        <v>0.285</v>
      </c>
      <c r="K26" s="22">
        <v>0.797</v>
      </c>
      <c r="L26" s="22">
        <v>0.826</v>
      </c>
      <c r="M26" s="22">
        <v>77.0</v>
      </c>
      <c r="N26" s="22">
        <v>94.0</v>
      </c>
      <c r="O26" s="22">
        <v>78.0</v>
      </c>
      <c r="P26" s="22">
        <v>370.0</v>
      </c>
    </row>
    <row r="27">
      <c r="A27" s="23"/>
      <c r="B27" s="23"/>
      <c r="C27" s="23"/>
      <c r="D27" s="11"/>
      <c r="E27" s="22">
        <v>0.644</v>
      </c>
      <c r="F27" s="22">
        <v>0.72</v>
      </c>
      <c r="G27" s="22">
        <v>0.729</v>
      </c>
      <c r="H27" s="22">
        <v>0.724</v>
      </c>
      <c r="I27" s="22">
        <v>0.694</v>
      </c>
      <c r="J27" s="22">
        <v>0.299</v>
      </c>
      <c r="K27" s="22">
        <v>0.8</v>
      </c>
      <c r="L27" s="22">
        <v>0.833</v>
      </c>
      <c r="M27" s="22">
        <v>78.0</v>
      </c>
      <c r="N27" s="22">
        <v>93.0</v>
      </c>
      <c r="O27" s="22">
        <v>75.0</v>
      </c>
      <c r="P27" s="22">
        <v>373.0</v>
      </c>
    </row>
    <row r="28">
      <c r="A28" s="23"/>
      <c r="B28" s="23"/>
      <c r="C28" s="23"/>
      <c r="D28" s="11"/>
      <c r="E28" s="80">
        <v>0.652</v>
      </c>
      <c r="F28" s="80">
        <v>0.725</v>
      </c>
      <c r="G28" s="80">
        <v>0.732</v>
      </c>
      <c r="H28" s="80">
        <v>0.728</v>
      </c>
      <c r="I28" s="80">
        <v>0.691</v>
      </c>
      <c r="J28" s="80">
        <v>0.312</v>
      </c>
      <c r="K28" s="80">
        <v>0.805</v>
      </c>
      <c r="L28" s="80">
        <v>0.83</v>
      </c>
      <c r="M28" s="80">
        <v>81.0</v>
      </c>
      <c r="N28" s="80">
        <v>90.0</v>
      </c>
      <c r="O28" s="80">
        <v>76.0</v>
      </c>
      <c r="P28" s="80">
        <v>372.0</v>
      </c>
    </row>
    <row r="29">
      <c r="A29" s="23"/>
      <c r="B29" s="23"/>
      <c r="C29" s="23"/>
      <c r="D29" s="11"/>
      <c r="E29" s="22">
        <v>0.649</v>
      </c>
      <c r="F29" s="22">
        <v>0.723</v>
      </c>
      <c r="G29" s="22">
        <v>0.73</v>
      </c>
      <c r="H29" s="22">
        <v>0.726</v>
      </c>
      <c r="I29" s="22">
        <v>0.681</v>
      </c>
      <c r="J29" s="22">
        <v>0.307</v>
      </c>
      <c r="K29" s="22">
        <v>0.803</v>
      </c>
      <c r="L29" s="22">
        <v>0.83</v>
      </c>
      <c r="M29" s="22">
        <v>80.0</v>
      </c>
      <c r="N29" s="22">
        <v>91.0</v>
      </c>
      <c r="O29" s="22">
        <v>76.0</v>
      </c>
      <c r="P29" s="22">
        <v>372.0</v>
      </c>
    </row>
    <row r="30">
      <c r="A30" s="23"/>
      <c r="B30" s="23"/>
      <c r="C30" s="23"/>
      <c r="D30" s="11"/>
      <c r="E30" s="22">
        <v>0.645</v>
      </c>
      <c r="F30" s="22">
        <v>0.721</v>
      </c>
      <c r="G30" s="22">
        <v>0.73</v>
      </c>
      <c r="H30" s="22">
        <v>0.725</v>
      </c>
      <c r="I30" s="22">
        <v>0.682</v>
      </c>
      <c r="J30" s="22">
        <v>0.302</v>
      </c>
      <c r="K30" s="22">
        <v>0.801</v>
      </c>
      <c r="L30" s="22">
        <v>0.835</v>
      </c>
      <c r="M30" s="22">
        <v>78.0</v>
      </c>
      <c r="N30" s="22">
        <v>93.0</v>
      </c>
      <c r="O30" s="22">
        <v>74.0</v>
      </c>
      <c r="P30" s="22">
        <v>374.0</v>
      </c>
    </row>
    <row r="31">
      <c r="A31" s="23"/>
      <c r="B31" s="23"/>
      <c r="C31" s="23"/>
      <c r="D31" s="11"/>
      <c r="E31" s="22">
        <v>0.64</v>
      </c>
      <c r="F31" s="22">
        <v>0.715</v>
      </c>
      <c r="G31" s="22">
        <v>0.722</v>
      </c>
      <c r="H31" s="22">
        <v>0.718</v>
      </c>
      <c r="I31" s="22">
        <v>0.684</v>
      </c>
      <c r="J31" s="22">
        <v>0.288</v>
      </c>
      <c r="K31" s="22">
        <v>0.799</v>
      </c>
      <c r="L31" s="22">
        <v>0.824</v>
      </c>
      <c r="M31" s="22">
        <v>78.0</v>
      </c>
      <c r="N31" s="22">
        <v>93.0</v>
      </c>
      <c r="O31" s="22">
        <v>79.0</v>
      </c>
      <c r="P31" s="22">
        <v>369.0</v>
      </c>
    </row>
    <row r="32">
      <c r="A32" s="23"/>
      <c r="B32" s="23"/>
      <c r="C32" s="23"/>
      <c r="D32" s="11"/>
      <c r="E32" s="22">
        <v>0.636</v>
      </c>
      <c r="F32" s="22">
        <v>0.715</v>
      </c>
      <c r="G32" s="22">
        <v>0.727</v>
      </c>
      <c r="H32" s="22">
        <v>0.72</v>
      </c>
      <c r="I32" s="22">
        <v>0.679</v>
      </c>
      <c r="J32" s="22">
        <v>0.287</v>
      </c>
      <c r="K32" s="22">
        <v>0.795</v>
      </c>
      <c r="L32" s="22">
        <v>0.839</v>
      </c>
      <c r="M32" s="22">
        <v>74.0</v>
      </c>
      <c r="N32" s="22">
        <v>97.0</v>
      </c>
      <c r="O32" s="22">
        <v>72.0</v>
      </c>
      <c r="P32" s="22">
        <v>376.0</v>
      </c>
    </row>
    <row r="33">
      <c r="A33" s="23"/>
      <c r="B33" s="23"/>
      <c r="C33" s="23"/>
      <c r="D33" s="11"/>
      <c r="E33" s="22">
        <v>0.647</v>
      </c>
      <c r="F33" s="22">
        <v>0.722</v>
      </c>
      <c r="G33" s="22">
        <v>0.73</v>
      </c>
      <c r="H33" s="22">
        <v>0.726</v>
      </c>
      <c r="I33" s="22">
        <v>0.681</v>
      </c>
      <c r="J33" s="22">
        <v>0.305</v>
      </c>
      <c r="K33" s="22">
        <v>0.802</v>
      </c>
      <c r="L33" s="22">
        <v>0.833</v>
      </c>
      <c r="M33" s="22">
        <v>79.0</v>
      </c>
      <c r="N33" s="22">
        <v>92.0</v>
      </c>
      <c r="O33" s="22">
        <v>75.0</v>
      </c>
      <c r="P33" s="22">
        <v>373.0</v>
      </c>
    </row>
    <row r="34">
      <c r="A34" s="23"/>
      <c r="B34" s="23"/>
      <c r="C34" s="23"/>
      <c r="D34" s="71" t="s">
        <v>23</v>
      </c>
      <c r="E34" s="22">
        <v>0.644</v>
      </c>
      <c r="F34" s="22">
        <v>0.719</v>
      </c>
      <c r="G34" s="22">
        <v>0.726</v>
      </c>
      <c r="H34" s="22">
        <v>0.722</v>
      </c>
      <c r="I34" s="22">
        <v>0.683</v>
      </c>
      <c r="J34" s="22">
        <v>0.296</v>
      </c>
      <c r="K34" s="22">
        <v>0.801</v>
      </c>
      <c r="L34" s="22">
        <v>0.828</v>
      </c>
      <c r="M34" s="22">
        <v>78.567</v>
      </c>
      <c r="N34" s="22">
        <v>92.433</v>
      </c>
      <c r="O34" s="22">
        <v>77.1</v>
      </c>
      <c r="P34" s="22">
        <v>370.9</v>
      </c>
    </row>
    <row r="35">
      <c r="A35" s="72"/>
      <c r="B35" s="72"/>
      <c r="C35" s="72"/>
      <c r="D35" s="73" t="s">
        <v>232</v>
      </c>
      <c r="E35" s="22">
        <v>0.006</v>
      </c>
      <c r="F35" s="22">
        <v>0.004</v>
      </c>
      <c r="G35" s="22">
        <v>0.004</v>
      </c>
      <c r="H35" s="22">
        <v>0.004</v>
      </c>
      <c r="I35" s="22">
        <v>0.009</v>
      </c>
      <c r="J35" s="22">
        <v>0.011</v>
      </c>
      <c r="K35" s="22">
        <v>0.004</v>
      </c>
      <c r="L35" s="22">
        <v>0.009</v>
      </c>
      <c r="M35" s="22">
        <v>2.996</v>
      </c>
      <c r="N35" s="22">
        <v>2.996</v>
      </c>
      <c r="O35" s="22">
        <v>3.876</v>
      </c>
      <c r="P35" s="22">
        <v>3.876</v>
      </c>
    </row>
    <row r="36">
      <c r="A36" s="74"/>
      <c r="B36" s="17"/>
      <c r="C36" s="17"/>
      <c r="D36" s="75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18"/>
      <c r="P36" s="76"/>
    </row>
    <row r="37">
      <c r="A37" s="77" t="s">
        <v>233</v>
      </c>
      <c r="B37" s="78" t="s">
        <v>231</v>
      </c>
      <c r="C37" s="78" t="s">
        <v>19</v>
      </c>
      <c r="D37" s="79"/>
      <c r="E37" s="32">
        <v>0.634</v>
      </c>
      <c r="F37" s="32">
        <v>0.711</v>
      </c>
      <c r="G37" s="32">
        <v>0.719</v>
      </c>
      <c r="H37" s="32">
        <v>0.714</v>
      </c>
      <c r="I37" s="32">
        <v>0.674</v>
      </c>
      <c r="J37" s="32">
        <v>0.277</v>
      </c>
      <c r="K37" s="32">
        <v>0.795</v>
      </c>
      <c r="L37" s="32">
        <v>0.824</v>
      </c>
      <c r="M37" s="32">
        <v>76.0</v>
      </c>
      <c r="N37" s="32">
        <v>95.0</v>
      </c>
      <c r="O37" s="22">
        <v>79.0</v>
      </c>
      <c r="P37" s="32">
        <v>369.0</v>
      </c>
    </row>
    <row r="38">
      <c r="A38" s="23"/>
      <c r="B38" s="23"/>
      <c r="C38" s="23"/>
      <c r="D38" s="69"/>
      <c r="E38" s="22">
        <v>0.627</v>
      </c>
      <c r="F38" s="32">
        <v>0.706</v>
      </c>
      <c r="G38" s="22">
        <v>0.714</v>
      </c>
      <c r="H38" s="22">
        <v>0.709</v>
      </c>
      <c r="I38" s="22">
        <v>0.671</v>
      </c>
      <c r="J38" s="22">
        <v>0.263</v>
      </c>
      <c r="K38" s="22">
        <v>0.791</v>
      </c>
      <c r="L38" s="32">
        <v>0.821</v>
      </c>
      <c r="M38" s="22">
        <v>74.0</v>
      </c>
      <c r="N38" s="22">
        <v>97.0</v>
      </c>
      <c r="O38" s="22">
        <v>80.0</v>
      </c>
      <c r="P38" s="22">
        <v>368.0</v>
      </c>
    </row>
    <row r="39">
      <c r="A39" s="23"/>
      <c r="B39" s="23"/>
      <c r="C39" s="23"/>
      <c r="D39" s="70"/>
      <c r="E39" s="22">
        <v>0.639</v>
      </c>
      <c r="F39" s="22">
        <v>0.716</v>
      </c>
      <c r="G39" s="22">
        <v>0.725</v>
      </c>
      <c r="H39" s="22">
        <v>0.72</v>
      </c>
      <c r="I39" s="22">
        <v>0.679</v>
      </c>
      <c r="J39" s="22">
        <v>0.288</v>
      </c>
      <c r="K39" s="22">
        <v>0.797</v>
      </c>
      <c r="L39" s="22">
        <v>0.833</v>
      </c>
      <c r="M39" s="22">
        <v>76.0</v>
      </c>
      <c r="N39" s="22">
        <v>95.0</v>
      </c>
      <c r="O39" s="22">
        <v>75.0</v>
      </c>
      <c r="P39" s="22">
        <v>373.0</v>
      </c>
    </row>
    <row r="40">
      <c r="A40" s="23"/>
      <c r="B40" s="23"/>
      <c r="C40" s="23"/>
      <c r="D40" s="70"/>
      <c r="E40" s="22">
        <v>0.636</v>
      </c>
      <c r="F40" s="22">
        <v>0.714</v>
      </c>
      <c r="G40" s="22">
        <v>0.724</v>
      </c>
      <c r="H40" s="22">
        <v>0.718</v>
      </c>
      <c r="I40" s="22">
        <v>0.661</v>
      </c>
      <c r="J40" s="22">
        <v>0.283</v>
      </c>
      <c r="K40" s="22">
        <v>0.795</v>
      </c>
      <c r="L40" s="22">
        <v>0.833</v>
      </c>
      <c r="M40" s="22">
        <v>75.0</v>
      </c>
      <c r="N40" s="22">
        <v>96.0</v>
      </c>
      <c r="O40" s="22">
        <v>75.0</v>
      </c>
      <c r="P40" s="22">
        <v>373.0</v>
      </c>
    </row>
    <row r="41">
      <c r="A41" s="23"/>
      <c r="B41" s="23"/>
      <c r="C41" s="23"/>
      <c r="D41" s="70"/>
      <c r="E41" s="22">
        <v>0.64</v>
      </c>
      <c r="F41" s="22">
        <v>0.717</v>
      </c>
      <c r="G41" s="22">
        <v>0.725</v>
      </c>
      <c r="H41" s="22">
        <v>0.72</v>
      </c>
      <c r="I41" s="22">
        <v>0.677</v>
      </c>
      <c r="J41" s="22">
        <v>0.291</v>
      </c>
      <c r="K41" s="22">
        <v>0.798</v>
      </c>
      <c r="L41" s="22">
        <v>0.83</v>
      </c>
      <c r="M41" s="22">
        <v>77.0</v>
      </c>
      <c r="N41" s="22">
        <v>94.0</v>
      </c>
      <c r="O41" s="22">
        <v>76.0</v>
      </c>
      <c r="P41" s="22">
        <v>372.0</v>
      </c>
    </row>
    <row r="42">
      <c r="A42" s="23"/>
      <c r="B42" s="23"/>
      <c r="C42" s="23"/>
      <c r="D42" s="70"/>
      <c r="E42" s="22">
        <v>0.636</v>
      </c>
      <c r="F42" s="22">
        <v>0.712</v>
      </c>
      <c r="G42" s="22">
        <v>0.719</v>
      </c>
      <c r="H42" s="22">
        <v>0.715</v>
      </c>
      <c r="I42" s="22">
        <v>0.671</v>
      </c>
      <c r="J42" s="22">
        <v>0.279</v>
      </c>
      <c r="K42" s="22">
        <v>0.797</v>
      </c>
      <c r="L42" s="22">
        <v>0.821</v>
      </c>
      <c r="M42" s="22">
        <v>77.0</v>
      </c>
      <c r="N42" s="22">
        <v>94.0</v>
      </c>
      <c r="O42" s="22">
        <v>80.0</v>
      </c>
      <c r="P42" s="22">
        <v>368.0</v>
      </c>
    </row>
    <row r="43">
      <c r="A43" s="23"/>
      <c r="B43" s="23"/>
      <c r="C43" s="23"/>
      <c r="D43" s="70"/>
      <c r="E43" s="22">
        <v>0.633</v>
      </c>
      <c r="F43" s="22">
        <v>0.711</v>
      </c>
      <c r="G43" s="22">
        <v>0.721</v>
      </c>
      <c r="H43" s="22">
        <v>0.715</v>
      </c>
      <c r="I43" s="22">
        <v>0.671</v>
      </c>
      <c r="J43" s="22">
        <v>0.277</v>
      </c>
      <c r="K43" s="22">
        <v>0.794</v>
      </c>
      <c r="L43" s="22">
        <v>0.828</v>
      </c>
      <c r="M43" s="22">
        <v>75.0</v>
      </c>
      <c r="N43" s="22">
        <v>96.0</v>
      </c>
      <c r="O43" s="22">
        <v>77.0</v>
      </c>
      <c r="P43" s="22">
        <v>371.0</v>
      </c>
    </row>
    <row r="44">
      <c r="A44" s="23"/>
      <c r="B44" s="23"/>
      <c r="C44" s="23"/>
      <c r="D44" s="70"/>
      <c r="E44" s="22">
        <v>0.634</v>
      </c>
      <c r="F44" s="22">
        <v>0.712</v>
      </c>
      <c r="G44" s="22">
        <v>0.722</v>
      </c>
      <c r="H44" s="22">
        <v>0.717</v>
      </c>
      <c r="I44" s="22">
        <v>0.68</v>
      </c>
      <c r="J44" s="22">
        <v>0.28</v>
      </c>
      <c r="K44" s="22">
        <v>0.795</v>
      </c>
      <c r="L44" s="22">
        <v>0.83</v>
      </c>
      <c r="M44" s="22">
        <v>75.0</v>
      </c>
      <c r="N44" s="22">
        <v>96.0</v>
      </c>
      <c r="O44" s="22">
        <v>76.0</v>
      </c>
      <c r="P44" s="22">
        <v>372.0</v>
      </c>
    </row>
    <row r="45">
      <c r="A45" s="23"/>
      <c r="B45" s="23"/>
      <c r="C45" s="23"/>
      <c r="D45" s="70"/>
      <c r="E45" s="22">
        <v>0.632</v>
      </c>
      <c r="F45" s="22">
        <v>0.71</v>
      </c>
      <c r="G45" s="22">
        <v>0.721</v>
      </c>
      <c r="H45" s="22">
        <v>0.715</v>
      </c>
      <c r="I45" s="22">
        <v>0.66</v>
      </c>
      <c r="J45" s="22">
        <v>0.275</v>
      </c>
      <c r="K45" s="22">
        <v>0.793</v>
      </c>
      <c r="L45" s="22">
        <v>0.83</v>
      </c>
      <c r="M45" s="22">
        <v>74.0</v>
      </c>
      <c r="N45" s="22">
        <v>97.0</v>
      </c>
      <c r="O45" s="22">
        <v>76.0</v>
      </c>
      <c r="P45" s="22">
        <v>372.0</v>
      </c>
    </row>
    <row r="46">
      <c r="A46" s="23"/>
      <c r="B46" s="23"/>
      <c r="C46" s="23"/>
      <c r="D46" s="70"/>
      <c r="E46" s="22">
        <v>0.634</v>
      </c>
      <c r="F46" s="22">
        <v>0.711</v>
      </c>
      <c r="G46" s="22">
        <v>0.719</v>
      </c>
      <c r="H46" s="22">
        <v>0.714</v>
      </c>
      <c r="I46" s="22">
        <v>0.669</v>
      </c>
      <c r="J46" s="22">
        <v>0.277</v>
      </c>
      <c r="K46" s="22">
        <v>0.795</v>
      </c>
      <c r="L46" s="22">
        <v>0.824</v>
      </c>
      <c r="M46" s="22">
        <v>76.0</v>
      </c>
      <c r="N46" s="22">
        <v>95.0</v>
      </c>
      <c r="O46" s="22">
        <v>79.0</v>
      </c>
      <c r="P46" s="22">
        <v>369.0</v>
      </c>
    </row>
    <row r="47">
      <c r="A47" s="23"/>
      <c r="B47" s="23"/>
      <c r="C47" s="23"/>
      <c r="D47" s="11"/>
      <c r="E47" s="80">
        <v>0.645</v>
      </c>
      <c r="F47" s="80">
        <v>0.721</v>
      </c>
      <c r="G47" s="80">
        <v>0.73</v>
      </c>
      <c r="H47" s="80">
        <v>0.725</v>
      </c>
      <c r="I47" s="80">
        <v>0.68</v>
      </c>
      <c r="J47" s="80">
        <v>0.302</v>
      </c>
      <c r="K47" s="80">
        <v>0.801</v>
      </c>
      <c r="L47" s="80">
        <v>0.835</v>
      </c>
      <c r="M47" s="80">
        <v>78.0</v>
      </c>
      <c r="N47" s="80">
        <v>93.0</v>
      </c>
      <c r="O47" s="80">
        <v>74.0</v>
      </c>
      <c r="P47" s="80">
        <v>374.0</v>
      </c>
    </row>
    <row r="48">
      <c r="A48" s="23"/>
      <c r="B48" s="23"/>
      <c r="C48" s="23"/>
      <c r="D48" s="11"/>
      <c r="E48" s="22">
        <v>0.644</v>
      </c>
      <c r="F48" s="22">
        <v>0.72</v>
      </c>
      <c r="G48" s="22">
        <v>0.73</v>
      </c>
      <c r="H48" s="22">
        <v>0.724</v>
      </c>
      <c r="I48" s="22">
        <v>0.682</v>
      </c>
      <c r="J48" s="22">
        <v>0.3</v>
      </c>
      <c r="K48" s="22">
        <v>0.8</v>
      </c>
      <c r="L48" s="22">
        <v>0.837</v>
      </c>
      <c r="M48" s="22">
        <v>77.0</v>
      </c>
      <c r="N48" s="22">
        <v>94.0</v>
      </c>
      <c r="O48" s="22">
        <v>73.0</v>
      </c>
      <c r="P48" s="22">
        <v>375.0</v>
      </c>
    </row>
    <row r="49">
      <c r="A49" s="23"/>
      <c r="B49" s="23"/>
      <c r="C49" s="23"/>
      <c r="D49" s="11"/>
      <c r="E49" s="22">
        <v>0.631</v>
      </c>
      <c r="F49" s="22">
        <v>0.709</v>
      </c>
      <c r="G49" s="22">
        <v>0.717</v>
      </c>
      <c r="H49" s="22">
        <v>0.713</v>
      </c>
      <c r="I49" s="22">
        <v>0.669</v>
      </c>
      <c r="J49" s="22">
        <v>0.271</v>
      </c>
      <c r="K49" s="22">
        <v>0.794</v>
      </c>
      <c r="L49" s="22">
        <v>0.824</v>
      </c>
      <c r="M49" s="22">
        <v>75.0</v>
      </c>
      <c r="N49" s="22">
        <v>96.0</v>
      </c>
      <c r="O49" s="22">
        <v>79.0</v>
      </c>
      <c r="P49" s="22">
        <v>369.0</v>
      </c>
    </row>
    <row r="50">
      <c r="A50" s="23"/>
      <c r="B50" s="23"/>
      <c r="C50" s="23"/>
      <c r="D50" s="11"/>
      <c r="E50" s="22">
        <v>0.634</v>
      </c>
      <c r="F50" s="22">
        <v>0.713</v>
      </c>
      <c r="G50" s="22">
        <v>0.724</v>
      </c>
      <c r="H50" s="22">
        <v>0.717</v>
      </c>
      <c r="I50" s="22">
        <v>0.671</v>
      </c>
      <c r="J50" s="22">
        <v>0.281</v>
      </c>
      <c r="K50" s="22">
        <v>0.794</v>
      </c>
      <c r="L50" s="22">
        <v>0.835</v>
      </c>
      <c r="M50" s="22">
        <v>74.0</v>
      </c>
      <c r="N50" s="22">
        <v>97.0</v>
      </c>
      <c r="O50" s="22">
        <v>74.0</v>
      </c>
      <c r="P50" s="22">
        <v>374.0</v>
      </c>
    </row>
    <row r="51">
      <c r="A51" s="23"/>
      <c r="B51" s="23"/>
      <c r="C51" s="23"/>
      <c r="D51" s="11"/>
      <c r="E51" s="22">
        <v>0.632</v>
      </c>
      <c r="F51" s="22">
        <v>0.71</v>
      </c>
      <c r="G51" s="22">
        <v>0.721</v>
      </c>
      <c r="H51" s="22">
        <v>0.715</v>
      </c>
      <c r="I51" s="22">
        <v>0.672</v>
      </c>
      <c r="J51" s="22">
        <v>0.275</v>
      </c>
      <c r="K51" s="22">
        <v>0.793</v>
      </c>
      <c r="L51" s="22">
        <v>0.83</v>
      </c>
      <c r="M51" s="22">
        <v>74.0</v>
      </c>
      <c r="N51" s="22">
        <v>97.0</v>
      </c>
      <c r="O51" s="22">
        <v>76.0</v>
      </c>
      <c r="P51" s="22">
        <v>372.0</v>
      </c>
    </row>
    <row r="52">
      <c r="A52" s="23"/>
      <c r="B52" s="23"/>
      <c r="C52" s="23"/>
      <c r="D52" s="11"/>
      <c r="E52" s="22">
        <v>0.633</v>
      </c>
      <c r="F52" s="22">
        <v>0.712</v>
      </c>
      <c r="G52" s="22">
        <v>0.722</v>
      </c>
      <c r="H52" s="22">
        <v>0.716</v>
      </c>
      <c r="I52" s="22">
        <v>0.665</v>
      </c>
      <c r="J52" s="22">
        <v>0.278</v>
      </c>
      <c r="K52" s="22">
        <v>0.794</v>
      </c>
      <c r="L52" s="22">
        <v>0.833</v>
      </c>
      <c r="M52" s="22">
        <v>74.0</v>
      </c>
      <c r="N52" s="22">
        <v>97.0</v>
      </c>
      <c r="O52" s="22">
        <v>75.0</v>
      </c>
      <c r="P52" s="22">
        <v>373.0</v>
      </c>
    </row>
    <row r="53">
      <c r="A53" s="23"/>
      <c r="B53" s="23"/>
      <c r="C53" s="23"/>
      <c r="D53" s="11"/>
      <c r="E53" s="22">
        <v>0.642</v>
      </c>
      <c r="F53" s="22">
        <v>0.72</v>
      </c>
      <c r="G53" s="22">
        <v>0.73</v>
      </c>
      <c r="H53" s="22">
        <v>0.724</v>
      </c>
      <c r="I53" s="22">
        <v>0.681</v>
      </c>
      <c r="J53" s="22">
        <v>0.297</v>
      </c>
      <c r="K53" s="22">
        <v>0.798</v>
      </c>
      <c r="L53" s="22">
        <v>0.839</v>
      </c>
      <c r="M53" s="22">
        <v>76.0</v>
      </c>
      <c r="N53" s="22">
        <v>95.0</v>
      </c>
      <c r="O53" s="22">
        <v>72.0</v>
      </c>
      <c r="P53" s="22">
        <v>376.0</v>
      </c>
    </row>
    <row r="54">
      <c r="A54" s="23"/>
      <c r="B54" s="23"/>
      <c r="C54" s="23"/>
      <c r="D54" s="11"/>
      <c r="E54" s="22">
        <v>0.634</v>
      </c>
      <c r="F54" s="22">
        <v>0.712</v>
      </c>
      <c r="G54" s="22">
        <v>0.722</v>
      </c>
      <c r="H54" s="22">
        <v>0.717</v>
      </c>
      <c r="I54" s="22">
        <v>0.67</v>
      </c>
      <c r="J54" s="22">
        <v>0.28</v>
      </c>
      <c r="K54" s="22">
        <v>0.795</v>
      </c>
      <c r="L54" s="22">
        <v>0.83</v>
      </c>
      <c r="M54" s="22">
        <v>75.0</v>
      </c>
      <c r="N54" s="22">
        <v>96.0</v>
      </c>
      <c r="O54" s="22">
        <v>76.0</v>
      </c>
      <c r="P54" s="22">
        <v>372.0</v>
      </c>
    </row>
    <row r="55">
      <c r="A55" s="23"/>
      <c r="B55" s="23"/>
      <c r="C55" s="23"/>
      <c r="D55" s="11"/>
      <c r="E55" s="22">
        <v>0.637</v>
      </c>
      <c r="F55" s="22">
        <v>0.715</v>
      </c>
      <c r="G55" s="22">
        <v>0.725</v>
      </c>
      <c r="H55" s="22">
        <v>0.719</v>
      </c>
      <c r="I55" s="22">
        <v>0.668</v>
      </c>
      <c r="J55" s="22">
        <v>0.286</v>
      </c>
      <c r="K55" s="22">
        <v>0.796</v>
      </c>
      <c r="L55" s="22">
        <v>0.835</v>
      </c>
      <c r="M55" s="22">
        <v>75.0</v>
      </c>
      <c r="N55" s="22">
        <v>96.0</v>
      </c>
      <c r="O55" s="22">
        <v>74.0</v>
      </c>
      <c r="P55" s="22">
        <v>374.0</v>
      </c>
    </row>
    <row r="56">
      <c r="A56" s="23"/>
      <c r="B56" s="23"/>
      <c r="C56" s="23"/>
      <c r="D56" s="11"/>
      <c r="E56" s="22">
        <v>0.631</v>
      </c>
      <c r="F56" s="22">
        <v>0.709</v>
      </c>
      <c r="G56" s="22">
        <v>0.717</v>
      </c>
      <c r="H56" s="22">
        <v>0.713</v>
      </c>
      <c r="I56" s="22">
        <v>0.668</v>
      </c>
      <c r="J56" s="22">
        <v>0.271</v>
      </c>
      <c r="K56" s="22">
        <v>0.794</v>
      </c>
      <c r="L56" s="22">
        <v>0.824</v>
      </c>
      <c r="M56" s="22">
        <v>75.0</v>
      </c>
      <c r="N56" s="22">
        <v>96.0</v>
      </c>
      <c r="O56" s="22">
        <v>79.0</v>
      </c>
      <c r="P56" s="22">
        <v>369.0</v>
      </c>
    </row>
    <row r="57">
      <c r="A57" s="23"/>
      <c r="B57" s="23"/>
      <c r="C57" s="23"/>
      <c r="D57" s="11"/>
      <c r="E57" s="22">
        <v>0.626</v>
      </c>
      <c r="F57" s="22">
        <v>0.704</v>
      </c>
      <c r="G57" s="22">
        <v>0.712</v>
      </c>
      <c r="H57" s="22">
        <v>0.708</v>
      </c>
      <c r="I57" s="22">
        <v>0.626</v>
      </c>
      <c r="J57" s="22">
        <v>0.26</v>
      </c>
      <c r="K57" s="22">
        <v>0.791</v>
      </c>
      <c r="L57" s="22">
        <v>0.819</v>
      </c>
      <c r="M57" s="22">
        <v>74.0</v>
      </c>
      <c r="N57" s="22">
        <v>97.0</v>
      </c>
      <c r="O57" s="22">
        <v>81.0</v>
      </c>
      <c r="P57" s="22">
        <v>367.0</v>
      </c>
    </row>
    <row r="58">
      <c r="A58" s="23"/>
      <c r="B58" s="23"/>
      <c r="C58" s="23"/>
      <c r="D58" s="11"/>
      <c r="E58" s="22">
        <v>0.644</v>
      </c>
      <c r="F58" s="22">
        <v>0.719</v>
      </c>
      <c r="G58" s="22">
        <v>0.725</v>
      </c>
      <c r="H58" s="22">
        <v>0.722</v>
      </c>
      <c r="I58" s="22">
        <v>0.665</v>
      </c>
      <c r="J58" s="22">
        <v>0.296</v>
      </c>
      <c r="K58" s="22">
        <v>0.801</v>
      </c>
      <c r="L58" s="22">
        <v>0.826</v>
      </c>
      <c r="M58" s="22">
        <v>79.0</v>
      </c>
      <c r="N58" s="22">
        <v>92.0</v>
      </c>
      <c r="O58" s="22">
        <v>78.0</v>
      </c>
      <c r="P58" s="22">
        <v>370.0</v>
      </c>
    </row>
    <row r="59">
      <c r="A59" s="23"/>
      <c r="B59" s="23"/>
      <c r="C59" s="23"/>
      <c r="D59" s="11"/>
      <c r="E59" s="22">
        <v>0.639</v>
      </c>
      <c r="F59" s="22">
        <v>0.716</v>
      </c>
      <c r="G59" s="22">
        <v>0.725</v>
      </c>
      <c r="H59" s="22">
        <v>0.72</v>
      </c>
      <c r="I59" s="22">
        <v>0.668</v>
      </c>
      <c r="J59" s="22">
        <v>0.288</v>
      </c>
      <c r="K59" s="22">
        <v>0.797</v>
      </c>
      <c r="L59" s="22">
        <v>0.833</v>
      </c>
      <c r="M59" s="22">
        <v>76.0</v>
      </c>
      <c r="N59" s="22">
        <v>95.0</v>
      </c>
      <c r="O59" s="22">
        <v>75.0</v>
      </c>
      <c r="P59" s="22">
        <v>373.0</v>
      </c>
    </row>
    <row r="60">
      <c r="A60" s="23"/>
      <c r="B60" s="23"/>
      <c r="C60" s="23"/>
      <c r="D60" s="11"/>
      <c r="E60" s="22">
        <v>0.64</v>
      </c>
      <c r="F60" s="22">
        <v>0.717</v>
      </c>
      <c r="G60" s="22">
        <v>0.727</v>
      </c>
      <c r="H60" s="22">
        <v>0.721</v>
      </c>
      <c r="I60" s="22">
        <v>0.676</v>
      </c>
      <c r="J60" s="22">
        <v>0.291</v>
      </c>
      <c r="K60" s="22">
        <v>0.797</v>
      </c>
      <c r="L60" s="22">
        <v>0.835</v>
      </c>
      <c r="M60" s="22">
        <v>76.0</v>
      </c>
      <c r="N60" s="22">
        <v>95.0</v>
      </c>
      <c r="O60" s="22">
        <v>74.0</v>
      </c>
      <c r="P60" s="22">
        <v>374.0</v>
      </c>
    </row>
    <row r="61">
      <c r="A61" s="23"/>
      <c r="B61" s="23"/>
      <c r="C61" s="23"/>
      <c r="D61" s="11"/>
      <c r="E61" s="22">
        <v>0.64</v>
      </c>
      <c r="F61" s="22">
        <v>0.717</v>
      </c>
      <c r="G61" s="22">
        <v>0.725</v>
      </c>
      <c r="H61" s="22">
        <v>0.72</v>
      </c>
      <c r="I61" s="22">
        <v>0.67</v>
      </c>
      <c r="J61" s="22">
        <v>0.291</v>
      </c>
      <c r="K61" s="22">
        <v>0.798</v>
      </c>
      <c r="L61" s="22">
        <v>0.83</v>
      </c>
      <c r="M61" s="22">
        <v>77.0</v>
      </c>
      <c r="N61" s="22">
        <v>94.0</v>
      </c>
      <c r="O61" s="22">
        <v>76.0</v>
      </c>
      <c r="P61" s="22">
        <v>372.0</v>
      </c>
    </row>
    <row r="62">
      <c r="A62" s="23"/>
      <c r="B62" s="23"/>
      <c r="C62" s="23"/>
      <c r="D62" s="11"/>
      <c r="E62" s="22">
        <v>0.639</v>
      </c>
      <c r="F62" s="22">
        <v>0.716</v>
      </c>
      <c r="G62" s="22">
        <v>0.725</v>
      </c>
      <c r="H62" s="22">
        <v>0.72</v>
      </c>
      <c r="I62" s="22">
        <v>0.673</v>
      </c>
      <c r="J62" s="22">
        <v>0.288</v>
      </c>
      <c r="K62" s="22">
        <v>0.797</v>
      </c>
      <c r="L62" s="22">
        <v>0.833</v>
      </c>
      <c r="M62" s="22">
        <v>76.0</v>
      </c>
      <c r="N62" s="22">
        <v>95.0</v>
      </c>
      <c r="O62" s="22">
        <v>75.0</v>
      </c>
      <c r="P62" s="22">
        <v>373.0</v>
      </c>
    </row>
    <row r="63">
      <c r="A63" s="23"/>
      <c r="B63" s="23"/>
      <c r="C63" s="23"/>
      <c r="D63" s="11"/>
      <c r="E63" s="22">
        <v>0.631</v>
      </c>
      <c r="F63" s="22">
        <v>0.709</v>
      </c>
      <c r="G63" s="22">
        <v>0.717</v>
      </c>
      <c r="H63" s="22">
        <v>0.713</v>
      </c>
      <c r="I63" s="22">
        <v>0.664</v>
      </c>
      <c r="J63" s="22">
        <v>0.271</v>
      </c>
      <c r="K63" s="22">
        <v>0.794</v>
      </c>
      <c r="L63" s="22">
        <v>0.824</v>
      </c>
      <c r="M63" s="22">
        <v>75.0</v>
      </c>
      <c r="N63" s="22">
        <v>96.0</v>
      </c>
      <c r="O63" s="22">
        <v>79.0</v>
      </c>
      <c r="P63" s="22">
        <v>369.0</v>
      </c>
    </row>
    <row r="64">
      <c r="A64" s="23"/>
      <c r="B64" s="23"/>
      <c r="C64" s="23"/>
      <c r="D64" s="11"/>
      <c r="E64" s="22">
        <v>0.634</v>
      </c>
      <c r="F64" s="22">
        <v>0.711</v>
      </c>
      <c r="G64" s="22">
        <v>0.719</v>
      </c>
      <c r="H64" s="22">
        <v>0.714</v>
      </c>
      <c r="I64" s="22">
        <v>0.678</v>
      </c>
      <c r="J64" s="22">
        <v>0.277</v>
      </c>
      <c r="K64" s="22">
        <v>0.795</v>
      </c>
      <c r="L64" s="22">
        <v>0.824</v>
      </c>
      <c r="M64" s="22">
        <v>76.0</v>
      </c>
      <c r="N64" s="22">
        <v>95.0</v>
      </c>
      <c r="O64" s="22">
        <v>79.0</v>
      </c>
      <c r="P64" s="22">
        <v>369.0</v>
      </c>
    </row>
    <row r="65">
      <c r="A65" s="23"/>
      <c r="B65" s="23"/>
      <c r="C65" s="23"/>
      <c r="D65" s="11"/>
      <c r="E65" s="22">
        <v>0.634</v>
      </c>
      <c r="F65" s="22">
        <v>0.711</v>
      </c>
      <c r="G65" s="22">
        <v>0.719</v>
      </c>
      <c r="H65" s="22">
        <v>0.714</v>
      </c>
      <c r="I65" s="22">
        <v>0.669</v>
      </c>
      <c r="J65" s="22">
        <v>0.277</v>
      </c>
      <c r="K65" s="22">
        <v>0.795</v>
      </c>
      <c r="L65" s="22">
        <v>0.824</v>
      </c>
      <c r="M65" s="22">
        <v>76.0</v>
      </c>
      <c r="N65" s="22">
        <v>95.0</v>
      </c>
      <c r="O65" s="22">
        <v>79.0</v>
      </c>
      <c r="P65" s="22">
        <v>369.0</v>
      </c>
    </row>
    <row r="66">
      <c r="A66" s="23"/>
      <c r="B66" s="23"/>
      <c r="C66" s="23"/>
      <c r="D66" s="11"/>
      <c r="E66" s="22">
        <v>0.633</v>
      </c>
      <c r="F66" s="22">
        <v>0.707</v>
      </c>
      <c r="G66" s="22">
        <v>0.709</v>
      </c>
      <c r="H66" s="22">
        <v>0.708</v>
      </c>
      <c r="I66" s="22">
        <v>0.63</v>
      </c>
      <c r="J66" s="22">
        <v>0.268</v>
      </c>
      <c r="K66" s="22">
        <v>0.796</v>
      </c>
      <c r="L66" s="22">
        <v>0.804</v>
      </c>
      <c r="M66" s="22">
        <v>79.0</v>
      </c>
      <c r="N66" s="22">
        <v>92.0</v>
      </c>
      <c r="O66" s="22">
        <v>88.0</v>
      </c>
      <c r="P66" s="22">
        <v>360.0</v>
      </c>
    </row>
    <row r="67">
      <c r="A67" s="23"/>
      <c r="B67" s="23"/>
      <c r="C67" s="23"/>
      <c r="D67" s="71" t="s">
        <v>23</v>
      </c>
      <c r="E67" s="22">
        <v>0.636</v>
      </c>
      <c r="F67" s="22">
        <v>0.713</v>
      </c>
      <c r="G67" s="22">
        <v>0.722</v>
      </c>
      <c r="H67" s="22">
        <v>0.717</v>
      </c>
      <c r="I67" s="22">
        <v>0.669</v>
      </c>
      <c r="J67" s="22">
        <v>0.281</v>
      </c>
      <c r="K67" s="22">
        <v>0.796</v>
      </c>
      <c r="L67" s="22">
        <v>0.828</v>
      </c>
      <c r="M67" s="22">
        <v>75.733</v>
      </c>
      <c r="N67" s="22">
        <v>95.267</v>
      </c>
      <c r="O67" s="22">
        <v>76.967</v>
      </c>
      <c r="P67" s="22">
        <v>371.033</v>
      </c>
    </row>
    <row r="68">
      <c r="A68" s="72"/>
      <c r="B68" s="72"/>
      <c r="C68" s="72"/>
      <c r="D68" s="73" t="s">
        <v>232</v>
      </c>
      <c r="E68" s="22">
        <v>0.005</v>
      </c>
      <c r="F68" s="22">
        <v>0.004</v>
      </c>
      <c r="G68" s="22">
        <v>0.005</v>
      </c>
      <c r="H68" s="22">
        <v>0.004</v>
      </c>
      <c r="I68" s="22">
        <v>0.012</v>
      </c>
      <c r="J68" s="22">
        <v>0.01</v>
      </c>
      <c r="K68" s="22">
        <v>0.002</v>
      </c>
      <c r="L68" s="22">
        <v>0.007</v>
      </c>
      <c r="M68" s="22">
        <v>1.365</v>
      </c>
      <c r="N68" s="22">
        <v>1.365</v>
      </c>
      <c r="O68" s="22">
        <v>3.093</v>
      </c>
      <c r="P68" s="22">
        <v>3.093</v>
      </c>
    </row>
    <row r="70">
      <c r="A70" s="77" t="s">
        <v>234</v>
      </c>
      <c r="B70" s="78" t="s">
        <v>231</v>
      </c>
      <c r="C70" s="78" t="s">
        <v>48</v>
      </c>
      <c r="D70" s="79"/>
      <c r="E70" s="32">
        <v>0.614</v>
      </c>
      <c r="F70" s="32">
        <v>0.706</v>
      </c>
      <c r="G70" s="32">
        <v>0.729</v>
      </c>
      <c r="H70" s="32">
        <v>0.712</v>
      </c>
      <c r="I70" s="32">
        <v>0.728</v>
      </c>
      <c r="J70" s="32">
        <v>0.258</v>
      </c>
      <c r="K70" s="32">
        <v>0.78</v>
      </c>
      <c r="L70" s="32">
        <v>0.871</v>
      </c>
      <c r="M70" s="32">
        <v>61.0</v>
      </c>
      <c r="N70" s="32">
        <v>110.0</v>
      </c>
      <c r="O70" s="22">
        <v>58.0</v>
      </c>
      <c r="P70" s="32">
        <v>390.0</v>
      </c>
    </row>
    <row r="71">
      <c r="A71" s="23"/>
      <c r="B71" s="23"/>
      <c r="C71" s="23"/>
      <c r="D71" s="69"/>
      <c r="E71" s="22">
        <v>0.625</v>
      </c>
      <c r="F71" s="32">
        <v>0.713</v>
      </c>
      <c r="G71" s="22">
        <v>0.732</v>
      </c>
      <c r="H71" s="22">
        <v>0.718</v>
      </c>
      <c r="I71" s="22">
        <v>0.726</v>
      </c>
      <c r="J71" s="22">
        <v>0.277</v>
      </c>
      <c r="K71" s="22">
        <v>0.787</v>
      </c>
      <c r="L71" s="32">
        <v>0.864</v>
      </c>
      <c r="M71" s="22">
        <v>66.0</v>
      </c>
      <c r="N71" s="22">
        <v>105.0</v>
      </c>
      <c r="O71" s="22">
        <v>61.0</v>
      </c>
      <c r="P71" s="22">
        <v>387.0</v>
      </c>
    </row>
    <row r="72">
      <c r="A72" s="23"/>
      <c r="B72" s="23"/>
      <c r="C72" s="23"/>
      <c r="D72" s="70"/>
      <c r="E72" s="22">
        <v>0.641</v>
      </c>
      <c r="F72" s="22">
        <v>0.718</v>
      </c>
      <c r="G72" s="22">
        <v>0.727</v>
      </c>
      <c r="H72" s="22">
        <v>0.722</v>
      </c>
      <c r="I72" s="22">
        <v>0.708</v>
      </c>
      <c r="J72" s="22">
        <v>0.294</v>
      </c>
      <c r="K72" s="22">
        <v>0.799</v>
      </c>
      <c r="L72" s="22">
        <v>0.833</v>
      </c>
      <c r="M72" s="22">
        <v>77.0</v>
      </c>
      <c r="N72" s="22">
        <v>94.0</v>
      </c>
      <c r="O72" s="22">
        <v>75.0</v>
      </c>
      <c r="P72" s="22">
        <v>373.0</v>
      </c>
    </row>
    <row r="73">
      <c r="A73" s="23"/>
      <c r="B73" s="23"/>
      <c r="C73" s="23"/>
      <c r="D73" s="70"/>
      <c r="E73" s="22">
        <v>0.624</v>
      </c>
      <c r="F73" s="22">
        <v>0.714</v>
      </c>
      <c r="G73" s="22">
        <v>0.733</v>
      </c>
      <c r="H73" s="22">
        <v>0.719</v>
      </c>
      <c r="I73" s="22">
        <v>0.707</v>
      </c>
      <c r="J73" s="22">
        <v>0.278</v>
      </c>
      <c r="K73" s="22">
        <v>0.786</v>
      </c>
      <c r="L73" s="22">
        <v>0.868</v>
      </c>
      <c r="M73" s="22">
        <v>65.0</v>
      </c>
      <c r="N73" s="22">
        <v>106.0</v>
      </c>
      <c r="O73" s="22">
        <v>59.0</v>
      </c>
      <c r="P73" s="22">
        <v>389.0</v>
      </c>
    </row>
    <row r="74">
      <c r="A74" s="23"/>
      <c r="B74" s="23"/>
      <c r="C74" s="23"/>
      <c r="D74" s="70"/>
      <c r="E74" s="22">
        <v>0.604</v>
      </c>
      <c r="F74" s="22">
        <v>0.711</v>
      </c>
      <c r="G74" s="22">
        <v>0.738</v>
      </c>
      <c r="H74" s="22">
        <v>0.711</v>
      </c>
      <c r="I74" s="22">
        <v>0.72</v>
      </c>
      <c r="J74" s="22">
        <v>0.258</v>
      </c>
      <c r="K74" s="22">
        <v>0.773</v>
      </c>
      <c r="L74" s="22">
        <v>0.904</v>
      </c>
      <c r="M74" s="22">
        <v>52.0</v>
      </c>
      <c r="N74" s="22">
        <v>119.0</v>
      </c>
      <c r="O74" s="22">
        <v>43.0</v>
      </c>
      <c r="P74" s="22">
        <v>405.0</v>
      </c>
    </row>
    <row r="75">
      <c r="A75" s="23"/>
      <c r="B75" s="23"/>
      <c r="C75" s="23"/>
      <c r="D75" s="70"/>
      <c r="E75" s="22">
        <v>0.632</v>
      </c>
      <c r="F75" s="22">
        <v>0.714</v>
      </c>
      <c r="G75" s="22">
        <v>0.729</v>
      </c>
      <c r="H75" s="22">
        <v>0.719</v>
      </c>
      <c r="I75" s="22">
        <v>0.721</v>
      </c>
      <c r="J75" s="22">
        <v>0.282</v>
      </c>
      <c r="K75" s="22">
        <v>0.792</v>
      </c>
      <c r="L75" s="22">
        <v>0.848</v>
      </c>
      <c r="M75" s="22">
        <v>71.0</v>
      </c>
      <c r="N75" s="22">
        <v>100.0</v>
      </c>
      <c r="O75" s="22">
        <v>68.0</v>
      </c>
      <c r="P75" s="22">
        <v>380.0</v>
      </c>
    </row>
    <row r="76">
      <c r="A76" s="23"/>
      <c r="B76" s="23"/>
      <c r="C76" s="23"/>
      <c r="D76" s="70"/>
      <c r="E76" s="22">
        <v>0.556</v>
      </c>
      <c r="F76" s="22">
        <v>0.697</v>
      </c>
      <c r="G76" s="22">
        <v>0.733</v>
      </c>
      <c r="H76" s="22">
        <v>0.675</v>
      </c>
      <c r="I76" s="22">
        <v>0.709</v>
      </c>
      <c r="J76" s="22">
        <v>0.186</v>
      </c>
      <c r="K76" s="22">
        <v>0.748</v>
      </c>
      <c r="L76" s="22">
        <v>0.953</v>
      </c>
      <c r="M76" s="22">
        <v>27.0</v>
      </c>
      <c r="N76" s="22">
        <v>144.0</v>
      </c>
      <c r="O76" s="22">
        <v>21.0</v>
      </c>
      <c r="P76" s="22">
        <v>427.0</v>
      </c>
    </row>
    <row r="77">
      <c r="A77" s="23"/>
      <c r="B77" s="23"/>
      <c r="C77" s="23"/>
      <c r="D77" s="70"/>
      <c r="E77" s="22">
        <v>0.607</v>
      </c>
      <c r="F77" s="22">
        <v>0.729</v>
      </c>
      <c r="G77" s="22">
        <v>0.753</v>
      </c>
      <c r="H77" s="22">
        <v>0.718</v>
      </c>
      <c r="I77" s="22">
        <v>0.744</v>
      </c>
      <c r="J77" s="22">
        <v>0.288</v>
      </c>
      <c r="K77" s="22">
        <v>0.773</v>
      </c>
      <c r="L77" s="22">
        <v>0.933</v>
      </c>
      <c r="M77" s="22">
        <v>48.0</v>
      </c>
      <c r="N77" s="22">
        <v>123.0</v>
      </c>
      <c r="O77" s="22">
        <v>30.0</v>
      </c>
      <c r="P77" s="22">
        <v>418.0</v>
      </c>
    </row>
    <row r="78">
      <c r="A78" s="23"/>
      <c r="B78" s="23"/>
      <c r="C78" s="23"/>
      <c r="D78" s="70"/>
      <c r="E78" s="22">
        <v>0.608</v>
      </c>
      <c r="F78" s="22">
        <v>0.732</v>
      </c>
      <c r="G78" s="22">
        <v>0.754</v>
      </c>
      <c r="H78" s="22">
        <v>0.72</v>
      </c>
      <c r="I78" s="22">
        <v>0.781</v>
      </c>
      <c r="J78" s="22">
        <v>0.293</v>
      </c>
      <c r="K78" s="22">
        <v>0.773</v>
      </c>
      <c r="L78" s="22">
        <v>0.935</v>
      </c>
      <c r="M78" s="22">
        <v>48.0</v>
      </c>
      <c r="N78" s="22">
        <v>123.0</v>
      </c>
      <c r="O78" s="22">
        <v>29.0</v>
      </c>
      <c r="P78" s="22">
        <v>419.0</v>
      </c>
    </row>
    <row r="79">
      <c r="A79" s="23"/>
      <c r="B79" s="23"/>
      <c r="C79" s="23"/>
      <c r="D79" s="70"/>
      <c r="E79" s="22">
        <v>0.603</v>
      </c>
      <c r="F79" s="22">
        <v>0.704</v>
      </c>
      <c r="G79" s="22">
        <v>0.732</v>
      </c>
      <c r="H79" s="22">
        <v>0.708</v>
      </c>
      <c r="I79" s="22">
        <v>0.714</v>
      </c>
      <c r="J79" s="22">
        <v>0.248</v>
      </c>
      <c r="K79" s="22">
        <v>0.773</v>
      </c>
      <c r="L79" s="22">
        <v>0.891</v>
      </c>
      <c r="M79" s="22">
        <v>54.0</v>
      </c>
      <c r="N79" s="22">
        <v>117.0</v>
      </c>
      <c r="O79" s="22">
        <v>49.0</v>
      </c>
      <c r="P79" s="22">
        <v>399.0</v>
      </c>
    </row>
    <row r="80">
      <c r="A80" s="23"/>
      <c r="B80" s="23"/>
      <c r="C80" s="23"/>
      <c r="D80" s="11"/>
      <c r="E80" s="22">
        <v>0.603</v>
      </c>
      <c r="F80" s="22">
        <v>0.709</v>
      </c>
      <c r="G80" s="22">
        <v>0.737</v>
      </c>
      <c r="H80" s="22">
        <v>0.71</v>
      </c>
      <c r="I80" s="22">
        <v>0.718</v>
      </c>
      <c r="J80" s="22">
        <v>0.254</v>
      </c>
      <c r="K80" s="22">
        <v>0.772</v>
      </c>
      <c r="L80" s="22">
        <v>0.902</v>
      </c>
      <c r="M80" s="22">
        <v>52.0</v>
      </c>
      <c r="N80" s="22">
        <v>119.0</v>
      </c>
      <c r="O80" s="22">
        <v>44.0</v>
      </c>
      <c r="P80" s="22">
        <v>404.0</v>
      </c>
    </row>
    <row r="81">
      <c r="A81" s="23"/>
      <c r="B81" s="23"/>
      <c r="C81" s="23"/>
      <c r="D81" s="11"/>
      <c r="E81" s="22">
        <v>0.605</v>
      </c>
      <c r="F81" s="22">
        <v>0.708</v>
      </c>
      <c r="G81" s="22">
        <v>0.735</v>
      </c>
      <c r="H81" s="22">
        <v>0.711</v>
      </c>
      <c r="I81" s="22">
        <v>0.711</v>
      </c>
      <c r="J81" s="22">
        <v>0.255</v>
      </c>
      <c r="K81" s="22">
        <v>0.774</v>
      </c>
      <c r="L81" s="22">
        <v>0.895</v>
      </c>
      <c r="M81" s="22">
        <v>54.0</v>
      </c>
      <c r="N81" s="22">
        <v>117.0</v>
      </c>
      <c r="O81" s="22">
        <v>47.0</v>
      </c>
      <c r="P81" s="22">
        <v>401.0</v>
      </c>
    </row>
    <row r="82">
      <c r="A82" s="23"/>
      <c r="B82" s="23"/>
      <c r="C82" s="23"/>
      <c r="D82" s="11"/>
      <c r="E82" s="22">
        <v>0.614</v>
      </c>
      <c r="F82" s="22">
        <v>0.716</v>
      </c>
      <c r="G82" s="22">
        <v>0.742</v>
      </c>
      <c r="H82" s="22">
        <v>0.718</v>
      </c>
      <c r="I82" s="22">
        <v>0.715</v>
      </c>
      <c r="J82" s="22">
        <v>0.275</v>
      </c>
      <c r="K82" s="22">
        <v>0.778</v>
      </c>
      <c r="L82" s="22">
        <v>0.9</v>
      </c>
      <c r="M82" s="22">
        <v>56.0</v>
      </c>
      <c r="N82" s="22">
        <v>115.0</v>
      </c>
      <c r="O82" s="22">
        <v>45.0</v>
      </c>
      <c r="P82" s="22">
        <v>403.0</v>
      </c>
    </row>
    <row r="83">
      <c r="A83" s="23"/>
      <c r="B83" s="23"/>
      <c r="C83" s="23"/>
      <c r="D83" s="11"/>
      <c r="E83" s="22">
        <v>0.632</v>
      </c>
      <c r="F83" s="22">
        <v>0.714</v>
      </c>
      <c r="G83" s="22">
        <v>0.729</v>
      </c>
      <c r="H83" s="22">
        <v>0.719</v>
      </c>
      <c r="I83" s="22">
        <v>0.72</v>
      </c>
      <c r="J83" s="22">
        <v>0.282</v>
      </c>
      <c r="K83" s="22">
        <v>0.792</v>
      </c>
      <c r="L83" s="22">
        <v>0.848</v>
      </c>
      <c r="M83" s="22">
        <v>71.0</v>
      </c>
      <c r="N83" s="22">
        <v>100.0</v>
      </c>
      <c r="O83" s="22">
        <v>68.0</v>
      </c>
      <c r="P83" s="22">
        <v>380.0</v>
      </c>
    </row>
    <row r="84">
      <c r="A84" s="23"/>
      <c r="B84" s="23"/>
      <c r="C84" s="23"/>
      <c r="D84" s="11"/>
      <c r="E84" s="22">
        <v>0.592</v>
      </c>
      <c r="F84" s="22">
        <v>0.719</v>
      </c>
      <c r="G84" s="22">
        <v>0.746</v>
      </c>
      <c r="H84" s="22">
        <v>0.706</v>
      </c>
      <c r="I84" s="22">
        <v>0.775</v>
      </c>
      <c r="J84" s="22">
        <v>0.259</v>
      </c>
      <c r="K84" s="22">
        <v>0.765</v>
      </c>
      <c r="L84" s="22">
        <v>0.938</v>
      </c>
      <c r="M84" s="22">
        <v>42.0</v>
      </c>
      <c r="N84" s="22">
        <v>129.0</v>
      </c>
      <c r="O84" s="22">
        <v>28.0</v>
      </c>
      <c r="P84" s="22">
        <v>420.0</v>
      </c>
    </row>
    <row r="85">
      <c r="A85" s="23"/>
      <c r="B85" s="23"/>
      <c r="C85" s="23"/>
      <c r="D85" s="11"/>
      <c r="E85" s="22">
        <v>0.592</v>
      </c>
      <c r="F85" s="22">
        <v>0.712</v>
      </c>
      <c r="G85" s="22">
        <v>0.742</v>
      </c>
      <c r="H85" s="22">
        <v>0.705</v>
      </c>
      <c r="I85" s="22">
        <v>0.727</v>
      </c>
      <c r="J85" s="22">
        <v>0.249</v>
      </c>
      <c r="K85" s="22">
        <v>0.766</v>
      </c>
      <c r="L85" s="22">
        <v>0.926</v>
      </c>
      <c r="M85" s="22">
        <v>44.0</v>
      </c>
      <c r="N85" s="22">
        <v>127.0</v>
      </c>
      <c r="O85" s="22">
        <v>33.0</v>
      </c>
      <c r="P85" s="22">
        <v>415.0</v>
      </c>
    </row>
    <row r="86">
      <c r="A86" s="23"/>
      <c r="B86" s="23"/>
      <c r="C86" s="23"/>
      <c r="D86" s="11"/>
      <c r="E86" s="22">
        <v>0.58</v>
      </c>
      <c r="F86" s="22">
        <v>0.677</v>
      </c>
      <c r="G86" s="22">
        <v>0.706</v>
      </c>
      <c r="H86" s="22">
        <v>0.685</v>
      </c>
      <c r="I86" s="22">
        <v>0.687</v>
      </c>
      <c r="J86" s="22">
        <v>0.185</v>
      </c>
      <c r="K86" s="22">
        <v>0.763</v>
      </c>
      <c r="L86" s="22">
        <v>0.862</v>
      </c>
      <c r="M86" s="22">
        <v>51.0</v>
      </c>
      <c r="N86" s="22">
        <v>120.0</v>
      </c>
      <c r="O86" s="22">
        <v>62.0</v>
      </c>
      <c r="P86" s="22">
        <v>386.0</v>
      </c>
    </row>
    <row r="87">
      <c r="A87" s="23"/>
      <c r="B87" s="23"/>
      <c r="C87" s="23"/>
      <c r="D87" s="11"/>
      <c r="E87" s="22">
        <v>0.604</v>
      </c>
      <c r="F87" s="22">
        <v>0.711</v>
      </c>
      <c r="G87" s="22">
        <v>0.738</v>
      </c>
      <c r="H87" s="22">
        <v>0.711</v>
      </c>
      <c r="I87" s="22">
        <v>0.72</v>
      </c>
      <c r="J87" s="22">
        <v>0.258</v>
      </c>
      <c r="K87" s="22">
        <v>0.773</v>
      </c>
      <c r="L87" s="22">
        <v>0.904</v>
      </c>
      <c r="M87" s="22">
        <v>52.0</v>
      </c>
      <c r="N87" s="22">
        <v>119.0</v>
      </c>
      <c r="O87" s="22">
        <v>43.0</v>
      </c>
      <c r="P87" s="22">
        <v>405.0</v>
      </c>
    </row>
    <row r="88">
      <c r="A88" s="23"/>
      <c r="B88" s="23"/>
      <c r="C88" s="23"/>
      <c r="D88" s="11"/>
      <c r="E88" s="22">
        <v>0.604</v>
      </c>
      <c r="F88" s="22">
        <v>0.706</v>
      </c>
      <c r="G88" s="22">
        <v>0.733</v>
      </c>
      <c r="H88" s="22">
        <v>0.709</v>
      </c>
      <c r="I88" s="22">
        <v>0.714</v>
      </c>
      <c r="J88" s="22">
        <v>0.251</v>
      </c>
      <c r="K88" s="22">
        <v>0.774</v>
      </c>
      <c r="L88" s="22">
        <v>0.893</v>
      </c>
      <c r="M88" s="22">
        <v>54.0</v>
      </c>
      <c r="N88" s="22">
        <v>117.0</v>
      </c>
      <c r="O88" s="22">
        <v>48.0</v>
      </c>
      <c r="P88" s="22">
        <v>400.0</v>
      </c>
    </row>
    <row r="89">
      <c r="A89" s="23"/>
      <c r="B89" s="23"/>
      <c r="C89" s="23"/>
      <c r="D89" s="11"/>
      <c r="E89" s="22">
        <v>0.668</v>
      </c>
      <c r="F89" s="22">
        <v>0.728</v>
      </c>
      <c r="G89" s="22">
        <v>0.698</v>
      </c>
      <c r="H89" s="22">
        <v>0.708</v>
      </c>
      <c r="I89" s="22">
        <v>0.707</v>
      </c>
      <c r="J89" s="22">
        <v>0.314</v>
      </c>
      <c r="K89" s="22">
        <v>0.829</v>
      </c>
      <c r="L89" s="22">
        <v>0.734</v>
      </c>
      <c r="M89" s="22">
        <v>103.0</v>
      </c>
      <c r="N89" s="22">
        <v>68.0</v>
      </c>
      <c r="O89" s="22">
        <v>119.0</v>
      </c>
      <c r="P89" s="22">
        <v>329.0</v>
      </c>
    </row>
    <row r="90">
      <c r="A90" s="23"/>
      <c r="B90" s="23"/>
      <c r="C90" s="23"/>
      <c r="D90" s="11"/>
      <c r="E90" s="22">
        <v>0.607</v>
      </c>
      <c r="F90" s="22">
        <v>0.702</v>
      </c>
      <c r="G90" s="22">
        <v>0.727</v>
      </c>
      <c r="H90" s="22">
        <v>0.708</v>
      </c>
      <c r="I90" s="22">
        <v>0.692</v>
      </c>
      <c r="J90" s="22">
        <v>0.247</v>
      </c>
      <c r="K90" s="22">
        <v>0.776</v>
      </c>
      <c r="L90" s="22">
        <v>0.875</v>
      </c>
      <c r="M90" s="22">
        <v>58.0</v>
      </c>
      <c r="N90" s="22">
        <v>113.0</v>
      </c>
      <c r="O90" s="22">
        <v>56.0</v>
      </c>
      <c r="P90" s="22">
        <v>392.0</v>
      </c>
    </row>
    <row r="91">
      <c r="A91" s="23"/>
      <c r="B91" s="23"/>
      <c r="C91" s="23"/>
      <c r="D91" s="11"/>
      <c r="E91" s="22">
        <v>0.665</v>
      </c>
      <c r="F91" s="22">
        <v>0.726</v>
      </c>
      <c r="G91" s="22">
        <v>0.675</v>
      </c>
      <c r="H91" s="22">
        <v>0.69</v>
      </c>
      <c r="I91" s="22">
        <v>0.704</v>
      </c>
      <c r="J91" s="22">
        <v>0.301</v>
      </c>
      <c r="K91" s="22">
        <v>0.835</v>
      </c>
      <c r="L91" s="22">
        <v>0.688</v>
      </c>
      <c r="M91" s="22">
        <v>110.0</v>
      </c>
      <c r="N91" s="22">
        <v>61.0</v>
      </c>
      <c r="O91" s="22">
        <v>140.0</v>
      </c>
      <c r="P91" s="22">
        <v>308.0</v>
      </c>
    </row>
    <row r="92">
      <c r="A92" s="23"/>
      <c r="B92" s="23"/>
      <c r="C92" s="23"/>
      <c r="D92" s="11"/>
      <c r="E92" s="22">
        <v>0.634</v>
      </c>
      <c r="F92" s="22">
        <v>0.725</v>
      </c>
      <c r="G92" s="22">
        <v>0.745</v>
      </c>
      <c r="H92" s="22">
        <v>0.729</v>
      </c>
      <c r="I92" s="22">
        <v>0.74</v>
      </c>
      <c r="J92" s="22">
        <v>0.304</v>
      </c>
      <c r="K92" s="22">
        <v>0.79</v>
      </c>
      <c r="L92" s="22">
        <v>0.882</v>
      </c>
      <c r="M92" s="22">
        <v>66.0</v>
      </c>
      <c r="N92" s="22">
        <v>105.0</v>
      </c>
      <c r="O92" s="22">
        <v>53.0</v>
      </c>
      <c r="P92" s="22">
        <v>395.0</v>
      </c>
    </row>
    <row r="93">
      <c r="A93" s="23"/>
      <c r="B93" s="23"/>
      <c r="C93" s="23"/>
      <c r="D93" s="11"/>
      <c r="E93" s="22">
        <v>0.623</v>
      </c>
      <c r="F93" s="22">
        <v>0.715</v>
      </c>
      <c r="G93" s="22">
        <v>0.737</v>
      </c>
      <c r="H93" s="22">
        <v>0.72</v>
      </c>
      <c r="I93" s="22">
        <v>0.728</v>
      </c>
      <c r="J93" s="22">
        <v>0.28</v>
      </c>
      <c r="K93" s="22">
        <v>0.784</v>
      </c>
      <c r="L93" s="22">
        <v>0.877</v>
      </c>
      <c r="M93" s="22">
        <v>63.0</v>
      </c>
      <c r="N93" s="22">
        <v>108.0</v>
      </c>
      <c r="O93" s="22">
        <v>55.0</v>
      </c>
      <c r="P93" s="22">
        <v>393.0</v>
      </c>
    </row>
    <row r="94">
      <c r="A94" s="23"/>
      <c r="B94" s="23"/>
      <c r="C94" s="23"/>
      <c r="D94" s="11"/>
      <c r="E94" s="22">
        <v>0.61</v>
      </c>
      <c r="F94" s="22">
        <v>0.708</v>
      </c>
      <c r="G94" s="22">
        <v>0.733</v>
      </c>
      <c r="H94" s="22">
        <v>0.712</v>
      </c>
      <c r="I94" s="22">
        <v>0.706</v>
      </c>
      <c r="J94" s="22">
        <v>0.259</v>
      </c>
      <c r="K94" s="22">
        <v>0.777</v>
      </c>
      <c r="L94" s="22">
        <v>0.886</v>
      </c>
      <c r="M94" s="22">
        <v>57.0</v>
      </c>
      <c r="N94" s="22">
        <v>114.0</v>
      </c>
      <c r="O94" s="22">
        <v>51.0</v>
      </c>
      <c r="P94" s="22">
        <v>397.0</v>
      </c>
    </row>
    <row r="95">
      <c r="A95" s="23"/>
      <c r="B95" s="23"/>
      <c r="C95" s="23"/>
      <c r="D95" s="11"/>
      <c r="E95" s="22">
        <v>0.665</v>
      </c>
      <c r="F95" s="22">
        <v>0.726</v>
      </c>
      <c r="G95" s="22">
        <v>0.675</v>
      </c>
      <c r="H95" s="22">
        <v>0.69</v>
      </c>
      <c r="I95" s="22">
        <v>0.705</v>
      </c>
      <c r="J95" s="22">
        <v>0.301</v>
      </c>
      <c r="K95" s="22">
        <v>0.835</v>
      </c>
      <c r="L95" s="22">
        <v>0.688</v>
      </c>
      <c r="M95" s="22">
        <v>110.0</v>
      </c>
      <c r="N95" s="22">
        <v>61.0</v>
      </c>
      <c r="O95" s="22">
        <v>140.0</v>
      </c>
      <c r="P95" s="22">
        <v>308.0</v>
      </c>
    </row>
    <row r="96">
      <c r="A96" s="23"/>
      <c r="B96" s="23"/>
      <c r="C96" s="23"/>
      <c r="D96" s="11"/>
      <c r="E96" s="22">
        <v>0.623</v>
      </c>
      <c r="F96" s="22">
        <v>0.725</v>
      </c>
      <c r="G96" s="22">
        <v>0.748</v>
      </c>
      <c r="H96" s="22">
        <v>0.726</v>
      </c>
      <c r="I96" s="22">
        <v>0.723</v>
      </c>
      <c r="J96" s="22">
        <v>0.296</v>
      </c>
      <c r="K96" s="22">
        <v>0.783</v>
      </c>
      <c r="L96" s="22">
        <v>0.902</v>
      </c>
      <c r="M96" s="22">
        <v>59.0</v>
      </c>
      <c r="N96" s="22">
        <v>112.0</v>
      </c>
      <c r="O96" s="22">
        <v>44.0</v>
      </c>
      <c r="P96" s="22">
        <v>404.0</v>
      </c>
    </row>
    <row r="97">
      <c r="A97" s="23"/>
      <c r="B97" s="23"/>
      <c r="C97" s="23"/>
      <c r="D97" s="11"/>
      <c r="E97" s="22">
        <v>0.604</v>
      </c>
      <c r="F97" s="22">
        <v>0.711</v>
      </c>
      <c r="G97" s="22">
        <v>0.738</v>
      </c>
      <c r="H97" s="22">
        <v>0.711</v>
      </c>
      <c r="I97" s="22">
        <v>0.72</v>
      </c>
      <c r="J97" s="22">
        <v>0.258</v>
      </c>
      <c r="K97" s="22">
        <v>0.773</v>
      </c>
      <c r="L97" s="22">
        <v>0.904</v>
      </c>
      <c r="M97" s="22">
        <v>52.0</v>
      </c>
      <c r="N97" s="22">
        <v>119.0</v>
      </c>
      <c r="O97" s="22">
        <v>43.0</v>
      </c>
      <c r="P97" s="22">
        <v>405.0</v>
      </c>
    </row>
    <row r="98">
      <c r="A98" s="23"/>
      <c r="B98" s="23"/>
      <c r="C98" s="23"/>
      <c r="D98" s="11"/>
      <c r="E98" s="22">
        <v>0.625</v>
      </c>
      <c r="F98" s="22">
        <v>0.713</v>
      </c>
      <c r="G98" s="22">
        <v>0.732</v>
      </c>
      <c r="H98" s="22">
        <v>0.718</v>
      </c>
      <c r="I98" s="22">
        <v>0.726</v>
      </c>
      <c r="J98" s="22">
        <v>0.277</v>
      </c>
      <c r="K98" s="22">
        <v>0.787</v>
      </c>
      <c r="L98" s="22">
        <v>0.864</v>
      </c>
      <c r="M98" s="22">
        <v>66.0</v>
      </c>
      <c r="N98" s="22">
        <v>105.0</v>
      </c>
      <c r="O98" s="22">
        <v>61.0</v>
      </c>
      <c r="P98" s="22">
        <v>387.0</v>
      </c>
    </row>
    <row r="99">
      <c r="A99" s="23"/>
      <c r="B99" s="23"/>
      <c r="C99" s="23"/>
      <c r="D99" s="11"/>
      <c r="E99" s="22">
        <v>0.603</v>
      </c>
      <c r="F99" s="22">
        <v>0.709</v>
      </c>
      <c r="G99" s="22">
        <v>0.737</v>
      </c>
      <c r="H99" s="22">
        <v>0.71</v>
      </c>
      <c r="I99" s="22">
        <v>0.717</v>
      </c>
      <c r="J99" s="22">
        <v>0.254</v>
      </c>
      <c r="K99" s="22">
        <v>0.772</v>
      </c>
      <c r="L99" s="22">
        <v>0.902</v>
      </c>
      <c r="M99" s="22">
        <v>52.0</v>
      </c>
      <c r="N99" s="22">
        <v>119.0</v>
      </c>
      <c r="O99" s="22">
        <v>44.0</v>
      </c>
      <c r="P99" s="22">
        <v>404.0</v>
      </c>
    </row>
    <row r="100">
      <c r="A100" s="23"/>
      <c r="B100" s="23"/>
      <c r="C100" s="23"/>
      <c r="D100" s="71" t="s">
        <v>23</v>
      </c>
      <c r="E100" s="22">
        <v>0.616</v>
      </c>
      <c r="F100" s="22">
        <v>0.713</v>
      </c>
      <c r="G100" s="22">
        <v>0.73</v>
      </c>
      <c r="H100" s="22">
        <v>0.711</v>
      </c>
      <c r="I100" s="22">
        <v>0.72</v>
      </c>
      <c r="J100" s="22">
        <v>0.267</v>
      </c>
      <c r="K100" s="22">
        <v>0.783</v>
      </c>
      <c r="L100" s="22">
        <v>0.872</v>
      </c>
      <c r="M100" s="22">
        <v>61.367</v>
      </c>
      <c r="N100" s="22">
        <v>109.633</v>
      </c>
      <c r="O100" s="22">
        <v>57.233</v>
      </c>
      <c r="P100" s="22">
        <v>390.767</v>
      </c>
    </row>
    <row r="101">
      <c r="A101" s="72"/>
      <c r="B101" s="72"/>
      <c r="C101" s="72"/>
      <c r="D101" s="73" t="s">
        <v>232</v>
      </c>
      <c r="E101" s="22">
        <v>0.024</v>
      </c>
      <c r="F101" s="22">
        <v>0.011</v>
      </c>
      <c r="G101" s="22">
        <v>0.018</v>
      </c>
      <c r="H101" s="22">
        <v>0.012</v>
      </c>
      <c r="I101" s="22">
        <v>0.019</v>
      </c>
      <c r="J101" s="22">
        <v>0.029</v>
      </c>
      <c r="K101" s="22">
        <v>0.019</v>
      </c>
      <c r="L101" s="22">
        <v>0.063</v>
      </c>
      <c r="M101" s="22">
        <v>18.224</v>
      </c>
      <c r="N101" s="22">
        <v>18.224</v>
      </c>
      <c r="O101" s="22">
        <v>28.293</v>
      </c>
      <c r="P101" s="22">
        <v>28.293</v>
      </c>
    </row>
    <row r="103">
      <c r="A103" s="77" t="s">
        <v>235</v>
      </c>
      <c r="B103" s="78" t="s">
        <v>231</v>
      </c>
      <c r="C103" s="81" t="s">
        <v>236</v>
      </c>
      <c r="D103" s="79"/>
      <c r="E103" s="32">
        <v>0.625</v>
      </c>
      <c r="F103" s="32">
        <v>0.708</v>
      </c>
      <c r="G103" s="32">
        <v>0.724</v>
      </c>
      <c r="H103" s="32">
        <v>0.714</v>
      </c>
      <c r="I103" s="32">
        <v>0.735</v>
      </c>
      <c r="J103" s="32">
        <v>0.268</v>
      </c>
      <c r="K103" s="32">
        <v>0.788</v>
      </c>
      <c r="L103" s="32">
        <v>0.846</v>
      </c>
      <c r="M103" s="32">
        <v>69.0</v>
      </c>
      <c r="N103" s="32">
        <v>102.0</v>
      </c>
      <c r="O103" s="22">
        <v>69.0</v>
      </c>
      <c r="P103" s="32">
        <v>379.0</v>
      </c>
    </row>
    <row r="104">
      <c r="A104" s="23"/>
      <c r="B104" s="23"/>
      <c r="C104" s="23"/>
      <c r="D104" s="69"/>
      <c r="E104" s="22">
        <v>0.596</v>
      </c>
      <c r="F104" s="32">
        <v>0.731</v>
      </c>
      <c r="G104" s="22">
        <v>0.753</v>
      </c>
      <c r="H104" s="22">
        <v>0.711</v>
      </c>
      <c r="I104" s="22">
        <v>0.77</v>
      </c>
      <c r="J104" s="22">
        <v>0.278</v>
      </c>
      <c r="K104" s="22">
        <v>0.767</v>
      </c>
      <c r="L104" s="32">
        <v>0.946</v>
      </c>
      <c r="M104" s="22">
        <v>42.0</v>
      </c>
      <c r="N104" s="22">
        <v>129.0</v>
      </c>
      <c r="O104" s="22">
        <v>24.0</v>
      </c>
      <c r="P104" s="22">
        <v>424.0</v>
      </c>
    </row>
    <row r="105">
      <c r="A105" s="23"/>
      <c r="B105" s="23"/>
      <c r="C105" s="23"/>
      <c r="D105" s="70"/>
      <c r="E105" s="22">
        <v>0.616</v>
      </c>
      <c r="F105" s="22">
        <v>0.719</v>
      </c>
      <c r="G105" s="22">
        <v>0.743</v>
      </c>
      <c r="H105" s="22">
        <v>0.72</v>
      </c>
      <c r="I105" s="22">
        <v>0.741</v>
      </c>
      <c r="J105" s="22">
        <v>0.281</v>
      </c>
      <c r="K105" s="22">
        <v>0.779</v>
      </c>
      <c r="L105" s="22">
        <v>0.9</v>
      </c>
      <c r="M105" s="22">
        <v>57.0</v>
      </c>
      <c r="N105" s="22">
        <v>114.0</v>
      </c>
      <c r="O105" s="22">
        <v>45.0</v>
      </c>
      <c r="P105" s="22">
        <v>403.0</v>
      </c>
    </row>
    <row r="106">
      <c r="A106" s="23"/>
      <c r="B106" s="23"/>
      <c r="C106" s="23"/>
      <c r="D106" s="70"/>
      <c r="E106" s="22">
        <v>0.622</v>
      </c>
      <c r="F106" s="22">
        <v>0.716</v>
      </c>
      <c r="G106" s="22">
        <v>0.738</v>
      </c>
      <c r="H106" s="22">
        <v>0.72</v>
      </c>
      <c r="I106" s="22">
        <v>0.706</v>
      </c>
      <c r="J106" s="22">
        <v>0.281</v>
      </c>
      <c r="K106" s="22">
        <v>0.784</v>
      </c>
      <c r="L106" s="22">
        <v>0.882</v>
      </c>
      <c r="M106" s="22">
        <v>62.0</v>
      </c>
      <c r="N106" s="22">
        <v>109.0</v>
      </c>
      <c r="O106" s="22">
        <v>53.0</v>
      </c>
      <c r="P106" s="22">
        <v>395.0</v>
      </c>
    </row>
    <row r="107">
      <c r="A107" s="23"/>
      <c r="B107" s="23"/>
      <c r="C107" s="23"/>
      <c r="D107" s="70"/>
      <c r="E107" s="22">
        <v>0.623</v>
      </c>
      <c r="F107" s="22">
        <v>0.712</v>
      </c>
      <c r="G107" s="22">
        <v>0.732</v>
      </c>
      <c r="H107" s="22">
        <v>0.718</v>
      </c>
      <c r="I107" s="22">
        <v>0.707</v>
      </c>
      <c r="J107" s="22">
        <v>0.274</v>
      </c>
      <c r="K107" s="22">
        <v>0.785</v>
      </c>
      <c r="L107" s="22">
        <v>0.866</v>
      </c>
      <c r="M107" s="22">
        <v>65.0</v>
      </c>
      <c r="N107" s="22">
        <v>106.0</v>
      </c>
      <c r="O107" s="22">
        <v>60.0</v>
      </c>
      <c r="P107" s="22">
        <v>388.0</v>
      </c>
    </row>
    <row r="108">
      <c r="A108" s="23"/>
      <c r="B108" s="23"/>
      <c r="C108" s="23"/>
      <c r="D108" s="70"/>
      <c r="E108" s="22">
        <v>0.624</v>
      </c>
      <c r="F108" s="22">
        <v>0.711</v>
      </c>
      <c r="G108" s="22">
        <v>0.73</v>
      </c>
      <c r="H108" s="22">
        <v>0.717</v>
      </c>
      <c r="I108" s="22">
        <v>0.727</v>
      </c>
      <c r="J108" s="22">
        <v>0.273</v>
      </c>
      <c r="K108" s="22">
        <v>0.786</v>
      </c>
      <c r="L108" s="22">
        <v>0.862</v>
      </c>
      <c r="M108" s="22">
        <v>66.0</v>
      </c>
      <c r="N108" s="22">
        <v>105.0</v>
      </c>
      <c r="O108" s="22">
        <v>62.0</v>
      </c>
      <c r="P108" s="22">
        <v>386.0</v>
      </c>
    </row>
    <row r="109">
      <c r="A109" s="23"/>
      <c r="B109" s="23"/>
      <c r="C109" s="23"/>
      <c r="D109" s="70"/>
      <c r="E109" s="22">
        <v>0.603</v>
      </c>
      <c r="F109" s="22">
        <v>0.709</v>
      </c>
      <c r="G109" s="22">
        <v>0.737</v>
      </c>
      <c r="H109" s="22">
        <v>0.71</v>
      </c>
      <c r="I109" s="22">
        <v>0.718</v>
      </c>
      <c r="J109" s="22">
        <v>0.254</v>
      </c>
      <c r="K109" s="22">
        <v>0.772</v>
      </c>
      <c r="L109" s="22">
        <v>0.902</v>
      </c>
      <c r="M109" s="22">
        <v>52.0</v>
      </c>
      <c r="N109" s="22">
        <v>119.0</v>
      </c>
      <c r="O109" s="22">
        <v>44.0</v>
      </c>
      <c r="P109" s="22">
        <v>404.0</v>
      </c>
    </row>
    <row r="110">
      <c r="A110" s="23"/>
      <c r="B110" s="23"/>
      <c r="C110" s="23"/>
      <c r="D110" s="70"/>
      <c r="E110" s="22">
        <v>0.603</v>
      </c>
      <c r="F110" s="22">
        <v>0.709</v>
      </c>
      <c r="G110" s="22">
        <v>0.737</v>
      </c>
      <c r="H110" s="22">
        <v>0.71</v>
      </c>
      <c r="I110" s="22">
        <v>0.717</v>
      </c>
      <c r="J110" s="22">
        <v>0.254</v>
      </c>
      <c r="K110" s="22">
        <v>0.772</v>
      </c>
      <c r="L110" s="22">
        <v>0.902</v>
      </c>
      <c r="M110" s="22">
        <v>52.0</v>
      </c>
      <c r="N110" s="22">
        <v>119.0</v>
      </c>
      <c r="O110" s="22">
        <v>44.0</v>
      </c>
      <c r="P110" s="22">
        <v>404.0</v>
      </c>
    </row>
    <row r="111">
      <c r="A111" s="23"/>
      <c r="B111" s="23"/>
      <c r="C111" s="23"/>
      <c r="D111" s="70"/>
      <c r="E111" s="22">
        <v>0.613</v>
      </c>
      <c r="F111" s="22">
        <v>0.698</v>
      </c>
      <c r="G111" s="22">
        <v>0.714</v>
      </c>
      <c r="H111" s="22">
        <v>0.704</v>
      </c>
      <c r="I111" s="22">
        <v>0.696</v>
      </c>
      <c r="J111" s="22">
        <v>0.242</v>
      </c>
      <c r="K111" s="22">
        <v>0.782</v>
      </c>
      <c r="L111" s="22">
        <v>0.839</v>
      </c>
      <c r="M111" s="22">
        <v>66.0</v>
      </c>
      <c r="N111" s="22">
        <v>105.0</v>
      </c>
      <c r="O111" s="22">
        <v>72.0</v>
      </c>
      <c r="P111" s="22">
        <v>376.0</v>
      </c>
    </row>
    <row r="112">
      <c r="A112" s="23"/>
      <c r="B112" s="23"/>
      <c r="C112" s="23"/>
      <c r="D112" s="70"/>
      <c r="E112" s="22">
        <v>0.603</v>
      </c>
      <c r="F112" s="22">
        <v>0.704</v>
      </c>
      <c r="G112" s="22">
        <v>0.732</v>
      </c>
      <c r="H112" s="22">
        <v>0.708</v>
      </c>
      <c r="I112" s="22">
        <v>0.714</v>
      </c>
      <c r="J112" s="22">
        <v>0.248</v>
      </c>
      <c r="K112" s="22">
        <v>0.773</v>
      </c>
      <c r="L112" s="22">
        <v>0.891</v>
      </c>
      <c r="M112" s="22">
        <v>54.0</v>
      </c>
      <c r="N112" s="22">
        <v>117.0</v>
      </c>
      <c r="O112" s="22">
        <v>49.0</v>
      </c>
      <c r="P112" s="22">
        <v>399.0</v>
      </c>
    </row>
    <row r="113">
      <c r="A113" s="23"/>
      <c r="B113" s="23"/>
      <c r="C113" s="23"/>
      <c r="D113" s="11"/>
      <c r="E113" s="22">
        <v>0.603</v>
      </c>
      <c r="F113" s="22">
        <v>0.709</v>
      </c>
      <c r="G113" s="22">
        <v>0.737</v>
      </c>
      <c r="H113" s="22">
        <v>0.71</v>
      </c>
      <c r="I113" s="22">
        <v>0.718</v>
      </c>
      <c r="J113" s="22">
        <v>0.254</v>
      </c>
      <c r="K113" s="22">
        <v>0.772</v>
      </c>
      <c r="L113" s="22">
        <v>0.902</v>
      </c>
      <c r="M113" s="22">
        <v>52.0</v>
      </c>
      <c r="N113" s="22">
        <v>119.0</v>
      </c>
      <c r="O113" s="22">
        <v>44.0</v>
      </c>
      <c r="P113" s="22">
        <v>404.0</v>
      </c>
    </row>
    <row r="114">
      <c r="A114" s="23"/>
      <c r="B114" s="23"/>
      <c r="C114" s="23"/>
      <c r="D114" s="11"/>
      <c r="E114" s="22">
        <v>0.603</v>
      </c>
      <c r="F114" s="22">
        <v>0.709</v>
      </c>
      <c r="G114" s="22">
        <v>0.737</v>
      </c>
      <c r="H114" s="22">
        <v>0.71</v>
      </c>
      <c r="I114" s="22">
        <v>0.718</v>
      </c>
      <c r="J114" s="22">
        <v>0.254</v>
      </c>
      <c r="K114" s="22">
        <v>0.772</v>
      </c>
      <c r="L114" s="22">
        <v>0.902</v>
      </c>
      <c r="M114" s="22">
        <v>52.0</v>
      </c>
      <c r="N114" s="22">
        <v>119.0</v>
      </c>
      <c r="O114" s="22">
        <v>44.0</v>
      </c>
      <c r="P114" s="22">
        <v>404.0</v>
      </c>
    </row>
    <row r="115">
      <c r="A115" s="23"/>
      <c r="B115" s="23"/>
      <c r="C115" s="23"/>
      <c r="D115" s="11"/>
      <c r="E115" s="22">
        <v>0.628</v>
      </c>
      <c r="F115" s="22">
        <v>0.717</v>
      </c>
      <c r="G115" s="22">
        <v>0.737</v>
      </c>
      <c r="H115" s="22">
        <v>0.722</v>
      </c>
      <c r="I115" s="22">
        <v>0.739</v>
      </c>
      <c r="J115" s="22">
        <v>0.287</v>
      </c>
      <c r="K115" s="22">
        <v>0.788</v>
      </c>
      <c r="L115" s="22">
        <v>0.871</v>
      </c>
      <c r="M115" s="22">
        <v>66.0</v>
      </c>
      <c r="N115" s="22">
        <v>105.0</v>
      </c>
      <c r="O115" s="22">
        <v>58.0</v>
      </c>
      <c r="P115" s="22">
        <v>390.0</v>
      </c>
    </row>
    <row r="116">
      <c r="A116" s="23"/>
      <c r="B116" s="23"/>
      <c r="C116" s="23"/>
      <c r="D116" s="11"/>
      <c r="E116" s="22">
        <v>0.604</v>
      </c>
      <c r="F116" s="22">
        <v>0.706</v>
      </c>
      <c r="G116" s="22">
        <v>0.733</v>
      </c>
      <c r="H116" s="22">
        <v>0.709</v>
      </c>
      <c r="I116" s="22">
        <v>0.714</v>
      </c>
      <c r="J116" s="22">
        <v>0.251</v>
      </c>
      <c r="K116" s="22">
        <v>0.774</v>
      </c>
      <c r="L116" s="22">
        <v>0.893</v>
      </c>
      <c r="M116" s="22">
        <v>54.0</v>
      </c>
      <c r="N116" s="22">
        <v>117.0</v>
      </c>
      <c r="O116" s="22">
        <v>48.0</v>
      </c>
      <c r="P116" s="22">
        <v>400.0</v>
      </c>
    </row>
    <row r="117">
      <c r="A117" s="23"/>
      <c r="B117" s="23"/>
      <c r="C117" s="23"/>
      <c r="D117" s="11"/>
      <c r="E117" s="22">
        <v>0.604</v>
      </c>
      <c r="F117" s="22">
        <v>0.711</v>
      </c>
      <c r="G117" s="22">
        <v>0.738</v>
      </c>
      <c r="H117" s="22">
        <v>0.711</v>
      </c>
      <c r="I117" s="22">
        <v>0.72</v>
      </c>
      <c r="J117" s="22">
        <v>0.258</v>
      </c>
      <c r="K117" s="22">
        <v>0.773</v>
      </c>
      <c r="L117" s="22">
        <v>0.904</v>
      </c>
      <c r="M117" s="22">
        <v>52.0</v>
      </c>
      <c r="N117" s="22">
        <v>119.0</v>
      </c>
      <c r="O117" s="22">
        <v>43.0</v>
      </c>
      <c r="P117" s="22">
        <v>405.0</v>
      </c>
    </row>
    <row r="118">
      <c r="A118" s="23"/>
      <c r="B118" s="23"/>
      <c r="C118" s="23"/>
      <c r="D118" s="11"/>
      <c r="E118" s="22">
        <v>0.62</v>
      </c>
      <c r="F118" s="22">
        <v>0.71</v>
      </c>
      <c r="G118" s="22">
        <v>0.73</v>
      </c>
      <c r="H118" s="22">
        <v>0.715</v>
      </c>
      <c r="I118" s="22">
        <v>0.728</v>
      </c>
      <c r="J118" s="22">
        <v>0.269</v>
      </c>
      <c r="K118" s="22">
        <v>0.784</v>
      </c>
      <c r="L118" s="22">
        <v>0.866</v>
      </c>
      <c r="M118" s="22">
        <v>64.0</v>
      </c>
      <c r="N118" s="22">
        <v>107.0</v>
      </c>
      <c r="O118" s="22">
        <v>60.0</v>
      </c>
      <c r="P118" s="22">
        <v>388.0</v>
      </c>
    </row>
    <row r="119">
      <c r="A119" s="23"/>
      <c r="B119" s="23"/>
      <c r="C119" s="23"/>
      <c r="D119" s="11"/>
      <c r="E119" s="22">
        <v>0.603</v>
      </c>
      <c r="F119" s="22">
        <v>0.709</v>
      </c>
      <c r="G119" s="22">
        <v>0.737</v>
      </c>
      <c r="H119" s="22">
        <v>0.71</v>
      </c>
      <c r="I119" s="22">
        <v>0.718</v>
      </c>
      <c r="J119" s="22">
        <v>0.254</v>
      </c>
      <c r="K119" s="22">
        <v>0.772</v>
      </c>
      <c r="L119" s="22">
        <v>0.902</v>
      </c>
      <c r="M119" s="22">
        <v>52.0</v>
      </c>
      <c r="N119" s="22">
        <v>119.0</v>
      </c>
      <c r="O119" s="22">
        <v>44.0</v>
      </c>
      <c r="P119" s="22">
        <v>404.0</v>
      </c>
    </row>
    <row r="120">
      <c r="A120" s="23"/>
      <c r="B120" s="23"/>
      <c r="C120" s="23"/>
      <c r="D120" s="11"/>
      <c r="E120" s="22">
        <v>0.586</v>
      </c>
      <c r="F120" s="22">
        <v>0.72</v>
      </c>
      <c r="G120" s="22">
        <v>0.746</v>
      </c>
      <c r="H120" s="22">
        <v>0.702</v>
      </c>
      <c r="I120" s="22">
        <v>0.762</v>
      </c>
      <c r="J120" s="22">
        <v>0.253</v>
      </c>
      <c r="K120" s="22">
        <v>0.762</v>
      </c>
      <c r="L120" s="22">
        <v>0.944</v>
      </c>
      <c r="M120" s="22">
        <v>39.0</v>
      </c>
      <c r="N120" s="22">
        <v>132.0</v>
      </c>
      <c r="O120" s="22">
        <v>25.0</v>
      </c>
      <c r="P120" s="22">
        <v>423.0</v>
      </c>
    </row>
    <row r="121">
      <c r="A121" s="23"/>
      <c r="B121" s="23"/>
      <c r="C121" s="23"/>
      <c r="D121" s="11"/>
      <c r="E121" s="22">
        <v>0.604</v>
      </c>
      <c r="F121" s="22">
        <v>0.706</v>
      </c>
      <c r="G121" s="22">
        <v>0.733</v>
      </c>
      <c r="H121" s="22">
        <v>0.709</v>
      </c>
      <c r="I121" s="22">
        <v>0.714</v>
      </c>
      <c r="J121" s="22">
        <v>0.251</v>
      </c>
      <c r="K121" s="22">
        <v>0.774</v>
      </c>
      <c r="L121" s="22">
        <v>0.893</v>
      </c>
      <c r="M121" s="22">
        <v>54.0</v>
      </c>
      <c r="N121" s="22">
        <v>117.0</v>
      </c>
      <c r="O121" s="22">
        <v>48.0</v>
      </c>
      <c r="P121" s="22">
        <v>400.0</v>
      </c>
    </row>
    <row r="122">
      <c r="A122" s="23"/>
      <c r="B122" s="23"/>
      <c r="C122" s="23"/>
      <c r="D122" s="11"/>
      <c r="E122" s="22">
        <v>0.604</v>
      </c>
      <c r="F122" s="22">
        <v>0.706</v>
      </c>
      <c r="G122" s="22">
        <v>0.733</v>
      </c>
      <c r="H122" s="22">
        <v>0.709</v>
      </c>
      <c r="I122" s="22">
        <v>0.71</v>
      </c>
      <c r="J122" s="22">
        <v>0.251</v>
      </c>
      <c r="K122" s="22">
        <v>0.774</v>
      </c>
      <c r="L122" s="22">
        <v>0.893</v>
      </c>
      <c r="M122" s="22">
        <v>54.0</v>
      </c>
      <c r="N122" s="22">
        <v>117.0</v>
      </c>
      <c r="O122" s="22">
        <v>48.0</v>
      </c>
      <c r="P122" s="22">
        <v>400.0</v>
      </c>
    </row>
    <row r="123">
      <c r="A123" s="23"/>
      <c r="B123" s="23"/>
      <c r="C123" s="23"/>
      <c r="D123" s="11"/>
      <c r="E123" s="22">
        <v>0.603</v>
      </c>
      <c r="F123" s="22">
        <v>0.709</v>
      </c>
      <c r="G123" s="22">
        <v>0.737</v>
      </c>
      <c r="H123" s="22">
        <v>0.71</v>
      </c>
      <c r="I123" s="22">
        <v>0.717</v>
      </c>
      <c r="J123" s="22">
        <v>0.254</v>
      </c>
      <c r="K123" s="22">
        <v>0.772</v>
      </c>
      <c r="L123" s="22">
        <v>0.902</v>
      </c>
      <c r="M123" s="22">
        <v>52.0</v>
      </c>
      <c r="N123" s="22">
        <v>119.0</v>
      </c>
      <c r="O123" s="22">
        <v>44.0</v>
      </c>
      <c r="P123" s="22">
        <v>404.0</v>
      </c>
    </row>
    <row r="124">
      <c r="A124" s="23"/>
      <c r="B124" s="23"/>
      <c r="C124" s="23"/>
      <c r="D124" s="11"/>
      <c r="E124" s="22">
        <v>0.605</v>
      </c>
      <c r="F124" s="22">
        <v>0.708</v>
      </c>
      <c r="G124" s="22">
        <v>0.735</v>
      </c>
      <c r="H124" s="22">
        <v>0.711</v>
      </c>
      <c r="I124" s="22">
        <v>0.714</v>
      </c>
      <c r="J124" s="22">
        <v>0.255</v>
      </c>
      <c r="K124" s="22">
        <v>0.774</v>
      </c>
      <c r="L124" s="22">
        <v>0.895</v>
      </c>
      <c r="M124" s="22">
        <v>54.0</v>
      </c>
      <c r="N124" s="22">
        <v>117.0</v>
      </c>
      <c r="O124" s="22">
        <v>47.0</v>
      </c>
      <c r="P124" s="22">
        <v>401.0</v>
      </c>
    </row>
    <row r="125">
      <c r="A125" s="23"/>
      <c r="B125" s="23"/>
      <c r="C125" s="23"/>
      <c r="D125" s="11"/>
      <c r="E125" s="22">
        <v>0.62</v>
      </c>
      <c r="F125" s="22">
        <v>0.717</v>
      </c>
      <c r="G125" s="22">
        <v>0.74</v>
      </c>
      <c r="H125" s="22">
        <v>0.72</v>
      </c>
      <c r="I125" s="22">
        <v>0.706</v>
      </c>
      <c r="J125" s="22">
        <v>0.28</v>
      </c>
      <c r="K125" s="22">
        <v>0.782</v>
      </c>
      <c r="L125" s="22">
        <v>0.888</v>
      </c>
      <c r="M125" s="22">
        <v>60.0</v>
      </c>
      <c r="N125" s="22">
        <v>111.0</v>
      </c>
      <c r="O125" s="22">
        <v>50.0</v>
      </c>
      <c r="P125" s="22">
        <v>398.0</v>
      </c>
    </row>
    <row r="126">
      <c r="A126" s="23"/>
      <c r="B126" s="23"/>
      <c r="C126" s="23"/>
      <c r="D126" s="11"/>
      <c r="E126" s="22">
        <v>0.614</v>
      </c>
      <c r="F126" s="22">
        <v>0.72</v>
      </c>
      <c r="G126" s="22">
        <v>0.745</v>
      </c>
      <c r="H126" s="22">
        <v>0.719</v>
      </c>
      <c r="I126" s="22">
        <v>0.738</v>
      </c>
      <c r="J126" s="22">
        <v>0.28</v>
      </c>
      <c r="K126" s="22">
        <v>0.778</v>
      </c>
      <c r="L126" s="22">
        <v>0.906</v>
      </c>
      <c r="M126" s="22">
        <v>55.0</v>
      </c>
      <c r="N126" s="22">
        <v>116.0</v>
      </c>
      <c r="O126" s="22">
        <v>42.0</v>
      </c>
      <c r="P126" s="22">
        <v>406.0</v>
      </c>
    </row>
    <row r="127">
      <c r="A127" s="23"/>
      <c r="B127" s="23"/>
      <c r="C127" s="23"/>
      <c r="D127" s="11"/>
      <c r="E127" s="22">
        <v>0.593</v>
      </c>
      <c r="F127" s="22">
        <v>0.719</v>
      </c>
      <c r="G127" s="22">
        <v>0.746</v>
      </c>
      <c r="H127" s="22">
        <v>0.707</v>
      </c>
      <c r="I127" s="22">
        <v>0.756</v>
      </c>
      <c r="J127" s="22">
        <v>0.26</v>
      </c>
      <c r="K127" s="22">
        <v>0.766</v>
      </c>
      <c r="L127" s="22">
        <v>0.935</v>
      </c>
      <c r="M127" s="22">
        <v>43.0</v>
      </c>
      <c r="N127" s="22">
        <v>128.0</v>
      </c>
      <c r="O127" s="22">
        <v>29.0</v>
      </c>
      <c r="P127" s="22">
        <v>419.0</v>
      </c>
    </row>
    <row r="128">
      <c r="A128" s="23"/>
      <c r="B128" s="23"/>
      <c r="C128" s="23"/>
      <c r="D128" s="11"/>
      <c r="E128" s="22">
        <v>0.604</v>
      </c>
      <c r="F128" s="22">
        <v>0.706</v>
      </c>
      <c r="G128" s="22">
        <v>0.733</v>
      </c>
      <c r="H128" s="22">
        <v>0.709</v>
      </c>
      <c r="I128" s="22">
        <v>0.714</v>
      </c>
      <c r="J128" s="22">
        <v>0.251</v>
      </c>
      <c r="K128" s="22">
        <v>0.774</v>
      </c>
      <c r="L128" s="22">
        <v>0.893</v>
      </c>
      <c r="M128" s="22">
        <v>54.0</v>
      </c>
      <c r="N128" s="22">
        <v>117.0</v>
      </c>
      <c r="O128" s="22">
        <v>48.0</v>
      </c>
      <c r="P128" s="22">
        <v>400.0</v>
      </c>
    </row>
    <row r="129">
      <c r="A129" s="23"/>
      <c r="B129" s="23"/>
      <c r="C129" s="23"/>
      <c r="D129" s="11"/>
      <c r="E129" s="22">
        <v>0.604</v>
      </c>
      <c r="F129" s="22">
        <v>0.711</v>
      </c>
      <c r="G129" s="22">
        <v>0.738</v>
      </c>
      <c r="H129" s="22">
        <v>0.711</v>
      </c>
      <c r="I129" s="22">
        <v>0.719</v>
      </c>
      <c r="J129" s="22">
        <v>0.258</v>
      </c>
      <c r="K129" s="22">
        <v>0.773</v>
      </c>
      <c r="L129" s="22">
        <v>0.904</v>
      </c>
      <c r="M129" s="22">
        <v>52.0</v>
      </c>
      <c r="N129" s="22">
        <v>119.0</v>
      </c>
      <c r="O129" s="22">
        <v>43.0</v>
      </c>
      <c r="P129" s="22">
        <v>405.0</v>
      </c>
    </row>
    <row r="130">
      <c r="A130" s="23"/>
      <c r="B130" s="23"/>
      <c r="C130" s="23"/>
      <c r="D130" s="11"/>
      <c r="E130" s="22">
        <v>0.612</v>
      </c>
      <c r="F130" s="22">
        <v>0.711</v>
      </c>
      <c r="G130" s="22">
        <v>0.737</v>
      </c>
      <c r="H130" s="22">
        <v>0.715</v>
      </c>
      <c r="I130" s="22">
        <v>0.714</v>
      </c>
      <c r="J130" s="22">
        <v>0.266</v>
      </c>
      <c r="K130" s="22">
        <v>0.778</v>
      </c>
      <c r="L130" s="22">
        <v>0.891</v>
      </c>
      <c r="M130" s="22">
        <v>57.0</v>
      </c>
      <c r="N130" s="22">
        <v>114.0</v>
      </c>
      <c r="O130" s="22">
        <v>49.0</v>
      </c>
      <c r="P130" s="22">
        <v>399.0</v>
      </c>
    </row>
    <row r="131">
      <c r="A131" s="23"/>
      <c r="B131" s="23"/>
      <c r="C131" s="23"/>
      <c r="D131" s="11"/>
      <c r="E131" s="22">
        <v>0.618</v>
      </c>
      <c r="F131" s="22">
        <v>0.747</v>
      </c>
      <c r="G131" s="22">
        <v>0.764</v>
      </c>
      <c r="H131" s="22">
        <v>0.73</v>
      </c>
      <c r="I131" s="22">
        <v>0.767</v>
      </c>
      <c r="J131" s="22">
        <v>0.324</v>
      </c>
      <c r="K131" s="22">
        <v>0.778</v>
      </c>
      <c r="L131" s="22">
        <v>0.944</v>
      </c>
      <c r="M131" s="22">
        <v>50.0</v>
      </c>
      <c r="N131" s="22">
        <v>121.0</v>
      </c>
      <c r="O131" s="22">
        <v>25.0</v>
      </c>
      <c r="P131" s="22">
        <v>423.0</v>
      </c>
    </row>
    <row r="132">
      <c r="A132" s="23"/>
      <c r="B132" s="23"/>
      <c r="C132" s="23"/>
      <c r="D132" s="11"/>
      <c r="E132" s="22">
        <v>0.625</v>
      </c>
      <c r="F132" s="22">
        <v>0.708</v>
      </c>
      <c r="G132" s="22">
        <v>0.724</v>
      </c>
      <c r="H132" s="22">
        <v>0.714</v>
      </c>
      <c r="I132" s="22">
        <v>0.722</v>
      </c>
      <c r="J132" s="22">
        <v>0.268</v>
      </c>
      <c r="K132" s="22">
        <v>0.788</v>
      </c>
      <c r="L132" s="22">
        <v>0.846</v>
      </c>
      <c r="M132" s="22">
        <v>69.0</v>
      </c>
      <c r="N132" s="22">
        <v>102.0</v>
      </c>
      <c r="O132" s="22">
        <v>69.0</v>
      </c>
      <c r="P132" s="22">
        <v>379.0</v>
      </c>
    </row>
    <row r="133">
      <c r="A133" s="23"/>
      <c r="B133" s="23"/>
      <c r="C133" s="23"/>
      <c r="D133" s="71" t="s">
        <v>23</v>
      </c>
      <c r="E133" s="22">
        <v>0.61</v>
      </c>
      <c r="F133" s="22">
        <v>0.713</v>
      </c>
      <c r="G133" s="22">
        <v>0.737</v>
      </c>
      <c r="H133" s="22">
        <v>0.713</v>
      </c>
      <c r="I133" s="22">
        <v>0.725</v>
      </c>
      <c r="J133" s="22">
        <v>0.265</v>
      </c>
      <c r="K133" s="22">
        <v>0.777</v>
      </c>
      <c r="L133" s="22">
        <v>0.894</v>
      </c>
      <c r="M133" s="22">
        <v>55.667</v>
      </c>
      <c r="N133" s="22">
        <v>115.333</v>
      </c>
      <c r="O133" s="22">
        <v>47.667</v>
      </c>
      <c r="P133" s="22">
        <v>400.333</v>
      </c>
    </row>
    <row r="134">
      <c r="A134" s="72"/>
      <c r="B134" s="72"/>
      <c r="C134" s="72"/>
      <c r="D134" s="73" t="s">
        <v>232</v>
      </c>
      <c r="E134" s="22">
        <v>0.01</v>
      </c>
      <c r="F134" s="22">
        <v>0.009</v>
      </c>
      <c r="G134" s="22">
        <v>0.009</v>
      </c>
      <c r="H134" s="22">
        <v>0.006</v>
      </c>
      <c r="I134" s="22">
        <v>0.018</v>
      </c>
      <c r="J134" s="22">
        <v>0.016</v>
      </c>
      <c r="K134" s="22">
        <v>0.007</v>
      </c>
      <c r="L134" s="22">
        <v>0.027</v>
      </c>
      <c r="M134" s="22">
        <v>7.476</v>
      </c>
      <c r="N134" s="22">
        <v>7.476</v>
      </c>
      <c r="O134" s="22">
        <v>11.912</v>
      </c>
      <c r="P134" s="22">
        <v>11.912</v>
      </c>
    </row>
  </sheetData>
  <mergeCells count="12">
    <mergeCell ref="B70:B101"/>
    <mergeCell ref="C70:C101"/>
    <mergeCell ref="A103:A134"/>
    <mergeCell ref="B103:B134"/>
    <mergeCell ref="C103:C134"/>
    <mergeCell ref="A4:A35"/>
    <mergeCell ref="B4:B35"/>
    <mergeCell ref="C4:C35"/>
    <mergeCell ref="A37:A68"/>
    <mergeCell ref="B37:B68"/>
    <mergeCell ref="C37:C68"/>
    <mergeCell ref="A70:A101"/>
  </mergeCells>
  <conditionalFormatting sqref="H1:H777">
    <cfRule type="cellIs" dxfId="0" priority="1" operator="greaterThan">
      <formula>0.725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19.13"/>
    <col customWidth="1" min="3" max="3" width="21.25"/>
  </cols>
  <sheetData>
    <row r="1">
      <c r="A1" s="1" t="s">
        <v>0</v>
      </c>
      <c r="B1" s="2" t="s">
        <v>1</v>
      </c>
      <c r="C1" s="3" t="s">
        <v>2</v>
      </c>
      <c r="D1" s="5"/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6" t="s">
        <v>10</v>
      </c>
      <c r="M1" s="6" t="s">
        <v>245</v>
      </c>
      <c r="N1" s="6" t="s">
        <v>12</v>
      </c>
      <c r="O1" s="6" t="s">
        <v>13</v>
      </c>
      <c r="P1" s="6" t="s">
        <v>246</v>
      </c>
    </row>
    <row r="2" ht="28.5" customHeight="1">
      <c r="A2" s="57" t="s">
        <v>18</v>
      </c>
      <c r="B2" s="58"/>
      <c r="C2" s="19" t="s">
        <v>19</v>
      </c>
      <c r="D2" s="59"/>
      <c r="E2" s="60">
        <v>0.652</v>
      </c>
      <c r="F2" s="60">
        <v>0.724</v>
      </c>
      <c r="G2" s="60">
        <v>0.727</v>
      </c>
      <c r="H2" s="60">
        <v>0.725</v>
      </c>
      <c r="I2" s="60">
        <v>0.684</v>
      </c>
      <c r="J2" s="60">
        <v>0.309</v>
      </c>
      <c r="K2" s="60">
        <v>0.807</v>
      </c>
      <c r="L2" s="60">
        <v>0.819</v>
      </c>
      <c r="M2" s="61">
        <v>83.0</v>
      </c>
      <c r="N2" s="61">
        <v>88.0</v>
      </c>
      <c r="O2" s="61">
        <v>81.0</v>
      </c>
      <c r="P2" s="62">
        <v>367.0</v>
      </c>
    </row>
    <row r="4">
      <c r="A4" s="68" t="s">
        <v>230</v>
      </c>
      <c r="B4" s="19" t="s">
        <v>231</v>
      </c>
      <c r="C4" s="19" t="s">
        <v>215</v>
      </c>
      <c r="D4" s="69"/>
      <c r="E4" s="32">
        <v>0.636</v>
      </c>
      <c r="F4" s="32">
        <v>0.714</v>
      </c>
      <c r="G4" s="32">
        <v>0.724</v>
      </c>
      <c r="H4" s="32">
        <v>0.718</v>
      </c>
      <c r="I4" s="32">
        <v>0.684</v>
      </c>
      <c r="J4" s="32">
        <v>0.283</v>
      </c>
      <c r="K4" s="32">
        <v>0.795</v>
      </c>
      <c r="L4" s="32">
        <v>0.833</v>
      </c>
      <c r="M4" s="32">
        <v>75.0</v>
      </c>
      <c r="N4" s="32">
        <v>96.0</v>
      </c>
      <c r="O4" s="22">
        <v>75.0</v>
      </c>
      <c r="P4" s="32">
        <v>373.0</v>
      </c>
    </row>
    <row r="5">
      <c r="A5" s="23"/>
      <c r="B5" s="23"/>
      <c r="C5" s="23"/>
      <c r="D5" s="69"/>
      <c r="E5" s="22">
        <v>0.637</v>
      </c>
      <c r="F5" s="32">
        <v>0.715</v>
      </c>
      <c r="G5" s="22">
        <v>0.725</v>
      </c>
      <c r="H5" s="22">
        <v>0.719</v>
      </c>
      <c r="I5" s="22">
        <v>0.678</v>
      </c>
      <c r="J5" s="22">
        <v>0.286</v>
      </c>
      <c r="K5" s="22">
        <v>0.796</v>
      </c>
      <c r="L5" s="32">
        <v>0.835</v>
      </c>
      <c r="M5" s="22">
        <v>75.0</v>
      </c>
      <c r="N5" s="22">
        <v>96.0</v>
      </c>
      <c r="O5" s="22">
        <v>74.0</v>
      </c>
      <c r="P5" s="22">
        <v>374.0</v>
      </c>
    </row>
    <row r="6">
      <c r="A6" s="23"/>
      <c r="B6" s="23"/>
      <c r="C6" s="23"/>
      <c r="D6" s="70"/>
      <c r="E6" s="22">
        <v>0.644</v>
      </c>
      <c r="F6" s="22">
        <v>0.72</v>
      </c>
      <c r="G6" s="22">
        <v>0.729</v>
      </c>
      <c r="H6" s="22">
        <v>0.724</v>
      </c>
      <c r="I6" s="22">
        <v>0.687</v>
      </c>
      <c r="J6" s="22">
        <v>0.299</v>
      </c>
      <c r="K6" s="22">
        <v>0.8</v>
      </c>
      <c r="L6" s="22">
        <v>0.833</v>
      </c>
      <c r="M6" s="22">
        <v>78.0</v>
      </c>
      <c r="N6" s="22">
        <v>93.0</v>
      </c>
      <c r="O6" s="22">
        <v>75.0</v>
      </c>
      <c r="P6" s="22">
        <v>373.0</v>
      </c>
    </row>
    <row r="7">
      <c r="A7" s="23"/>
      <c r="B7" s="23"/>
      <c r="C7" s="23"/>
      <c r="D7" s="70"/>
      <c r="E7" s="22">
        <v>0.646</v>
      </c>
      <c r="F7" s="22">
        <v>0.72</v>
      </c>
      <c r="G7" s="22">
        <v>0.725</v>
      </c>
      <c r="H7" s="22">
        <v>0.722</v>
      </c>
      <c r="I7" s="22">
        <v>0.678</v>
      </c>
      <c r="J7" s="22">
        <v>0.298</v>
      </c>
      <c r="K7" s="22">
        <v>0.802</v>
      </c>
      <c r="L7" s="22">
        <v>0.824</v>
      </c>
      <c r="M7" s="22">
        <v>80.0</v>
      </c>
      <c r="N7" s="22">
        <v>91.0</v>
      </c>
      <c r="O7" s="22">
        <v>79.0</v>
      </c>
      <c r="P7" s="22">
        <v>369.0</v>
      </c>
    </row>
    <row r="8">
      <c r="A8" s="23"/>
      <c r="B8" s="23"/>
      <c r="C8" s="23"/>
      <c r="D8" s="70"/>
      <c r="E8" s="22">
        <v>0.646</v>
      </c>
      <c r="F8" s="22">
        <v>0.721</v>
      </c>
      <c r="G8" s="22">
        <v>0.729</v>
      </c>
      <c r="H8" s="22">
        <v>0.724</v>
      </c>
      <c r="I8" s="22">
        <v>0.681</v>
      </c>
      <c r="J8" s="22">
        <v>0.302</v>
      </c>
      <c r="K8" s="22">
        <v>0.802</v>
      </c>
      <c r="L8" s="22">
        <v>0.83</v>
      </c>
      <c r="M8" s="22">
        <v>79.0</v>
      </c>
      <c r="N8" s="22">
        <v>92.0</v>
      </c>
      <c r="O8" s="22">
        <v>76.0</v>
      </c>
      <c r="P8" s="22">
        <v>372.0</v>
      </c>
    </row>
    <row r="9">
      <c r="A9" s="23"/>
      <c r="B9" s="23"/>
      <c r="C9" s="23"/>
      <c r="D9" s="70"/>
      <c r="E9" s="22">
        <v>0.64</v>
      </c>
      <c r="F9" s="22">
        <v>0.715</v>
      </c>
      <c r="G9" s="22">
        <v>0.722</v>
      </c>
      <c r="H9" s="22">
        <v>0.718</v>
      </c>
      <c r="I9" s="22">
        <v>0.689</v>
      </c>
      <c r="J9" s="22">
        <v>0.288</v>
      </c>
      <c r="K9" s="22">
        <v>0.799</v>
      </c>
      <c r="L9" s="22">
        <v>0.824</v>
      </c>
      <c r="M9" s="22">
        <v>78.0</v>
      </c>
      <c r="N9" s="22">
        <v>93.0</v>
      </c>
      <c r="O9" s="22">
        <v>79.0</v>
      </c>
      <c r="P9" s="22">
        <v>369.0</v>
      </c>
    </row>
    <row r="10">
      <c r="A10" s="23"/>
      <c r="B10" s="23"/>
      <c r="C10" s="23"/>
      <c r="D10" s="70"/>
      <c r="E10" s="22">
        <v>0.633</v>
      </c>
      <c r="F10" s="22">
        <v>0.71</v>
      </c>
      <c r="G10" s="22">
        <v>0.717</v>
      </c>
      <c r="H10" s="22">
        <v>0.713</v>
      </c>
      <c r="I10" s="22">
        <v>0.69</v>
      </c>
      <c r="J10" s="22">
        <v>0.274</v>
      </c>
      <c r="K10" s="22">
        <v>0.795</v>
      </c>
      <c r="L10" s="22">
        <v>0.821</v>
      </c>
      <c r="M10" s="22">
        <v>76.0</v>
      </c>
      <c r="N10" s="22">
        <v>95.0</v>
      </c>
      <c r="O10" s="22">
        <v>80.0</v>
      </c>
      <c r="P10" s="22">
        <v>368.0</v>
      </c>
    </row>
    <row r="11">
      <c r="A11" s="23"/>
      <c r="B11" s="23"/>
      <c r="C11" s="23"/>
      <c r="D11" s="70"/>
      <c r="E11" s="22">
        <v>0.644</v>
      </c>
      <c r="F11" s="22">
        <v>0.72</v>
      </c>
      <c r="G11" s="22">
        <v>0.729</v>
      </c>
      <c r="H11" s="22">
        <v>0.724</v>
      </c>
      <c r="I11" s="22">
        <v>0.68</v>
      </c>
      <c r="J11" s="22">
        <v>0.299</v>
      </c>
      <c r="K11" s="22">
        <v>0.8</v>
      </c>
      <c r="L11" s="22">
        <v>0.833</v>
      </c>
      <c r="M11" s="22">
        <v>78.0</v>
      </c>
      <c r="N11" s="22">
        <v>93.0</v>
      </c>
      <c r="O11" s="22">
        <v>75.0</v>
      </c>
      <c r="P11" s="22">
        <v>373.0</v>
      </c>
    </row>
    <row r="12">
      <c r="A12" s="23"/>
      <c r="B12" s="23"/>
      <c r="C12" s="23"/>
      <c r="D12" s="70"/>
      <c r="E12" s="22">
        <v>0.638</v>
      </c>
      <c r="F12" s="22">
        <v>0.714</v>
      </c>
      <c r="G12" s="22">
        <v>0.722</v>
      </c>
      <c r="H12" s="22">
        <v>0.718</v>
      </c>
      <c r="I12" s="22">
        <v>0.691</v>
      </c>
      <c r="J12" s="22">
        <v>0.285</v>
      </c>
      <c r="K12" s="22">
        <v>0.797</v>
      </c>
      <c r="L12" s="22">
        <v>0.826</v>
      </c>
      <c r="M12" s="22">
        <v>77.0</v>
      </c>
      <c r="N12" s="22">
        <v>94.0</v>
      </c>
      <c r="O12" s="22">
        <v>78.0</v>
      </c>
      <c r="P12" s="22">
        <v>370.0</v>
      </c>
    </row>
    <row r="13">
      <c r="A13" s="23"/>
      <c r="B13" s="23"/>
      <c r="C13" s="23"/>
      <c r="D13" s="70"/>
      <c r="E13" s="22">
        <v>0.628</v>
      </c>
      <c r="F13" s="22">
        <v>0.707</v>
      </c>
      <c r="G13" s="22">
        <v>0.717</v>
      </c>
      <c r="H13" s="22">
        <v>0.711</v>
      </c>
      <c r="I13" s="22">
        <v>0.687</v>
      </c>
      <c r="J13" s="22">
        <v>0.266</v>
      </c>
      <c r="K13" s="22">
        <v>0.791</v>
      </c>
      <c r="L13" s="22">
        <v>0.828</v>
      </c>
      <c r="M13" s="22">
        <v>73.0</v>
      </c>
      <c r="N13" s="22">
        <v>98.0</v>
      </c>
      <c r="O13" s="22">
        <v>77.0</v>
      </c>
      <c r="P13" s="22">
        <v>371.0</v>
      </c>
    </row>
    <row r="14">
      <c r="A14" s="23"/>
      <c r="B14" s="23"/>
      <c r="C14" s="23"/>
      <c r="D14" s="11"/>
      <c r="E14" s="22">
        <v>0.652</v>
      </c>
      <c r="F14" s="22">
        <v>0.727</v>
      </c>
      <c r="G14" s="80">
        <v>0.737</v>
      </c>
      <c r="H14" s="80">
        <v>0.731</v>
      </c>
      <c r="I14" s="80">
        <v>0.686</v>
      </c>
      <c r="J14" s="22">
        <v>0.317</v>
      </c>
      <c r="K14" s="22">
        <v>0.804</v>
      </c>
      <c r="L14" s="80">
        <v>0.842</v>
      </c>
      <c r="M14" s="22">
        <v>79.0</v>
      </c>
      <c r="N14" s="22">
        <v>92.0</v>
      </c>
      <c r="O14" s="22">
        <v>71.0</v>
      </c>
      <c r="P14" s="22">
        <v>377.0</v>
      </c>
    </row>
    <row r="15">
      <c r="A15" s="23"/>
      <c r="B15" s="23"/>
      <c r="C15" s="23"/>
      <c r="D15" s="11"/>
      <c r="E15" s="22">
        <v>0.634</v>
      </c>
      <c r="F15" s="22">
        <v>0.711</v>
      </c>
      <c r="G15" s="22">
        <v>0.719</v>
      </c>
      <c r="H15" s="22">
        <v>0.714</v>
      </c>
      <c r="I15" s="22">
        <v>0.695</v>
      </c>
      <c r="J15" s="22">
        <v>0.277</v>
      </c>
      <c r="K15" s="22">
        <v>0.795</v>
      </c>
      <c r="L15" s="22">
        <v>0.824</v>
      </c>
      <c r="M15" s="22">
        <v>76.0</v>
      </c>
      <c r="N15" s="22">
        <v>95.0</v>
      </c>
      <c r="O15" s="22">
        <v>79.0</v>
      </c>
      <c r="P15" s="22">
        <v>369.0</v>
      </c>
    </row>
    <row r="16">
      <c r="A16" s="23"/>
      <c r="B16" s="23"/>
      <c r="C16" s="23"/>
      <c r="D16" s="11"/>
      <c r="E16" s="22">
        <v>0.641</v>
      </c>
      <c r="F16" s="22">
        <v>0.716</v>
      </c>
      <c r="G16" s="22">
        <v>0.724</v>
      </c>
      <c r="H16" s="22">
        <v>0.72</v>
      </c>
      <c r="I16" s="22">
        <v>0.697</v>
      </c>
      <c r="J16" s="22">
        <v>0.29</v>
      </c>
      <c r="K16" s="22">
        <v>0.799</v>
      </c>
      <c r="L16" s="22">
        <v>0.826</v>
      </c>
      <c r="M16" s="22">
        <v>78.0</v>
      </c>
      <c r="N16" s="22">
        <v>93.0</v>
      </c>
      <c r="O16" s="22">
        <v>78.0</v>
      </c>
      <c r="P16" s="22">
        <v>370.0</v>
      </c>
    </row>
    <row r="17">
      <c r="A17" s="23"/>
      <c r="B17" s="23"/>
      <c r="C17" s="23"/>
      <c r="D17" s="11"/>
      <c r="E17" s="22">
        <v>0.64</v>
      </c>
      <c r="F17" s="22">
        <v>0.713</v>
      </c>
      <c r="G17" s="22">
        <v>0.714</v>
      </c>
      <c r="H17" s="22">
        <v>0.713</v>
      </c>
      <c r="I17" s="22">
        <v>0.653</v>
      </c>
      <c r="J17" s="22">
        <v>0.281</v>
      </c>
      <c r="K17" s="22">
        <v>0.8</v>
      </c>
      <c r="L17" s="22">
        <v>0.806</v>
      </c>
      <c r="M17" s="22">
        <v>81.0</v>
      </c>
      <c r="N17" s="22">
        <v>90.0</v>
      </c>
      <c r="O17" s="22">
        <v>87.0</v>
      </c>
      <c r="P17" s="22">
        <v>361.0</v>
      </c>
    </row>
    <row r="18">
      <c r="A18" s="23"/>
      <c r="B18" s="23"/>
      <c r="C18" s="23"/>
      <c r="D18" s="11"/>
      <c r="E18" s="22">
        <v>0.655</v>
      </c>
      <c r="F18" s="22">
        <v>0.726</v>
      </c>
      <c r="G18" s="22">
        <v>0.729</v>
      </c>
      <c r="H18" s="22">
        <v>0.727</v>
      </c>
      <c r="I18" s="22">
        <v>0.678</v>
      </c>
      <c r="J18" s="22">
        <v>0.314</v>
      </c>
      <c r="K18" s="22">
        <v>0.808</v>
      </c>
      <c r="L18" s="22">
        <v>0.819</v>
      </c>
      <c r="M18" s="22">
        <v>84.0</v>
      </c>
      <c r="N18" s="22">
        <v>87.0</v>
      </c>
      <c r="O18" s="22">
        <v>81.0</v>
      </c>
      <c r="P18" s="22">
        <v>367.0</v>
      </c>
    </row>
    <row r="19">
      <c r="A19" s="23"/>
      <c r="B19" s="23"/>
      <c r="C19" s="23"/>
      <c r="D19" s="11"/>
      <c r="E19" s="80">
        <v>0.656</v>
      </c>
      <c r="F19" s="80">
        <v>0.729</v>
      </c>
      <c r="G19" s="80">
        <v>0.735</v>
      </c>
      <c r="H19" s="80">
        <v>0.731</v>
      </c>
      <c r="I19" s="80">
        <v>0.681</v>
      </c>
      <c r="J19" s="80">
        <v>0.321</v>
      </c>
      <c r="K19" s="80">
        <v>0.807</v>
      </c>
      <c r="L19" s="80">
        <v>0.833</v>
      </c>
      <c r="M19" s="80">
        <v>82.0</v>
      </c>
      <c r="N19" s="80">
        <v>89.0</v>
      </c>
      <c r="O19" s="80">
        <v>75.0</v>
      </c>
      <c r="P19" s="80">
        <v>373.0</v>
      </c>
    </row>
    <row r="20">
      <c r="A20" s="23"/>
      <c r="B20" s="23"/>
      <c r="C20" s="23"/>
      <c r="D20" s="11"/>
      <c r="E20" s="22">
        <v>0.647</v>
      </c>
      <c r="F20" s="22">
        <v>0.722</v>
      </c>
      <c r="G20" s="22">
        <v>0.73</v>
      </c>
      <c r="H20" s="22">
        <v>0.726</v>
      </c>
      <c r="I20" s="22">
        <v>0.692</v>
      </c>
      <c r="J20" s="22">
        <v>0.305</v>
      </c>
      <c r="K20" s="22">
        <v>0.802</v>
      </c>
      <c r="L20" s="22">
        <v>0.833</v>
      </c>
      <c r="M20" s="22">
        <v>79.0</v>
      </c>
      <c r="N20" s="22">
        <v>92.0</v>
      </c>
      <c r="O20" s="22">
        <v>75.0</v>
      </c>
      <c r="P20" s="22">
        <v>373.0</v>
      </c>
    </row>
    <row r="21">
      <c r="A21" s="23"/>
      <c r="B21" s="23"/>
      <c r="C21" s="23"/>
      <c r="D21" s="11"/>
      <c r="E21" s="22">
        <v>0.644</v>
      </c>
      <c r="F21" s="22">
        <v>0.722</v>
      </c>
      <c r="G21" s="22">
        <v>0.733</v>
      </c>
      <c r="H21" s="22">
        <v>0.727</v>
      </c>
      <c r="I21" s="22">
        <v>0.672</v>
      </c>
      <c r="J21" s="22">
        <v>0.304</v>
      </c>
      <c r="K21" s="22">
        <v>0.799</v>
      </c>
      <c r="L21" s="22">
        <v>0.844</v>
      </c>
      <c r="M21" s="22">
        <v>76.0</v>
      </c>
      <c r="N21" s="22">
        <v>95.0</v>
      </c>
      <c r="O21" s="22">
        <v>70.0</v>
      </c>
      <c r="P21" s="22">
        <v>378.0</v>
      </c>
    </row>
    <row r="22">
      <c r="A22" s="23"/>
      <c r="B22" s="23"/>
      <c r="C22" s="23"/>
      <c r="D22" s="11"/>
      <c r="E22" s="22">
        <v>0.645</v>
      </c>
      <c r="F22" s="22">
        <v>0.72</v>
      </c>
      <c r="G22" s="22">
        <v>0.727</v>
      </c>
      <c r="H22" s="22">
        <v>0.723</v>
      </c>
      <c r="I22" s="22">
        <v>0.684</v>
      </c>
      <c r="J22" s="22">
        <v>0.299</v>
      </c>
      <c r="K22" s="22">
        <v>0.801</v>
      </c>
      <c r="L22" s="22">
        <v>0.828</v>
      </c>
      <c r="M22" s="22">
        <v>79.0</v>
      </c>
      <c r="N22" s="22">
        <v>92.0</v>
      </c>
      <c r="O22" s="22">
        <v>77.0</v>
      </c>
      <c r="P22" s="22">
        <v>371.0</v>
      </c>
    </row>
    <row r="23">
      <c r="A23" s="23"/>
      <c r="B23" s="23"/>
      <c r="C23" s="23"/>
      <c r="D23" s="11"/>
      <c r="E23" s="22">
        <v>0.652</v>
      </c>
      <c r="F23" s="22">
        <v>0.727</v>
      </c>
      <c r="G23" s="22">
        <v>0.735</v>
      </c>
      <c r="H23" s="22">
        <v>0.73</v>
      </c>
      <c r="I23" s="22">
        <v>0.686</v>
      </c>
      <c r="J23" s="22">
        <v>0.316</v>
      </c>
      <c r="K23" s="22">
        <v>0.805</v>
      </c>
      <c r="L23" s="22">
        <v>0.837</v>
      </c>
      <c r="M23" s="22">
        <v>80.0</v>
      </c>
      <c r="N23" s="22">
        <v>91.0</v>
      </c>
      <c r="O23" s="22">
        <v>73.0</v>
      </c>
      <c r="P23" s="22">
        <v>375.0</v>
      </c>
    </row>
    <row r="24">
      <c r="A24" s="23"/>
      <c r="B24" s="23"/>
      <c r="C24" s="23"/>
      <c r="D24" s="11"/>
      <c r="E24" s="22">
        <v>0.641</v>
      </c>
      <c r="F24" s="22">
        <v>0.718</v>
      </c>
      <c r="G24" s="22">
        <v>0.727</v>
      </c>
      <c r="H24" s="22">
        <v>0.722</v>
      </c>
      <c r="I24" s="22">
        <v>0.679</v>
      </c>
      <c r="J24" s="22">
        <v>0.294</v>
      </c>
      <c r="K24" s="22">
        <v>0.799</v>
      </c>
      <c r="L24" s="22">
        <v>0.833</v>
      </c>
      <c r="M24" s="22">
        <v>77.0</v>
      </c>
      <c r="N24" s="22">
        <v>94.0</v>
      </c>
      <c r="O24" s="22">
        <v>75.0</v>
      </c>
      <c r="P24" s="22">
        <v>373.0</v>
      </c>
    </row>
    <row r="25">
      <c r="A25" s="23"/>
      <c r="B25" s="23"/>
      <c r="C25" s="23"/>
      <c r="D25" s="11"/>
      <c r="E25" s="22">
        <v>0.638</v>
      </c>
      <c r="F25" s="22">
        <v>0.713</v>
      </c>
      <c r="G25" s="22">
        <v>0.719</v>
      </c>
      <c r="H25" s="22">
        <v>0.716</v>
      </c>
      <c r="I25" s="22">
        <v>0.696</v>
      </c>
      <c r="J25" s="22">
        <v>0.282</v>
      </c>
      <c r="K25" s="22">
        <v>0.798</v>
      </c>
      <c r="L25" s="22">
        <v>0.819</v>
      </c>
      <c r="M25" s="22">
        <v>78.0</v>
      </c>
      <c r="N25" s="22">
        <v>93.0</v>
      </c>
      <c r="O25" s="22">
        <v>81.0</v>
      </c>
      <c r="P25" s="22">
        <v>367.0</v>
      </c>
    </row>
    <row r="26">
      <c r="A26" s="23"/>
      <c r="B26" s="23"/>
      <c r="C26" s="23"/>
      <c r="D26" s="11"/>
      <c r="E26" s="22">
        <v>0.638</v>
      </c>
      <c r="F26" s="22">
        <v>0.714</v>
      </c>
      <c r="G26" s="22">
        <v>0.722</v>
      </c>
      <c r="H26" s="22">
        <v>0.718</v>
      </c>
      <c r="I26" s="22">
        <v>0.681</v>
      </c>
      <c r="J26" s="22">
        <v>0.285</v>
      </c>
      <c r="K26" s="22">
        <v>0.797</v>
      </c>
      <c r="L26" s="22">
        <v>0.826</v>
      </c>
      <c r="M26" s="22">
        <v>77.0</v>
      </c>
      <c r="N26" s="22">
        <v>94.0</v>
      </c>
      <c r="O26" s="22">
        <v>78.0</v>
      </c>
      <c r="P26" s="22">
        <v>370.0</v>
      </c>
    </row>
    <row r="27">
      <c r="A27" s="23"/>
      <c r="B27" s="23"/>
      <c r="C27" s="23"/>
      <c r="D27" s="11"/>
      <c r="E27" s="22">
        <v>0.639</v>
      </c>
      <c r="F27" s="22">
        <v>0.716</v>
      </c>
      <c r="G27" s="22">
        <v>0.724</v>
      </c>
      <c r="H27" s="22">
        <v>0.719</v>
      </c>
      <c r="I27" s="22">
        <v>0.688</v>
      </c>
      <c r="J27" s="22">
        <v>0.288</v>
      </c>
      <c r="K27" s="22">
        <v>0.798</v>
      </c>
      <c r="L27" s="22">
        <v>0.828</v>
      </c>
      <c r="M27" s="22">
        <v>77.0</v>
      </c>
      <c r="N27" s="22">
        <v>94.0</v>
      </c>
      <c r="O27" s="22">
        <v>77.0</v>
      </c>
      <c r="P27" s="22">
        <v>371.0</v>
      </c>
    </row>
    <row r="28">
      <c r="A28" s="23"/>
      <c r="B28" s="23"/>
      <c r="C28" s="23"/>
      <c r="D28" s="11"/>
      <c r="E28" s="22">
        <v>0.652</v>
      </c>
      <c r="F28" s="22">
        <v>0.725</v>
      </c>
      <c r="G28" s="22">
        <v>0.732</v>
      </c>
      <c r="H28" s="22">
        <v>0.728</v>
      </c>
      <c r="I28" s="22">
        <v>0.691</v>
      </c>
      <c r="J28" s="22">
        <v>0.312</v>
      </c>
      <c r="K28" s="22">
        <v>0.805</v>
      </c>
      <c r="L28" s="22">
        <v>0.83</v>
      </c>
      <c r="M28" s="22">
        <v>81.0</v>
      </c>
      <c r="N28" s="22">
        <v>90.0</v>
      </c>
      <c r="O28" s="22">
        <v>76.0</v>
      </c>
      <c r="P28" s="22">
        <v>372.0</v>
      </c>
    </row>
    <row r="29">
      <c r="A29" s="23"/>
      <c r="B29" s="23"/>
      <c r="C29" s="23"/>
      <c r="D29" s="11"/>
      <c r="E29" s="22">
        <v>0.642</v>
      </c>
      <c r="F29" s="22">
        <v>0.718</v>
      </c>
      <c r="G29" s="22">
        <v>0.725</v>
      </c>
      <c r="H29" s="22">
        <v>0.721</v>
      </c>
      <c r="I29" s="22">
        <v>0.684</v>
      </c>
      <c r="J29" s="22">
        <v>0.293</v>
      </c>
      <c r="K29" s="22">
        <v>0.8</v>
      </c>
      <c r="L29" s="22">
        <v>0.828</v>
      </c>
      <c r="M29" s="22">
        <v>78.0</v>
      </c>
      <c r="N29" s="22">
        <v>93.0</v>
      </c>
      <c r="O29" s="22">
        <v>77.0</v>
      </c>
      <c r="P29" s="22">
        <v>371.0</v>
      </c>
    </row>
    <row r="30">
      <c r="A30" s="23"/>
      <c r="B30" s="23"/>
      <c r="C30" s="23"/>
      <c r="D30" s="11"/>
      <c r="E30" s="22">
        <v>0.637</v>
      </c>
      <c r="F30" s="22">
        <v>0.713</v>
      </c>
      <c r="G30" s="22">
        <v>0.721</v>
      </c>
      <c r="H30" s="22">
        <v>0.716</v>
      </c>
      <c r="I30" s="22">
        <v>0.675</v>
      </c>
      <c r="J30" s="22">
        <v>0.282</v>
      </c>
      <c r="K30" s="22">
        <v>0.797</v>
      </c>
      <c r="L30" s="22">
        <v>0.824</v>
      </c>
      <c r="M30" s="22">
        <v>77.0</v>
      </c>
      <c r="N30" s="22">
        <v>94.0</v>
      </c>
      <c r="O30" s="22">
        <v>79.0</v>
      </c>
      <c r="P30" s="22">
        <v>369.0</v>
      </c>
    </row>
    <row r="31">
      <c r="A31" s="23"/>
      <c r="B31" s="23"/>
      <c r="C31" s="23"/>
      <c r="D31" s="11"/>
      <c r="E31" s="22">
        <v>0.64</v>
      </c>
      <c r="F31" s="22">
        <v>0.715</v>
      </c>
      <c r="G31" s="22">
        <v>0.722</v>
      </c>
      <c r="H31" s="22">
        <v>0.718</v>
      </c>
      <c r="I31" s="22">
        <v>0.684</v>
      </c>
      <c r="J31" s="22">
        <v>0.288</v>
      </c>
      <c r="K31" s="22">
        <v>0.799</v>
      </c>
      <c r="L31" s="22">
        <v>0.824</v>
      </c>
      <c r="M31" s="22">
        <v>78.0</v>
      </c>
      <c r="N31" s="22">
        <v>93.0</v>
      </c>
      <c r="O31" s="22">
        <v>79.0</v>
      </c>
      <c r="P31" s="22">
        <v>369.0</v>
      </c>
    </row>
    <row r="32">
      <c r="A32" s="23"/>
      <c r="B32" s="23"/>
      <c r="C32" s="23"/>
      <c r="D32" s="11"/>
      <c r="E32" s="22">
        <v>0.637</v>
      </c>
      <c r="F32" s="22">
        <v>0.715</v>
      </c>
      <c r="G32" s="22">
        <v>0.725</v>
      </c>
      <c r="H32" s="22">
        <v>0.719</v>
      </c>
      <c r="I32" s="22">
        <v>0.679</v>
      </c>
      <c r="J32" s="22">
        <v>0.286</v>
      </c>
      <c r="K32" s="22">
        <v>0.796</v>
      </c>
      <c r="L32" s="22">
        <v>0.835</v>
      </c>
      <c r="M32" s="22">
        <v>75.0</v>
      </c>
      <c r="N32" s="22">
        <v>96.0</v>
      </c>
      <c r="O32" s="22">
        <v>74.0</v>
      </c>
      <c r="P32" s="22">
        <v>374.0</v>
      </c>
    </row>
    <row r="33">
      <c r="A33" s="23"/>
      <c r="B33" s="23"/>
      <c r="C33" s="23"/>
      <c r="D33" s="11"/>
      <c r="E33" s="22">
        <v>0.642</v>
      </c>
      <c r="F33" s="22">
        <v>0.716</v>
      </c>
      <c r="G33" s="22">
        <v>0.722</v>
      </c>
      <c r="H33" s="22">
        <v>0.719</v>
      </c>
      <c r="I33" s="22">
        <v>0.686</v>
      </c>
      <c r="J33" s="22">
        <v>0.29</v>
      </c>
      <c r="K33" s="22">
        <v>0.8</v>
      </c>
      <c r="L33" s="22">
        <v>0.821</v>
      </c>
      <c r="M33" s="22">
        <v>79.0</v>
      </c>
      <c r="N33" s="22">
        <v>92.0</v>
      </c>
      <c r="O33" s="22">
        <v>80.0</v>
      </c>
      <c r="P33" s="22">
        <v>368.0</v>
      </c>
    </row>
    <row r="34">
      <c r="A34" s="23"/>
      <c r="B34" s="23"/>
      <c r="C34" s="23"/>
      <c r="D34" s="71" t="s">
        <v>23</v>
      </c>
      <c r="E34" s="22">
        <v>0.642</v>
      </c>
      <c r="F34" s="22">
        <v>0.718</v>
      </c>
      <c r="G34" s="22">
        <v>0.725</v>
      </c>
      <c r="H34" s="22">
        <v>0.721</v>
      </c>
      <c r="I34" s="22">
        <v>0.684</v>
      </c>
      <c r="J34" s="22">
        <v>0.293</v>
      </c>
      <c r="K34" s="22">
        <v>0.8</v>
      </c>
      <c r="L34" s="22">
        <v>0.828</v>
      </c>
      <c r="M34" s="22">
        <v>78.0</v>
      </c>
      <c r="N34" s="22">
        <v>93.0</v>
      </c>
      <c r="O34" s="22">
        <v>77.0</v>
      </c>
      <c r="P34" s="22">
        <v>371.0</v>
      </c>
    </row>
    <row r="35">
      <c r="A35" s="72"/>
      <c r="B35" s="72"/>
      <c r="C35" s="72"/>
      <c r="D35" s="73" t="s">
        <v>232</v>
      </c>
      <c r="E35" s="22">
        <v>0.007</v>
      </c>
      <c r="F35" s="22">
        <v>0.005</v>
      </c>
      <c r="G35" s="22">
        <v>0.006</v>
      </c>
      <c r="H35" s="22">
        <v>0.005</v>
      </c>
      <c r="I35" s="22">
        <v>0.008</v>
      </c>
      <c r="J35" s="22">
        <v>0.013</v>
      </c>
      <c r="K35" s="22">
        <v>0.004</v>
      </c>
      <c r="L35" s="22">
        <v>0.007</v>
      </c>
      <c r="M35" s="22">
        <v>2.251</v>
      </c>
      <c r="N35" s="22">
        <v>2.251</v>
      </c>
      <c r="O35" s="22">
        <v>3.256</v>
      </c>
      <c r="P35" s="22">
        <v>3.256</v>
      </c>
    </row>
    <row r="36">
      <c r="A36" s="74"/>
      <c r="B36" s="17"/>
      <c r="C36" s="17"/>
      <c r="D36" s="75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18"/>
      <c r="P36" s="76"/>
    </row>
    <row r="37">
      <c r="A37" s="77" t="s">
        <v>233</v>
      </c>
      <c r="B37" s="78" t="s">
        <v>231</v>
      </c>
      <c r="C37" s="78" t="s">
        <v>19</v>
      </c>
      <c r="D37" s="79"/>
      <c r="E37" s="32">
        <v>0.634</v>
      </c>
      <c r="F37" s="32">
        <v>0.711</v>
      </c>
      <c r="G37" s="32">
        <v>0.719</v>
      </c>
      <c r="H37" s="32">
        <v>0.714</v>
      </c>
      <c r="I37" s="32">
        <v>0.674</v>
      </c>
      <c r="J37" s="32">
        <v>0.277</v>
      </c>
      <c r="K37" s="32">
        <v>0.795</v>
      </c>
      <c r="L37" s="32">
        <v>0.824</v>
      </c>
      <c r="M37" s="32">
        <v>76.0</v>
      </c>
      <c r="N37" s="32">
        <v>95.0</v>
      </c>
      <c r="O37" s="22">
        <v>79.0</v>
      </c>
      <c r="P37" s="32">
        <v>369.0</v>
      </c>
    </row>
    <row r="38">
      <c r="A38" s="23"/>
      <c r="B38" s="23"/>
      <c r="C38" s="23"/>
      <c r="D38" s="69"/>
      <c r="E38" s="22">
        <v>0.624</v>
      </c>
      <c r="F38" s="32">
        <v>0.703</v>
      </c>
      <c r="G38" s="22">
        <v>0.712</v>
      </c>
      <c r="H38" s="22">
        <v>0.707</v>
      </c>
      <c r="I38" s="22">
        <v>0.668</v>
      </c>
      <c r="J38" s="22">
        <v>0.257</v>
      </c>
      <c r="K38" s="22">
        <v>0.79</v>
      </c>
      <c r="L38" s="32">
        <v>0.821</v>
      </c>
      <c r="M38" s="22">
        <v>73.0</v>
      </c>
      <c r="N38" s="22">
        <v>98.0</v>
      </c>
      <c r="O38" s="22">
        <v>80.0</v>
      </c>
      <c r="P38" s="22">
        <v>368.0</v>
      </c>
    </row>
    <row r="39">
      <c r="A39" s="23"/>
      <c r="B39" s="23"/>
      <c r="C39" s="23"/>
      <c r="D39" s="70"/>
      <c r="E39" s="22">
        <v>0.639</v>
      </c>
      <c r="F39" s="22">
        <v>0.716</v>
      </c>
      <c r="G39" s="22">
        <v>0.725</v>
      </c>
      <c r="H39" s="22">
        <v>0.72</v>
      </c>
      <c r="I39" s="22">
        <v>0.679</v>
      </c>
      <c r="J39" s="22">
        <v>0.288</v>
      </c>
      <c r="K39" s="22">
        <v>0.797</v>
      </c>
      <c r="L39" s="22">
        <v>0.833</v>
      </c>
      <c r="M39" s="22">
        <v>76.0</v>
      </c>
      <c r="N39" s="22">
        <v>95.0</v>
      </c>
      <c r="O39" s="22">
        <v>75.0</v>
      </c>
      <c r="P39" s="22">
        <v>373.0</v>
      </c>
    </row>
    <row r="40">
      <c r="A40" s="23"/>
      <c r="B40" s="23"/>
      <c r="C40" s="23"/>
      <c r="D40" s="70"/>
      <c r="E40" s="22">
        <v>0.644</v>
      </c>
      <c r="F40" s="22">
        <v>0.72</v>
      </c>
      <c r="G40" s="22">
        <v>0.729</v>
      </c>
      <c r="H40" s="22">
        <v>0.724</v>
      </c>
      <c r="I40" s="22">
        <v>0.663</v>
      </c>
      <c r="J40" s="22">
        <v>0.299</v>
      </c>
      <c r="K40" s="22">
        <v>0.8</v>
      </c>
      <c r="L40" s="22">
        <v>0.833</v>
      </c>
      <c r="M40" s="22">
        <v>78.0</v>
      </c>
      <c r="N40" s="22">
        <v>93.0</v>
      </c>
      <c r="O40" s="22">
        <v>75.0</v>
      </c>
      <c r="P40" s="22">
        <v>373.0</v>
      </c>
    </row>
    <row r="41">
      <c r="A41" s="23"/>
      <c r="B41" s="23"/>
      <c r="C41" s="23"/>
      <c r="D41" s="70"/>
      <c r="E41" s="22">
        <v>0.637</v>
      </c>
      <c r="F41" s="22">
        <v>0.715</v>
      </c>
      <c r="G41" s="22">
        <v>0.724</v>
      </c>
      <c r="H41" s="22">
        <v>0.718</v>
      </c>
      <c r="I41" s="22">
        <v>0.664</v>
      </c>
      <c r="J41" s="22">
        <v>0.285</v>
      </c>
      <c r="K41" s="22">
        <v>0.797</v>
      </c>
      <c r="L41" s="22">
        <v>0.83</v>
      </c>
      <c r="M41" s="22">
        <v>76.0</v>
      </c>
      <c r="N41" s="22">
        <v>95.0</v>
      </c>
      <c r="O41" s="22">
        <v>76.0</v>
      </c>
      <c r="P41" s="22">
        <v>372.0</v>
      </c>
    </row>
    <row r="42">
      <c r="A42" s="23"/>
      <c r="B42" s="23"/>
      <c r="C42" s="23"/>
      <c r="D42" s="70"/>
      <c r="E42" s="22">
        <v>0.636</v>
      </c>
      <c r="F42" s="22">
        <v>0.712</v>
      </c>
      <c r="G42" s="22">
        <v>0.719</v>
      </c>
      <c r="H42" s="22">
        <v>0.715</v>
      </c>
      <c r="I42" s="22">
        <v>0.671</v>
      </c>
      <c r="J42" s="22">
        <v>0.279</v>
      </c>
      <c r="K42" s="22">
        <v>0.797</v>
      </c>
      <c r="L42" s="22">
        <v>0.821</v>
      </c>
      <c r="M42" s="22">
        <v>77.0</v>
      </c>
      <c r="N42" s="22">
        <v>94.0</v>
      </c>
      <c r="O42" s="22">
        <v>80.0</v>
      </c>
      <c r="P42" s="22">
        <v>368.0</v>
      </c>
    </row>
    <row r="43">
      <c r="A43" s="23"/>
      <c r="B43" s="23"/>
      <c r="C43" s="23"/>
      <c r="D43" s="70"/>
      <c r="E43" s="22">
        <v>0.633</v>
      </c>
      <c r="F43" s="22">
        <v>0.711</v>
      </c>
      <c r="G43" s="22">
        <v>0.721</v>
      </c>
      <c r="H43" s="22">
        <v>0.715</v>
      </c>
      <c r="I43" s="22">
        <v>0.671</v>
      </c>
      <c r="J43" s="22">
        <v>0.277</v>
      </c>
      <c r="K43" s="22">
        <v>0.794</v>
      </c>
      <c r="L43" s="22">
        <v>0.828</v>
      </c>
      <c r="M43" s="22">
        <v>75.0</v>
      </c>
      <c r="N43" s="22">
        <v>96.0</v>
      </c>
      <c r="O43" s="22">
        <v>77.0</v>
      </c>
      <c r="P43" s="22">
        <v>371.0</v>
      </c>
    </row>
    <row r="44">
      <c r="A44" s="23"/>
      <c r="B44" s="23"/>
      <c r="C44" s="23"/>
      <c r="D44" s="70"/>
      <c r="E44" s="80">
        <v>0.647</v>
      </c>
      <c r="F44" s="80">
        <v>0.723</v>
      </c>
      <c r="G44" s="80">
        <v>0.732</v>
      </c>
      <c r="H44" s="80">
        <v>0.726</v>
      </c>
      <c r="I44" s="80">
        <v>0.679</v>
      </c>
      <c r="J44" s="80">
        <v>0.305</v>
      </c>
      <c r="K44" s="80">
        <v>0.801</v>
      </c>
      <c r="L44" s="80">
        <v>0.837</v>
      </c>
      <c r="M44" s="80">
        <v>78.0</v>
      </c>
      <c r="N44" s="80">
        <v>93.0</v>
      </c>
      <c r="O44" s="80">
        <v>73.0</v>
      </c>
      <c r="P44" s="80">
        <v>375.0</v>
      </c>
    </row>
    <row r="45">
      <c r="A45" s="23"/>
      <c r="B45" s="23"/>
      <c r="C45" s="23"/>
      <c r="D45" s="70"/>
      <c r="E45" s="22">
        <v>0.632</v>
      </c>
      <c r="F45" s="22">
        <v>0.71</v>
      </c>
      <c r="G45" s="22">
        <v>0.721</v>
      </c>
      <c r="H45" s="22">
        <v>0.715</v>
      </c>
      <c r="I45" s="22">
        <v>0.66</v>
      </c>
      <c r="J45" s="22">
        <v>0.275</v>
      </c>
      <c r="K45" s="22">
        <v>0.793</v>
      </c>
      <c r="L45" s="22">
        <v>0.83</v>
      </c>
      <c r="M45" s="22">
        <v>74.0</v>
      </c>
      <c r="N45" s="22">
        <v>97.0</v>
      </c>
      <c r="O45" s="22">
        <v>76.0</v>
      </c>
      <c r="P45" s="22">
        <v>372.0</v>
      </c>
    </row>
    <row r="46">
      <c r="A46" s="23"/>
      <c r="B46" s="23"/>
      <c r="C46" s="23"/>
      <c r="D46" s="70"/>
      <c r="E46" s="22">
        <v>0.634</v>
      </c>
      <c r="F46" s="22">
        <v>0.711</v>
      </c>
      <c r="G46" s="22">
        <v>0.719</v>
      </c>
      <c r="H46" s="22">
        <v>0.714</v>
      </c>
      <c r="I46" s="22">
        <v>0.669</v>
      </c>
      <c r="J46" s="22">
        <v>0.277</v>
      </c>
      <c r="K46" s="22">
        <v>0.795</v>
      </c>
      <c r="L46" s="22">
        <v>0.824</v>
      </c>
      <c r="M46" s="22">
        <v>76.0</v>
      </c>
      <c r="N46" s="22">
        <v>95.0</v>
      </c>
      <c r="O46" s="22">
        <v>79.0</v>
      </c>
      <c r="P46" s="22">
        <v>369.0</v>
      </c>
    </row>
    <row r="47">
      <c r="A47" s="23"/>
      <c r="B47" s="23"/>
      <c r="C47" s="23"/>
      <c r="D47" s="11"/>
      <c r="E47" s="22">
        <v>0.641</v>
      </c>
      <c r="F47" s="22">
        <v>0.718</v>
      </c>
      <c r="G47" s="22">
        <v>0.727</v>
      </c>
      <c r="H47" s="22">
        <v>0.722</v>
      </c>
      <c r="I47" s="22">
        <v>0.677</v>
      </c>
      <c r="J47" s="22">
        <v>0.294</v>
      </c>
      <c r="K47" s="22">
        <v>0.799</v>
      </c>
      <c r="L47" s="22">
        <v>0.833</v>
      </c>
      <c r="M47" s="22">
        <v>77.0</v>
      </c>
      <c r="N47" s="22">
        <v>94.0</v>
      </c>
      <c r="O47" s="22">
        <v>75.0</v>
      </c>
      <c r="P47" s="22">
        <v>373.0</v>
      </c>
    </row>
    <row r="48">
      <c r="A48" s="23"/>
      <c r="B48" s="23"/>
      <c r="C48" s="23"/>
      <c r="D48" s="11"/>
      <c r="E48" s="22">
        <v>0.644</v>
      </c>
      <c r="F48" s="22">
        <v>0.72</v>
      </c>
      <c r="G48" s="22">
        <v>0.73</v>
      </c>
      <c r="H48" s="22">
        <v>0.724</v>
      </c>
      <c r="I48" s="22">
        <v>0.682</v>
      </c>
      <c r="J48" s="22">
        <v>0.3</v>
      </c>
      <c r="K48" s="22">
        <v>0.8</v>
      </c>
      <c r="L48" s="22">
        <v>0.837</v>
      </c>
      <c r="M48" s="22">
        <v>77.0</v>
      </c>
      <c r="N48" s="22">
        <v>94.0</v>
      </c>
      <c r="O48" s="22">
        <v>73.0</v>
      </c>
      <c r="P48" s="22">
        <v>375.0</v>
      </c>
    </row>
    <row r="49">
      <c r="A49" s="23"/>
      <c r="B49" s="23"/>
      <c r="C49" s="23"/>
      <c r="D49" s="11"/>
      <c r="E49" s="22">
        <v>0.632</v>
      </c>
      <c r="F49" s="22">
        <v>0.71</v>
      </c>
      <c r="G49" s="22">
        <v>0.719</v>
      </c>
      <c r="H49" s="22">
        <v>0.714</v>
      </c>
      <c r="I49" s="22">
        <v>0.66</v>
      </c>
      <c r="J49" s="22">
        <v>0.274</v>
      </c>
      <c r="K49" s="22">
        <v>0.794</v>
      </c>
      <c r="L49" s="22">
        <v>0.826</v>
      </c>
      <c r="M49" s="22">
        <v>75.0</v>
      </c>
      <c r="N49" s="22">
        <v>96.0</v>
      </c>
      <c r="O49" s="22">
        <v>78.0</v>
      </c>
      <c r="P49" s="22">
        <v>370.0</v>
      </c>
    </row>
    <row r="50">
      <c r="A50" s="23"/>
      <c r="B50" s="23"/>
      <c r="C50" s="23"/>
      <c r="D50" s="11"/>
      <c r="E50" s="22">
        <v>0.639</v>
      </c>
      <c r="F50" s="22">
        <v>0.716</v>
      </c>
      <c r="G50" s="22">
        <v>0.725</v>
      </c>
      <c r="H50" s="22">
        <v>0.72</v>
      </c>
      <c r="I50" s="22">
        <v>0.675</v>
      </c>
      <c r="J50" s="22">
        <v>0.288</v>
      </c>
      <c r="K50" s="22">
        <v>0.797</v>
      </c>
      <c r="L50" s="22">
        <v>0.833</v>
      </c>
      <c r="M50" s="22">
        <v>76.0</v>
      </c>
      <c r="N50" s="22">
        <v>95.0</v>
      </c>
      <c r="O50" s="22">
        <v>75.0</v>
      </c>
      <c r="P50" s="22">
        <v>373.0</v>
      </c>
    </row>
    <row r="51">
      <c r="A51" s="23"/>
      <c r="B51" s="23"/>
      <c r="C51" s="23"/>
      <c r="D51" s="11"/>
      <c r="E51" s="22">
        <v>0.645</v>
      </c>
      <c r="F51" s="22">
        <v>0.722</v>
      </c>
      <c r="G51" s="80">
        <v>0.732</v>
      </c>
      <c r="H51" s="80">
        <v>0.726</v>
      </c>
      <c r="I51" s="22">
        <v>0.674</v>
      </c>
      <c r="J51" s="22">
        <v>0.303</v>
      </c>
      <c r="K51" s="22">
        <v>0.8</v>
      </c>
      <c r="L51" s="80">
        <v>0.839</v>
      </c>
      <c r="M51" s="22">
        <v>77.0</v>
      </c>
      <c r="N51" s="22">
        <v>94.0</v>
      </c>
      <c r="O51" s="22">
        <v>72.0</v>
      </c>
      <c r="P51" s="22">
        <v>376.0</v>
      </c>
    </row>
    <row r="52">
      <c r="A52" s="23"/>
      <c r="B52" s="23"/>
      <c r="C52" s="23"/>
      <c r="D52" s="11"/>
      <c r="E52" s="22">
        <v>0.633</v>
      </c>
      <c r="F52" s="22">
        <v>0.712</v>
      </c>
      <c r="G52" s="22">
        <v>0.722</v>
      </c>
      <c r="H52" s="22">
        <v>0.716</v>
      </c>
      <c r="I52" s="22">
        <v>0.665</v>
      </c>
      <c r="J52" s="22">
        <v>0.278</v>
      </c>
      <c r="K52" s="22">
        <v>0.794</v>
      </c>
      <c r="L52" s="22">
        <v>0.833</v>
      </c>
      <c r="M52" s="22">
        <v>74.0</v>
      </c>
      <c r="N52" s="22">
        <v>97.0</v>
      </c>
      <c r="O52" s="22">
        <v>75.0</v>
      </c>
      <c r="P52" s="22">
        <v>373.0</v>
      </c>
    </row>
    <row r="53">
      <c r="A53" s="23"/>
      <c r="B53" s="23"/>
      <c r="C53" s="23"/>
      <c r="D53" s="11"/>
      <c r="E53" s="22">
        <v>0.64</v>
      </c>
      <c r="F53" s="22">
        <v>0.717</v>
      </c>
      <c r="G53" s="22">
        <v>0.727</v>
      </c>
      <c r="H53" s="22">
        <v>0.721</v>
      </c>
      <c r="I53" s="22">
        <v>0.678</v>
      </c>
      <c r="J53" s="22">
        <v>0.291</v>
      </c>
      <c r="K53" s="22">
        <v>0.797</v>
      </c>
      <c r="L53" s="22">
        <v>0.835</v>
      </c>
      <c r="M53" s="22">
        <v>76.0</v>
      </c>
      <c r="N53" s="22">
        <v>95.0</v>
      </c>
      <c r="O53" s="22">
        <v>74.0</v>
      </c>
      <c r="P53" s="22">
        <v>374.0</v>
      </c>
    </row>
    <row r="54">
      <c r="A54" s="23"/>
      <c r="B54" s="23"/>
      <c r="C54" s="23"/>
      <c r="D54" s="11"/>
      <c r="E54" s="22">
        <v>0.634</v>
      </c>
      <c r="F54" s="22">
        <v>0.712</v>
      </c>
      <c r="G54" s="22">
        <v>0.722</v>
      </c>
      <c r="H54" s="22">
        <v>0.717</v>
      </c>
      <c r="I54" s="22">
        <v>0.67</v>
      </c>
      <c r="J54" s="22">
        <v>0.28</v>
      </c>
      <c r="K54" s="22">
        <v>0.795</v>
      </c>
      <c r="L54" s="22">
        <v>0.83</v>
      </c>
      <c r="M54" s="22">
        <v>75.0</v>
      </c>
      <c r="N54" s="22">
        <v>96.0</v>
      </c>
      <c r="O54" s="22">
        <v>76.0</v>
      </c>
      <c r="P54" s="22">
        <v>372.0</v>
      </c>
    </row>
    <row r="55">
      <c r="A55" s="23"/>
      <c r="B55" s="23"/>
      <c r="C55" s="23"/>
      <c r="D55" s="11"/>
      <c r="E55" s="22">
        <v>0.637</v>
      </c>
      <c r="F55" s="22">
        <v>0.715</v>
      </c>
      <c r="G55" s="22">
        <v>0.725</v>
      </c>
      <c r="H55" s="22">
        <v>0.719</v>
      </c>
      <c r="I55" s="22">
        <v>0.668</v>
      </c>
      <c r="J55" s="22">
        <v>0.286</v>
      </c>
      <c r="K55" s="22">
        <v>0.796</v>
      </c>
      <c r="L55" s="22">
        <v>0.835</v>
      </c>
      <c r="M55" s="22">
        <v>75.0</v>
      </c>
      <c r="N55" s="22">
        <v>96.0</v>
      </c>
      <c r="O55" s="22">
        <v>74.0</v>
      </c>
      <c r="P55" s="22">
        <v>374.0</v>
      </c>
    </row>
    <row r="56">
      <c r="A56" s="23"/>
      <c r="B56" s="23"/>
      <c r="C56" s="23"/>
      <c r="D56" s="11"/>
      <c r="E56" s="22">
        <v>0.642</v>
      </c>
      <c r="F56" s="22">
        <v>0.718</v>
      </c>
      <c r="G56" s="22">
        <v>0.725</v>
      </c>
      <c r="H56" s="22">
        <v>0.721</v>
      </c>
      <c r="I56" s="22">
        <v>0.657</v>
      </c>
      <c r="J56" s="22">
        <v>0.293</v>
      </c>
      <c r="K56" s="22">
        <v>0.8</v>
      </c>
      <c r="L56" s="22">
        <v>0.828</v>
      </c>
      <c r="M56" s="22">
        <v>78.0</v>
      </c>
      <c r="N56" s="22">
        <v>93.0</v>
      </c>
      <c r="O56" s="22">
        <v>77.0</v>
      </c>
      <c r="P56" s="22">
        <v>371.0</v>
      </c>
    </row>
    <row r="57">
      <c r="A57" s="23"/>
      <c r="B57" s="23"/>
      <c r="C57" s="23"/>
      <c r="D57" s="11"/>
      <c r="E57" s="22">
        <v>0.637</v>
      </c>
      <c r="F57" s="22">
        <v>0.71</v>
      </c>
      <c r="G57" s="22">
        <v>0.712</v>
      </c>
      <c r="H57" s="22">
        <v>0.711</v>
      </c>
      <c r="I57" s="22">
        <v>0.637</v>
      </c>
      <c r="J57" s="22">
        <v>0.276</v>
      </c>
      <c r="K57" s="22">
        <v>0.799</v>
      </c>
      <c r="L57" s="22">
        <v>0.806</v>
      </c>
      <c r="M57" s="22">
        <v>80.0</v>
      </c>
      <c r="N57" s="22">
        <v>91.0</v>
      </c>
      <c r="O57" s="22">
        <v>87.0</v>
      </c>
      <c r="P57" s="22">
        <v>361.0</v>
      </c>
    </row>
    <row r="58">
      <c r="A58" s="23"/>
      <c r="B58" s="23"/>
      <c r="C58" s="23"/>
      <c r="D58" s="11"/>
      <c r="E58" s="22">
        <v>0.641</v>
      </c>
      <c r="F58" s="22">
        <v>0.718</v>
      </c>
      <c r="G58" s="22">
        <v>0.727</v>
      </c>
      <c r="H58" s="22">
        <v>0.722</v>
      </c>
      <c r="I58" s="22">
        <v>0.67</v>
      </c>
      <c r="J58" s="22">
        <v>0.294</v>
      </c>
      <c r="K58" s="22">
        <v>0.799</v>
      </c>
      <c r="L58" s="22">
        <v>0.833</v>
      </c>
      <c r="M58" s="22">
        <v>77.0</v>
      </c>
      <c r="N58" s="22">
        <v>94.0</v>
      </c>
      <c r="O58" s="22">
        <v>75.0</v>
      </c>
      <c r="P58" s="22">
        <v>373.0</v>
      </c>
    </row>
    <row r="59">
      <c r="A59" s="23"/>
      <c r="B59" s="23"/>
      <c r="C59" s="23"/>
      <c r="D59" s="11"/>
      <c r="E59" s="22">
        <v>0.639</v>
      </c>
      <c r="F59" s="22">
        <v>0.716</v>
      </c>
      <c r="G59" s="22">
        <v>0.725</v>
      </c>
      <c r="H59" s="22">
        <v>0.72</v>
      </c>
      <c r="I59" s="22">
        <v>0.668</v>
      </c>
      <c r="J59" s="22">
        <v>0.288</v>
      </c>
      <c r="K59" s="22">
        <v>0.797</v>
      </c>
      <c r="L59" s="22">
        <v>0.833</v>
      </c>
      <c r="M59" s="22">
        <v>76.0</v>
      </c>
      <c r="N59" s="22">
        <v>95.0</v>
      </c>
      <c r="O59" s="22">
        <v>75.0</v>
      </c>
      <c r="P59" s="22">
        <v>373.0</v>
      </c>
    </row>
    <row r="60">
      <c r="A60" s="23"/>
      <c r="B60" s="23"/>
      <c r="C60" s="23"/>
      <c r="D60" s="11"/>
      <c r="E60" s="22">
        <v>0.633</v>
      </c>
      <c r="F60" s="22">
        <v>0.713</v>
      </c>
      <c r="G60" s="22">
        <v>0.725</v>
      </c>
      <c r="H60" s="22">
        <v>0.718</v>
      </c>
      <c r="I60" s="22">
        <v>0.67</v>
      </c>
      <c r="J60" s="22">
        <v>0.281</v>
      </c>
      <c r="K60" s="22">
        <v>0.793</v>
      </c>
      <c r="L60" s="22">
        <v>0.839</v>
      </c>
      <c r="M60" s="22">
        <v>73.0</v>
      </c>
      <c r="N60" s="22">
        <v>98.0</v>
      </c>
      <c r="O60" s="22">
        <v>72.0</v>
      </c>
      <c r="P60" s="22">
        <v>376.0</v>
      </c>
    </row>
    <row r="61">
      <c r="A61" s="23"/>
      <c r="B61" s="23"/>
      <c r="C61" s="23"/>
      <c r="D61" s="11"/>
      <c r="E61" s="22">
        <v>0.64</v>
      </c>
      <c r="F61" s="22">
        <v>0.717</v>
      </c>
      <c r="G61" s="22">
        <v>0.725</v>
      </c>
      <c r="H61" s="22">
        <v>0.72</v>
      </c>
      <c r="I61" s="22">
        <v>0.67</v>
      </c>
      <c r="J61" s="22">
        <v>0.291</v>
      </c>
      <c r="K61" s="22">
        <v>0.798</v>
      </c>
      <c r="L61" s="22">
        <v>0.83</v>
      </c>
      <c r="M61" s="22">
        <v>77.0</v>
      </c>
      <c r="N61" s="22">
        <v>94.0</v>
      </c>
      <c r="O61" s="22">
        <v>76.0</v>
      </c>
      <c r="P61" s="22">
        <v>372.0</v>
      </c>
    </row>
    <row r="62">
      <c r="A62" s="23"/>
      <c r="B62" s="23"/>
      <c r="C62" s="23"/>
      <c r="D62" s="11"/>
      <c r="E62" s="22">
        <v>0.639</v>
      </c>
      <c r="F62" s="22">
        <v>0.716</v>
      </c>
      <c r="G62" s="22">
        <v>0.724</v>
      </c>
      <c r="H62" s="22">
        <v>0.719</v>
      </c>
      <c r="I62" s="22">
        <v>0.668</v>
      </c>
      <c r="J62" s="22">
        <v>0.288</v>
      </c>
      <c r="K62" s="22">
        <v>0.798</v>
      </c>
      <c r="L62" s="22">
        <v>0.828</v>
      </c>
      <c r="M62" s="22">
        <v>77.0</v>
      </c>
      <c r="N62" s="22">
        <v>94.0</v>
      </c>
      <c r="O62" s="22">
        <v>77.0</v>
      </c>
      <c r="P62" s="22">
        <v>371.0</v>
      </c>
    </row>
    <row r="63">
      <c r="A63" s="23"/>
      <c r="B63" s="23"/>
      <c r="C63" s="23"/>
      <c r="D63" s="11"/>
      <c r="E63" s="22">
        <v>0.631</v>
      </c>
      <c r="F63" s="22">
        <v>0.709</v>
      </c>
      <c r="G63" s="22">
        <v>0.717</v>
      </c>
      <c r="H63" s="22">
        <v>0.713</v>
      </c>
      <c r="I63" s="22">
        <v>0.664</v>
      </c>
      <c r="J63" s="22">
        <v>0.271</v>
      </c>
      <c r="K63" s="22">
        <v>0.794</v>
      </c>
      <c r="L63" s="22">
        <v>0.824</v>
      </c>
      <c r="M63" s="22">
        <v>75.0</v>
      </c>
      <c r="N63" s="22">
        <v>96.0</v>
      </c>
      <c r="O63" s="22">
        <v>79.0</v>
      </c>
      <c r="P63" s="22">
        <v>369.0</v>
      </c>
    </row>
    <row r="64">
      <c r="A64" s="23"/>
      <c r="B64" s="23"/>
      <c r="C64" s="23"/>
      <c r="D64" s="11"/>
      <c r="E64" s="22">
        <v>0.627</v>
      </c>
      <c r="F64" s="22">
        <v>0.706</v>
      </c>
      <c r="G64" s="22">
        <v>0.714</v>
      </c>
      <c r="H64" s="22">
        <v>0.709</v>
      </c>
      <c r="I64" s="22">
        <v>0.672</v>
      </c>
      <c r="J64" s="22">
        <v>0.263</v>
      </c>
      <c r="K64" s="22">
        <v>0.791</v>
      </c>
      <c r="L64" s="22">
        <v>0.821</v>
      </c>
      <c r="M64" s="22">
        <v>74.0</v>
      </c>
      <c r="N64" s="22">
        <v>97.0</v>
      </c>
      <c r="O64" s="22">
        <v>80.0</v>
      </c>
      <c r="P64" s="22">
        <v>368.0</v>
      </c>
    </row>
    <row r="65">
      <c r="A65" s="23"/>
      <c r="B65" s="23"/>
      <c r="C65" s="23"/>
      <c r="D65" s="11"/>
      <c r="E65" s="22">
        <v>0.635</v>
      </c>
      <c r="F65" s="22">
        <v>0.712</v>
      </c>
      <c r="G65" s="22">
        <v>0.721</v>
      </c>
      <c r="H65" s="22">
        <v>0.716</v>
      </c>
      <c r="I65" s="22">
        <v>0.648</v>
      </c>
      <c r="J65" s="22">
        <v>0.28</v>
      </c>
      <c r="K65" s="22">
        <v>0.796</v>
      </c>
      <c r="L65" s="22">
        <v>0.826</v>
      </c>
      <c r="M65" s="22">
        <v>76.0</v>
      </c>
      <c r="N65" s="22">
        <v>95.0</v>
      </c>
      <c r="O65" s="22">
        <v>78.0</v>
      </c>
      <c r="P65" s="22">
        <v>370.0</v>
      </c>
    </row>
    <row r="66">
      <c r="A66" s="23"/>
      <c r="B66" s="23"/>
      <c r="C66" s="23"/>
      <c r="D66" s="11"/>
      <c r="E66" s="22">
        <v>0.634</v>
      </c>
      <c r="F66" s="22">
        <v>0.708</v>
      </c>
      <c r="G66" s="22">
        <v>0.711</v>
      </c>
      <c r="H66" s="22">
        <v>0.709</v>
      </c>
      <c r="I66" s="22">
        <v>0.638</v>
      </c>
      <c r="J66" s="22">
        <v>0.27</v>
      </c>
      <c r="K66" s="22">
        <v>0.797</v>
      </c>
      <c r="L66" s="22">
        <v>0.806</v>
      </c>
      <c r="M66" s="22">
        <v>79.0</v>
      </c>
      <c r="N66" s="22">
        <v>92.0</v>
      </c>
      <c r="O66" s="22">
        <v>87.0</v>
      </c>
      <c r="P66" s="22">
        <v>361.0</v>
      </c>
    </row>
    <row r="67">
      <c r="A67" s="23"/>
      <c r="B67" s="23"/>
      <c r="C67" s="23"/>
      <c r="D67" s="71" t="s">
        <v>23</v>
      </c>
      <c r="E67" s="22">
        <v>0.637</v>
      </c>
      <c r="F67" s="22">
        <v>0.714</v>
      </c>
      <c r="G67" s="22">
        <v>0.723</v>
      </c>
      <c r="H67" s="22">
        <v>0.718</v>
      </c>
      <c r="I67" s="22">
        <v>0.667</v>
      </c>
      <c r="J67" s="22">
        <v>0.284</v>
      </c>
      <c r="K67" s="22">
        <v>0.796</v>
      </c>
      <c r="L67" s="22">
        <v>0.828</v>
      </c>
      <c r="M67" s="22">
        <v>76.1</v>
      </c>
      <c r="N67" s="22">
        <v>94.9</v>
      </c>
      <c r="O67" s="22">
        <v>76.833</v>
      </c>
      <c r="P67" s="22">
        <v>371.167</v>
      </c>
    </row>
    <row r="68">
      <c r="A68" s="72"/>
      <c r="B68" s="72"/>
      <c r="C68" s="72"/>
      <c r="D68" s="73" t="s">
        <v>232</v>
      </c>
      <c r="E68" s="22">
        <v>0.005</v>
      </c>
      <c r="F68" s="22">
        <v>0.005</v>
      </c>
      <c r="G68" s="22">
        <v>0.005</v>
      </c>
      <c r="H68" s="22">
        <v>0.005</v>
      </c>
      <c r="I68" s="22">
        <v>0.011</v>
      </c>
      <c r="J68" s="22">
        <v>0.011</v>
      </c>
      <c r="K68" s="22">
        <v>0.003</v>
      </c>
      <c r="L68" s="22">
        <v>0.008</v>
      </c>
      <c r="M68" s="22">
        <v>1.62</v>
      </c>
      <c r="N68" s="22">
        <v>1.62</v>
      </c>
      <c r="O68" s="22">
        <v>3.522</v>
      </c>
      <c r="P68" s="22">
        <v>3.522</v>
      </c>
    </row>
    <row r="70">
      <c r="A70" s="77" t="s">
        <v>234</v>
      </c>
      <c r="B70" s="78" t="s">
        <v>231</v>
      </c>
      <c r="C70" s="78" t="s">
        <v>48</v>
      </c>
      <c r="D70" s="79"/>
      <c r="E70" s="32">
        <v>0.614</v>
      </c>
      <c r="F70" s="32">
        <v>0.706</v>
      </c>
      <c r="G70" s="32">
        <v>0.729</v>
      </c>
      <c r="H70" s="32">
        <v>0.712</v>
      </c>
      <c r="I70" s="32">
        <v>0.728</v>
      </c>
      <c r="J70" s="32">
        <v>0.258</v>
      </c>
      <c r="K70" s="32">
        <v>0.78</v>
      </c>
      <c r="L70" s="32">
        <v>0.871</v>
      </c>
      <c r="M70" s="32">
        <v>61.0</v>
      </c>
      <c r="N70" s="32">
        <v>110.0</v>
      </c>
      <c r="O70" s="22">
        <v>58.0</v>
      </c>
      <c r="P70" s="32">
        <v>390.0</v>
      </c>
    </row>
    <row r="71">
      <c r="A71" s="23"/>
      <c r="B71" s="23"/>
      <c r="C71" s="23"/>
      <c r="D71" s="69"/>
      <c r="E71" s="22">
        <v>0.616</v>
      </c>
      <c r="F71" s="32">
        <v>0.689</v>
      </c>
      <c r="G71" s="22">
        <v>0.672</v>
      </c>
      <c r="H71" s="22">
        <v>0.679</v>
      </c>
      <c r="I71" s="22">
        <v>0.673</v>
      </c>
      <c r="J71" s="22">
        <v>0.222</v>
      </c>
      <c r="K71" s="22">
        <v>0.792</v>
      </c>
      <c r="L71" s="32">
        <v>0.741</v>
      </c>
      <c r="M71" s="22">
        <v>84.0</v>
      </c>
      <c r="N71" s="22">
        <v>87.0</v>
      </c>
      <c r="O71" s="22">
        <v>116.0</v>
      </c>
      <c r="P71" s="22">
        <v>332.0</v>
      </c>
    </row>
    <row r="72">
      <c r="A72" s="23"/>
      <c r="B72" s="23"/>
      <c r="C72" s="23"/>
      <c r="D72" s="70"/>
      <c r="E72" s="22">
        <v>0.641</v>
      </c>
      <c r="F72" s="22">
        <v>0.718</v>
      </c>
      <c r="G72" s="22">
        <v>0.727</v>
      </c>
      <c r="H72" s="22">
        <v>0.722</v>
      </c>
      <c r="I72" s="22">
        <v>0.708</v>
      </c>
      <c r="J72" s="22">
        <v>0.294</v>
      </c>
      <c r="K72" s="22">
        <v>0.799</v>
      </c>
      <c r="L72" s="22">
        <v>0.833</v>
      </c>
      <c r="M72" s="22">
        <v>77.0</v>
      </c>
      <c r="N72" s="22">
        <v>94.0</v>
      </c>
      <c r="O72" s="22">
        <v>75.0</v>
      </c>
      <c r="P72" s="22">
        <v>373.0</v>
      </c>
    </row>
    <row r="73">
      <c r="A73" s="23"/>
      <c r="B73" s="23"/>
      <c r="C73" s="23"/>
      <c r="D73" s="70"/>
      <c r="E73" s="22">
        <v>0.624</v>
      </c>
      <c r="F73" s="22">
        <v>0.714</v>
      </c>
      <c r="G73" s="22">
        <v>0.733</v>
      </c>
      <c r="H73" s="22">
        <v>0.719</v>
      </c>
      <c r="I73" s="22">
        <v>0.707</v>
      </c>
      <c r="J73" s="22">
        <v>0.278</v>
      </c>
      <c r="K73" s="22">
        <v>0.786</v>
      </c>
      <c r="L73" s="22">
        <v>0.868</v>
      </c>
      <c r="M73" s="22">
        <v>65.0</v>
      </c>
      <c r="N73" s="22">
        <v>106.0</v>
      </c>
      <c r="O73" s="22">
        <v>59.0</v>
      </c>
      <c r="P73" s="22">
        <v>389.0</v>
      </c>
    </row>
    <row r="74">
      <c r="A74" s="23"/>
      <c r="B74" s="23"/>
      <c r="C74" s="23"/>
      <c r="D74" s="70"/>
      <c r="E74" s="22">
        <v>0.649</v>
      </c>
      <c r="F74" s="22">
        <v>0.732</v>
      </c>
      <c r="G74" s="22">
        <v>0.748</v>
      </c>
      <c r="H74" s="22">
        <v>0.737</v>
      </c>
      <c r="I74" s="22">
        <v>0.726</v>
      </c>
      <c r="J74" s="22">
        <v>0.326</v>
      </c>
      <c r="K74" s="22">
        <v>0.799</v>
      </c>
      <c r="L74" s="22">
        <v>0.871</v>
      </c>
      <c r="M74" s="22">
        <v>73.0</v>
      </c>
      <c r="N74" s="22">
        <v>98.0</v>
      </c>
      <c r="O74" s="22">
        <v>58.0</v>
      </c>
      <c r="P74" s="22">
        <v>390.0</v>
      </c>
    </row>
    <row r="75">
      <c r="A75" s="23"/>
      <c r="B75" s="23"/>
      <c r="C75" s="23"/>
      <c r="D75" s="70"/>
      <c r="E75" s="22">
        <v>0.632</v>
      </c>
      <c r="F75" s="22">
        <v>0.714</v>
      </c>
      <c r="G75" s="22">
        <v>0.729</v>
      </c>
      <c r="H75" s="22">
        <v>0.719</v>
      </c>
      <c r="I75" s="22">
        <v>0.721</v>
      </c>
      <c r="J75" s="22">
        <v>0.282</v>
      </c>
      <c r="K75" s="22">
        <v>0.792</v>
      </c>
      <c r="L75" s="22">
        <v>0.848</v>
      </c>
      <c r="M75" s="22">
        <v>71.0</v>
      </c>
      <c r="N75" s="22">
        <v>100.0</v>
      </c>
      <c r="O75" s="22">
        <v>68.0</v>
      </c>
      <c r="P75" s="22">
        <v>380.0</v>
      </c>
    </row>
    <row r="76">
      <c r="A76" s="23"/>
      <c r="B76" s="23"/>
      <c r="C76" s="23"/>
      <c r="D76" s="70"/>
      <c r="E76" s="22">
        <v>0.588</v>
      </c>
      <c r="F76" s="22">
        <v>0.73</v>
      </c>
      <c r="G76" s="22">
        <v>0.751</v>
      </c>
      <c r="H76" s="22">
        <v>0.704</v>
      </c>
      <c r="I76" s="22">
        <v>0.73</v>
      </c>
      <c r="J76" s="22">
        <v>0.267</v>
      </c>
      <c r="K76" s="22">
        <v>0.762</v>
      </c>
      <c r="L76" s="22">
        <v>0.953</v>
      </c>
      <c r="M76" s="22">
        <v>38.0</v>
      </c>
      <c r="N76" s="22">
        <v>133.0</v>
      </c>
      <c r="O76" s="22">
        <v>21.0</v>
      </c>
      <c r="P76" s="22">
        <v>427.0</v>
      </c>
    </row>
    <row r="77">
      <c r="A77" s="23"/>
      <c r="B77" s="23"/>
      <c r="C77" s="23"/>
      <c r="D77" s="70"/>
      <c r="E77" s="22">
        <v>0.607</v>
      </c>
      <c r="F77" s="22">
        <v>0.729</v>
      </c>
      <c r="G77" s="22">
        <v>0.753</v>
      </c>
      <c r="H77" s="22">
        <v>0.718</v>
      </c>
      <c r="I77" s="22">
        <v>0.744</v>
      </c>
      <c r="J77" s="22">
        <v>0.288</v>
      </c>
      <c r="K77" s="22">
        <v>0.773</v>
      </c>
      <c r="L77" s="22">
        <v>0.933</v>
      </c>
      <c r="M77" s="22">
        <v>48.0</v>
      </c>
      <c r="N77" s="22">
        <v>123.0</v>
      </c>
      <c r="O77" s="22">
        <v>30.0</v>
      </c>
      <c r="P77" s="22">
        <v>418.0</v>
      </c>
    </row>
    <row r="78">
      <c r="A78" s="23"/>
      <c r="B78" s="23"/>
      <c r="C78" s="23"/>
      <c r="D78" s="70"/>
      <c r="E78" s="22">
        <v>0.586</v>
      </c>
      <c r="F78" s="22">
        <v>0.714</v>
      </c>
      <c r="G78" s="22">
        <v>0.743</v>
      </c>
      <c r="H78" s="22">
        <v>0.701</v>
      </c>
      <c r="I78" s="22">
        <v>0.767</v>
      </c>
      <c r="J78" s="22">
        <v>0.245</v>
      </c>
      <c r="K78" s="22">
        <v>0.762</v>
      </c>
      <c r="L78" s="22">
        <v>0.938</v>
      </c>
      <c r="M78" s="22">
        <v>40.0</v>
      </c>
      <c r="N78" s="22">
        <v>131.0</v>
      </c>
      <c r="O78" s="22">
        <v>28.0</v>
      </c>
      <c r="P78" s="22">
        <v>420.0</v>
      </c>
    </row>
    <row r="79">
      <c r="A79" s="23"/>
      <c r="B79" s="23"/>
      <c r="C79" s="23"/>
      <c r="D79" s="70"/>
      <c r="E79" s="22">
        <v>0.603</v>
      </c>
      <c r="F79" s="22">
        <v>0.704</v>
      </c>
      <c r="G79" s="22">
        <v>0.732</v>
      </c>
      <c r="H79" s="22">
        <v>0.708</v>
      </c>
      <c r="I79" s="22">
        <v>0.714</v>
      </c>
      <c r="J79" s="22">
        <v>0.248</v>
      </c>
      <c r="K79" s="22">
        <v>0.773</v>
      </c>
      <c r="L79" s="22">
        <v>0.891</v>
      </c>
      <c r="M79" s="22">
        <v>54.0</v>
      </c>
      <c r="N79" s="22">
        <v>117.0</v>
      </c>
      <c r="O79" s="22">
        <v>49.0</v>
      </c>
      <c r="P79" s="22">
        <v>399.0</v>
      </c>
    </row>
    <row r="80">
      <c r="A80" s="23"/>
      <c r="B80" s="23"/>
      <c r="C80" s="23"/>
      <c r="D80" s="11"/>
      <c r="E80" s="22">
        <v>0.603</v>
      </c>
      <c r="F80" s="22">
        <v>0.709</v>
      </c>
      <c r="G80" s="22">
        <v>0.737</v>
      </c>
      <c r="H80" s="22">
        <v>0.71</v>
      </c>
      <c r="I80" s="22">
        <v>0.718</v>
      </c>
      <c r="J80" s="22">
        <v>0.254</v>
      </c>
      <c r="K80" s="22">
        <v>0.772</v>
      </c>
      <c r="L80" s="22">
        <v>0.902</v>
      </c>
      <c r="M80" s="22">
        <v>52.0</v>
      </c>
      <c r="N80" s="22">
        <v>119.0</v>
      </c>
      <c r="O80" s="22">
        <v>44.0</v>
      </c>
      <c r="P80" s="22">
        <v>404.0</v>
      </c>
    </row>
    <row r="81">
      <c r="A81" s="23"/>
      <c r="B81" s="23"/>
      <c r="C81" s="23"/>
      <c r="D81" s="11"/>
      <c r="E81" s="22">
        <v>0.631</v>
      </c>
      <c r="F81" s="22">
        <v>0.719</v>
      </c>
      <c r="G81" s="22">
        <v>0.738</v>
      </c>
      <c r="H81" s="22">
        <v>0.724</v>
      </c>
      <c r="I81" s="22">
        <v>0.722</v>
      </c>
      <c r="J81" s="22">
        <v>0.292</v>
      </c>
      <c r="K81" s="22">
        <v>0.789</v>
      </c>
      <c r="L81" s="22">
        <v>0.871</v>
      </c>
      <c r="M81" s="22">
        <v>67.0</v>
      </c>
      <c r="N81" s="22">
        <v>104.0</v>
      </c>
      <c r="O81" s="22">
        <v>58.0</v>
      </c>
      <c r="P81" s="22">
        <v>390.0</v>
      </c>
    </row>
    <row r="82">
      <c r="A82" s="23"/>
      <c r="B82" s="23"/>
      <c r="C82" s="23"/>
      <c r="D82" s="11"/>
      <c r="E82" s="22">
        <v>0.614</v>
      </c>
      <c r="F82" s="22">
        <v>0.716</v>
      </c>
      <c r="G82" s="22">
        <v>0.742</v>
      </c>
      <c r="H82" s="22">
        <v>0.718</v>
      </c>
      <c r="I82" s="22">
        <v>0.715</v>
      </c>
      <c r="J82" s="22">
        <v>0.275</v>
      </c>
      <c r="K82" s="22">
        <v>0.778</v>
      </c>
      <c r="L82" s="22">
        <v>0.9</v>
      </c>
      <c r="M82" s="22">
        <v>56.0</v>
      </c>
      <c r="N82" s="22">
        <v>115.0</v>
      </c>
      <c r="O82" s="22">
        <v>45.0</v>
      </c>
      <c r="P82" s="22">
        <v>403.0</v>
      </c>
    </row>
    <row r="83">
      <c r="A83" s="23"/>
      <c r="B83" s="23"/>
      <c r="C83" s="23"/>
      <c r="D83" s="11"/>
      <c r="E83" s="22">
        <v>0.632</v>
      </c>
      <c r="F83" s="22">
        <v>0.714</v>
      </c>
      <c r="G83" s="22">
        <v>0.729</v>
      </c>
      <c r="H83" s="22">
        <v>0.719</v>
      </c>
      <c r="I83" s="22">
        <v>0.72</v>
      </c>
      <c r="J83" s="22">
        <v>0.282</v>
      </c>
      <c r="K83" s="22">
        <v>0.792</v>
      </c>
      <c r="L83" s="22">
        <v>0.848</v>
      </c>
      <c r="M83" s="22">
        <v>71.0</v>
      </c>
      <c r="N83" s="22">
        <v>100.0</v>
      </c>
      <c r="O83" s="22">
        <v>68.0</v>
      </c>
      <c r="P83" s="22">
        <v>380.0</v>
      </c>
    </row>
    <row r="84">
      <c r="A84" s="23"/>
      <c r="B84" s="23"/>
      <c r="C84" s="23"/>
      <c r="D84" s="11"/>
      <c r="E84" s="22">
        <v>0.592</v>
      </c>
      <c r="F84" s="22">
        <v>0.719</v>
      </c>
      <c r="G84" s="22">
        <v>0.746</v>
      </c>
      <c r="H84" s="22">
        <v>0.706</v>
      </c>
      <c r="I84" s="22">
        <v>0.775</v>
      </c>
      <c r="J84" s="22">
        <v>0.259</v>
      </c>
      <c r="K84" s="22">
        <v>0.765</v>
      </c>
      <c r="L84" s="22">
        <v>0.938</v>
      </c>
      <c r="M84" s="22">
        <v>42.0</v>
      </c>
      <c r="N84" s="22">
        <v>129.0</v>
      </c>
      <c r="O84" s="22">
        <v>28.0</v>
      </c>
      <c r="P84" s="22">
        <v>420.0</v>
      </c>
    </row>
    <row r="85">
      <c r="A85" s="23"/>
      <c r="B85" s="23"/>
      <c r="C85" s="23"/>
      <c r="D85" s="11"/>
      <c r="E85" s="22">
        <v>0.625</v>
      </c>
      <c r="F85" s="22">
        <v>0.708</v>
      </c>
      <c r="G85" s="22">
        <v>0.724</v>
      </c>
      <c r="H85" s="22">
        <v>0.714</v>
      </c>
      <c r="I85" s="22">
        <v>0.739</v>
      </c>
      <c r="J85" s="22">
        <v>0.268</v>
      </c>
      <c r="K85" s="22">
        <v>0.788</v>
      </c>
      <c r="L85" s="22">
        <v>0.846</v>
      </c>
      <c r="M85" s="22">
        <v>69.0</v>
      </c>
      <c r="N85" s="22">
        <v>102.0</v>
      </c>
      <c r="O85" s="22">
        <v>69.0</v>
      </c>
      <c r="P85" s="22">
        <v>379.0</v>
      </c>
    </row>
    <row r="86">
      <c r="A86" s="23"/>
      <c r="B86" s="23"/>
      <c r="C86" s="23"/>
      <c r="D86" s="11"/>
      <c r="E86" s="22">
        <v>0.61</v>
      </c>
      <c r="F86" s="22">
        <v>0.696</v>
      </c>
      <c r="G86" s="22">
        <v>0.712</v>
      </c>
      <c r="H86" s="22">
        <v>0.702</v>
      </c>
      <c r="I86" s="22">
        <v>0.691</v>
      </c>
      <c r="J86" s="22">
        <v>0.236</v>
      </c>
      <c r="K86" s="22">
        <v>0.78</v>
      </c>
      <c r="L86" s="22">
        <v>0.839</v>
      </c>
      <c r="M86" s="22">
        <v>65.0</v>
      </c>
      <c r="N86" s="22">
        <v>106.0</v>
      </c>
      <c r="O86" s="22">
        <v>72.0</v>
      </c>
      <c r="P86" s="22">
        <v>376.0</v>
      </c>
    </row>
    <row r="87">
      <c r="A87" s="23"/>
      <c r="B87" s="23"/>
      <c r="C87" s="23"/>
      <c r="D87" s="11"/>
      <c r="E87" s="22">
        <v>0.573</v>
      </c>
      <c r="F87" s="22">
        <v>0.7</v>
      </c>
      <c r="G87" s="22">
        <v>0.735</v>
      </c>
      <c r="H87" s="22">
        <v>0.69</v>
      </c>
      <c r="I87" s="22">
        <v>0.704</v>
      </c>
      <c r="J87" s="22">
        <v>0.213</v>
      </c>
      <c r="K87" s="22">
        <v>0.756</v>
      </c>
      <c r="L87" s="22">
        <v>0.935</v>
      </c>
      <c r="M87" s="22">
        <v>36.0</v>
      </c>
      <c r="N87" s="22">
        <v>135.0</v>
      </c>
      <c r="O87" s="22">
        <v>29.0</v>
      </c>
      <c r="P87" s="22">
        <v>419.0</v>
      </c>
    </row>
    <row r="88">
      <c r="A88" s="23"/>
      <c r="B88" s="23"/>
      <c r="C88" s="23"/>
      <c r="D88" s="11"/>
      <c r="E88" s="22">
        <v>0.565</v>
      </c>
      <c r="F88" s="22">
        <v>0.703</v>
      </c>
      <c r="G88" s="22">
        <v>0.737</v>
      </c>
      <c r="H88" s="22">
        <v>0.683</v>
      </c>
      <c r="I88" s="22">
        <v>0.718</v>
      </c>
      <c r="J88" s="22">
        <v>0.206</v>
      </c>
      <c r="K88" s="22">
        <v>0.752</v>
      </c>
      <c r="L88" s="22">
        <v>0.949</v>
      </c>
      <c r="M88" s="22">
        <v>31.0</v>
      </c>
      <c r="N88" s="22">
        <v>140.0</v>
      </c>
      <c r="O88" s="22">
        <v>23.0</v>
      </c>
      <c r="P88" s="22">
        <v>425.0</v>
      </c>
    </row>
    <row r="89">
      <c r="A89" s="23"/>
      <c r="B89" s="23"/>
      <c r="C89" s="23"/>
      <c r="D89" s="11"/>
      <c r="E89" s="22">
        <v>0.581</v>
      </c>
      <c r="F89" s="22">
        <v>0.704</v>
      </c>
      <c r="G89" s="22">
        <v>0.737</v>
      </c>
      <c r="H89" s="22">
        <v>0.696</v>
      </c>
      <c r="I89" s="22">
        <v>0.714</v>
      </c>
      <c r="J89" s="22">
        <v>0.227</v>
      </c>
      <c r="K89" s="22">
        <v>0.761</v>
      </c>
      <c r="L89" s="22">
        <v>0.929</v>
      </c>
      <c r="M89" s="22">
        <v>40.0</v>
      </c>
      <c r="N89" s="22">
        <v>131.0</v>
      </c>
      <c r="O89" s="22">
        <v>32.0</v>
      </c>
      <c r="P89" s="22">
        <v>416.0</v>
      </c>
    </row>
    <row r="90">
      <c r="A90" s="23"/>
      <c r="B90" s="23"/>
      <c r="C90" s="23"/>
      <c r="D90" s="11"/>
      <c r="E90" s="22">
        <v>0.614</v>
      </c>
      <c r="F90" s="22">
        <v>0.729</v>
      </c>
      <c r="G90" s="22">
        <v>0.753</v>
      </c>
      <c r="H90" s="22">
        <v>0.723</v>
      </c>
      <c r="I90" s="22">
        <v>0.72</v>
      </c>
      <c r="J90" s="22">
        <v>0.295</v>
      </c>
      <c r="K90" s="22">
        <v>0.777</v>
      </c>
      <c r="L90" s="22">
        <v>0.924</v>
      </c>
      <c r="M90" s="22">
        <v>52.0</v>
      </c>
      <c r="N90" s="22">
        <v>119.0</v>
      </c>
      <c r="O90" s="22">
        <v>34.0</v>
      </c>
      <c r="P90" s="22">
        <v>414.0</v>
      </c>
    </row>
    <row r="91">
      <c r="A91" s="23"/>
      <c r="B91" s="23"/>
      <c r="C91" s="23"/>
      <c r="D91" s="11"/>
      <c r="E91" s="22">
        <v>0.665</v>
      </c>
      <c r="F91" s="22">
        <v>0.726</v>
      </c>
      <c r="G91" s="22">
        <v>0.675</v>
      </c>
      <c r="H91" s="22">
        <v>0.69</v>
      </c>
      <c r="I91" s="22">
        <v>0.704</v>
      </c>
      <c r="J91" s="22">
        <v>0.301</v>
      </c>
      <c r="K91" s="22">
        <v>0.835</v>
      </c>
      <c r="L91" s="22">
        <v>0.688</v>
      </c>
      <c r="M91" s="22">
        <v>110.0</v>
      </c>
      <c r="N91" s="22">
        <v>61.0</v>
      </c>
      <c r="O91" s="22">
        <v>140.0</v>
      </c>
      <c r="P91" s="22">
        <v>308.0</v>
      </c>
    </row>
    <row r="92">
      <c r="A92" s="23"/>
      <c r="B92" s="23"/>
      <c r="C92" s="23"/>
      <c r="D92" s="11"/>
      <c r="E92" s="22">
        <v>0.634</v>
      </c>
      <c r="F92" s="22">
        <v>0.725</v>
      </c>
      <c r="G92" s="22">
        <v>0.745</v>
      </c>
      <c r="H92" s="22">
        <v>0.729</v>
      </c>
      <c r="I92" s="22">
        <v>0.74</v>
      </c>
      <c r="J92" s="22">
        <v>0.304</v>
      </c>
      <c r="K92" s="22">
        <v>0.79</v>
      </c>
      <c r="L92" s="22">
        <v>0.882</v>
      </c>
      <c r="M92" s="22">
        <v>66.0</v>
      </c>
      <c r="N92" s="22">
        <v>105.0</v>
      </c>
      <c r="O92" s="22">
        <v>53.0</v>
      </c>
      <c r="P92" s="22">
        <v>395.0</v>
      </c>
    </row>
    <row r="93">
      <c r="A93" s="23"/>
      <c r="B93" s="23"/>
      <c r="C93" s="23"/>
      <c r="D93" s="11"/>
      <c r="E93" s="22">
        <v>0.623</v>
      </c>
      <c r="F93" s="22">
        <v>0.715</v>
      </c>
      <c r="G93" s="22">
        <v>0.737</v>
      </c>
      <c r="H93" s="22">
        <v>0.72</v>
      </c>
      <c r="I93" s="22">
        <v>0.728</v>
      </c>
      <c r="J93" s="22">
        <v>0.28</v>
      </c>
      <c r="K93" s="22">
        <v>0.784</v>
      </c>
      <c r="L93" s="22">
        <v>0.877</v>
      </c>
      <c r="M93" s="22">
        <v>63.0</v>
      </c>
      <c r="N93" s="22">
        <v>108.0</v>
      </c>
      <c r="O93" s="22">
        <v>55.0</v>
      </c>
      <c r="P93" s="22">
        <v>393.0</v>
      </c>
    </row>
    <row r="94">
      <c r="A94" s="23"/>
      <c r="B94" s="23"/>
      <c r="C94" s="23"/>
      <c r="D94" s="11"/>
      <c r="E94" s="22">
        <v>0.62</v>
      </c>
      <c r="F94" s="22">
        <v>0.728</v>
      </c>
      <c r="G94" s="22">
        <v>0.751</v>
      </c>
      <c r="H94" s="22">
        <v>0.725</v>
      </c>
      <c r="I94" s="22">
        <v>0.731</v>
      </c>
      <c r="J94" s="22">
        <v>0.298</v>
      </c>
      <c r="K94" s="22">
        <v>0.781</v>
      </c>
      <c r="L94" s="22">
        <v>0.913</v>
      </c>
      <c r="M94" s="22">
        <v>56.0</v>
      </c>
      <c r="N94" s="22">
        <v>115.0</v>
      </c>
      <c r="O94" s="22">
        <v>39.0</v>
      </c>
      <c r="P94" s="22">
        <v>409.0</v>
      </c>
    </row>
    <row r="95">
      <c r="A95" s="23"/>
      <c r="B95" s="23"/>
      <c r="C95" s="23"/>
      <c r="D95" s="11"/>
      <c r="E95" s="22">
        <v>0.575</v>
      </c>
      <c r="F95" s="22">
        <v>0.69</v>
      </c>
      <c r="G95" s="22">
        <v>0.727</v>
      </c>
      <c r="H95" s="22">
        <v>0.689</v>
      </c>
      <c r="I95" s="22">
        <v>0.695</v>
      </c>
      <c r="J95" s="22">
        <v>0.201</v>
      </c>
      <c r="K95" s="22">
        <v>0.758</v>
      </c>
      <c r="L95" s="22">
        <v>0.915</v>
      </c>
      <c r="M95" s="22">
        <v>40.0</v>
      </c>
      <c r="N95" s="22">
        <v>131.0</v>
      </c>
      <c r="O95" s="22">
        <v>38.0</v>
      </c>
      <c r="P95" s="22">
        <v>410.0</v>
      </c>
    </row>
    <row r="96">
      <c r="A96" s="23"/>
      <c r="B96" s="23"/>
      <c r="C96" s="23"/>
      <c r="D96" s="11"/>
      <c r="E96" s="22">
        <v>0.647</v>
      </c>
      <c r="F96" s="22">
        <v>0.738</v>
      </c>
      <c r="G96" s="22">
        <v>0.756</v>
      </c>
      <c r="H96" s="22">
        <v>0.741</v>
      </c>
      <c r="I96" s="22">
        <v>0.743</v>
      </c>
      <c r="J96" s="22">
        <v>0.335</v>
      </c>
      <c r="K96" s="22">
        <v>0.796</v>
      </c>
      <c r="L96" s="22">
        <v>0.891</v>
      </c>
      <c r="M96" s="22">
        <v>69.0</v>
      </c>
      <c r="N96" s="22">
        <v>102.0</v>
      </c>
      <c r="O96" s="22">
        <v>49.0</v>
      </c>
      <c r="P96" s="22">
        <v>399.0</v>
      </c>
    </row>
    <row r="97">
      <c r="A97" s="23"/>
      <c r="B97" s="23"/>
      <c r="C97" s="23"/>
      <c r="D97" s="11"/>
      <c r="E97" s="22">
        <v>0.628</v>
      </c>
      <c r="F97" s="22">
        <v>0.724</v>
      </c>
      <c r="G97" s="22">
        <v>0.746</v>
      </c>
      <c r="H97" s="22">
        <v>0.727</v>
      </c>
      <c r="I97" s="22">
        <v>0.718</v>
      </c>
      <c r="J97" s="22">
        <v>0.299</v>
      </c>
      <c r="K97" s="22">
        <v>0.786</v>
      </c>
      <c r="L97" s="22">
        <v>0.893</v>
      </c>
      <c r="M97" s="22">
        <v>62.0</v>
      </c>
      <c r="N97" s="22">
        <v>109.0</v>
      </c>
      <c r="O97" s="22">
        <v>48.0</v>
      </c>
      <c r="P97" s="22">
        <v>400.0</v>
      </c>
    </row>
    <row r="98">
      <c r="A98" s="23"/>
      <c r="B98" s="23"/>
      <c r="C98" s="23"/>
      <c r="D98" s="11"/>
      <c r="E98" s="22">
        <v>0.625</v>
      </c>
      <c r="F98" s="22">
        <v>0.713</v>
      </c>
      <c r="G98" s="22">
        <v>0.732</v>
      </c>
      <c r="H98" s="22">
        <v>0.718</v>
      </c>
      <c r="I98" s="22">
        <v>0.726</v>
      </c>
      <c r="J98" s="22">
        <v>0.277</v>
      </c>
      <c r="K98" s="22">
        <v>0.787</v>
      </c>
      <c r="L98" s="22">
        <v>0.864</v>
      </c>
      <c r="M98" s="22">
        <v>66.0</v>
      </c>
      <c r="N98" s="22">
        <v>105.0</v>
      </c>
      <c r="O98" s="22">
        <v>61.0</v>
      </c>
      <c r="P98" s="22">
        <v>387.0</v>
      </c>
    </row>
    <row r="99">
      <c r="A99" s="23"/>
      <c r="B99" s="23"/>
      <c r="C99" s="23"/>
      <c r="D99" s="11"/>
      <c r="E99" s="22">
        <v>0.621</v>
      </c>
      <c r="F99" s="22">
        <v>0.718</v>
      </c>
      <c r="G99" s="22">
        <v>0.742</v>
      </c>
      <c r="H99" s="22">
        <v>0.721</v>
      </c>
      <c r="I99" s="22">
        <v>0.73</v>
      </c>
      <c r="J99" s="22">
        <v>0.284</v>
      </c>
      <c r="K99" s="22">
        <v>0.782</v>
      </c>
      <c r="L99" s="22">
        <v>0.891</v>
      </c>
      <c r="M99" s="22">
        <v>60.0</v>
      </c>
      <c r="N99" s="22">
        <v>111.0</v>
      </c>
      <c r="O99" s="22">
        <v>49.0</v>
      </c>
      <c r="P99" s="22">
        <v>399.0</v>
      </c>
    </row>
    <row r="100">
      <c r="A100" s="23"/>
      <c r="B100" s="23"/>
      <c r="C100" s="23"/>
      <c r="D100" s="71" t="s">
        <v>23</v>
      </c>
      <c r="E100" s="22">
        <v>0.615</v>
      </c>
      <c r="F100" s="22">
        <v>0.715</v>
      </c>
      <c r="G100" s="22">
        <v>0.734</v>
      </c>
      <c r="H100" s="22">
        <v>0.712</v>
      </c>
      <c r="I100" s="22">
        <v>0.722</v>
      </c>
      <c r="J100" s="22">
        <v>0.27</v>
      </c>
      <c r="K100" s="22">
        <v>0.781</v>
      </c>
      <c r="L100" s="22">
        <v>0.881</v>
      </c>
      <c r="M100" s="22">
        <v>59.467</v>
      </c>
      <c r="N100" s="22">
        <v>111.533</v>
      </c>
      <c r="O100" s="22">
        <v>53.2</v>
      </c>
      <c r="P100" s="22">
        <v>394.8</v>
      </c>
    </row>
    <row r="101">
      <c r="A101" s="72"/>
      <c r="B101" s="72"/>
      <c r="C101" s="72"/>
      <c r="D101" s="73" t="s">
        <v>232</v>
      </c>
      <c r="E101" s="22">
        <v>0.024</v>
      </c>
      <c r="F101" s="22">
        <v>0.012</v>
      </c>
      <c r="G101" s="22">
        <v>0.019</v>
      </c>
      <c r="H101" s="22">
        <v>0.015</v>
      </c>
      <c r="I101" s="22">
        <v>0.02</v>
      </c>
      <c r="J101" s="22">
        <v>0.033</v>
      </c>
      <c r="K101" s="22">
        <v>0.016</v>
      </c>
      <c r="L101" s="22">
        <v>0.056</v>
      </c>
      <c r="M101" s="22">
        <v>16.206</v>
      </c>
      <c r="N101" s="22">
        <v>16.206</v>
      </c>
      <c r="O101" s="22">
        <v>25.157</v>
      </c>
      <c r="P101" s="22">
        <v>25.157</v>
      </c>
    </row>
    <row r="103">
      <c r="A103" s="77" t="s">
        <v>235</v>
      </c>
      <c r="B103" s="78" t="s">
        <v>231</v>
      </c>
      <c r="C103" s="81" t="s">
        <v>236</v>
      </c>
      <c r="D103" s="79"/>
      <c r="E103" s="32">
        <v>0.626</v>
      </c>
      <c r="F103" s="32">
        <v>0.706</v>
      </c>
      <c r="G103" s="32">
        <v>0.717</v>
      </c>
      <c r="H103" s="32">
        <v>0.711</v>
      </c>
      <c r="I103" s="32">
        <v>0.732</v>
      </c>
      <c r="J103" s="32">
        <v>0.264</v>
      </c>
      <c r="K103" s="32">
        <v>0.79</v>
      </c>
      <c r="L103" s="32">
        <v>0.83</v>
      </c>
      <c r="M103" s="32">
        <v>72.0</v>
      </c>
      <c r="N103" s="32">
        <v>99.0</v>
      </c>
      <c r="O103" s="22">
        <v>76.0</v>
      </c>
      <c r="P103" s="32">
        <v>372.0</v>
      </c>
    </row>
    <row r="104">
      <c r="A104" s="23"/>
      <c r="B104" s="23"/>
      <c r="C104" s="23"/>
      <c r="D104" s="69"/>
      <c r="E104" s="22">
        <v>0.596</v>
      </c>
      <c r="F104" s="32">
        <v>0.731</v>
      </c>
      <c r="G104" s="22">
        <v>0.753</v>
      </c>
      <c r="H104" s="22">
        <v>0.711</v>
      </c>
      <c r="I104" s="22">
        <v>0.77</v>
      </c>
      <c r="J104" s="22">
        <v>0.278</v>
      </c>
      <c r="K104" s="22">
        <v>0.767</v>
      </c>
      <c r="L104" s="32">
        <v>0.946</v>
      </c>
      <c r="M104" s="22">
        <v>42.0</v>
      </c>
      <c r="N104" s="22">
        <v>129.0</v>
      </c>
      <c r="O104" s="22">
        <v>24.0</v>
      </c>
      <c r="P104" s="22">
        <v>424.0</v>
      </c>
    </row>
    <row r="105">
      <c r="A105" s="23"/>
      <c r="B105" s="23"/>
      <c r="C105" s="23"/>
      <c r="D105" s="70"/>
      <c r="E105" s="22">
        <v>0.616</v>
      </c>
      <c r="F105" s="22">
        <v>0.719</v>
      </c>
      <c r="G105" s="22">
        <v>0.743</v>
      </c>
      <c r="H105" s="22">
        <v>0.72</v>
      </c>
      <c r="I105" s="22">
        <v>0.741</v>
      </c>
      <c r="J105" s="22">
        <v>0.281</v>
      </c>
      <c r="K105" s="22">
        <v>0.779</v>
      </c>
      <c r="L105" s="22">
        <v>0.9</v>
      </c>
      <c r="M105" s="22">
        <v>57.0</v>
      </c>
      <c r="N105" s="22">
        <v>114.0</v>
      </c>
      <c r="O105" s="22">
        <v>45.0</v>
      </c>
      <c r="P105" s="22">
        <v>403.0</v>
      </c>
    </row>
    <row r="106">
      <c r="A106" s="23"/>
      <c r="B106" s="23"/>
      <c r="C106" s="23"/>
      <c r="D106" s="70"/>
      <c r="E106" s="22">
        <v>0.622</v>
      </c>
      <c r="F106" s="22">
        <v>0.716</v>
      </c>
      <c r="G106" s="22">
        <v>0.738</v>
      </c>
      <c r="H106" s="22">
        <v>0.72</v>
      </c>
      <c r="I106" s="22">
        <v>0.706</v>
      </c>
      <c r="J106" s="22">
        <v>0.281</v>
      </c>
      <c r="K106" s="22">
        <v>0.784</v>
      </c>
      <c r="L106" s="22">
        <v>0.882</v>
      </c>
      <c r="M106" s="22">
        <v>62.0</v>
      </c>
      <c r="N106" s="22">
        <v>109.0</v>
      </c>
      <c r="O106" s="22">
        <v>53.0</v>
      </c>
      <c r="P106" s="22">
        <v>395.0</v>
      </c>
    </row>
    <row r="107">
      <c r="A107" s="23"/>
      <c r="B107" s="23"/>
      <c r="C107" s="23"/>
      <c r="D107" s="70"/>
      <c r="E107" s="22">
        <v>0.576</v>
      </c>
      <c r="F107" s="22">
        <v>0.712</v>
      </c>
      <c r="G107" s="22">
        <v>0.742</v>
      </c>
      <c r="H107" s="22">
        <v>0.693</v>
      </c>
      <c r="I107" s="22">
        <v>0.708</v>
      </c>
      <c r="J107" s="22">
        <v>0.23</v>
      </c>
      <c r="K107" s="22">
        <v>0.757</v>
      </c>
      <c r="L107" s="22">
        <v>0.946</v>
      </c>
      <c r="M107" s="22">
        <v>35.0</v>
      </c>
      <c r="N107" s="22">
        <v>136.0</v>
      </c>
      <c r="O107" s="22">
        <v>24.0</v>
      </c>
      <c r="P107" s="22">
        <v>424.0</v>
      </c>
    </row>
    <row r="108">
      <c r="A108" s="23"/>
      <c r="B108" s="23"/>
      <c r="C108" s="23"/>
      <c r="D108" s="70"/>
      <c r="E108" s="22">
        <v>0.624</v>
      </c>
      <c r="F108" s="22">
        <v>0.711</v>
      </c>
      <c r="G108" s="22">
        <v>0.73</v>
      </c>
      <c r="H108" s="22">
        <v>0.717</v>
      </c>
      <c r="I108" s="22">
        <v>0.727</v>
      </c>
      <c r="J108" s="22">
        <v>0.273</v>
      </c>
      <c r="K108" s="22">
        <v>0.786</v>
      </c>
      <c r="L108" s="22">
        <v>0.862</v>
      </c>
      <c r="M108" s="22">
        <v>66.0</v>
      </c>
      <c r="N108" s="22">
        <v>105.0</v>
      </c>
      <c r="O108" s="22">
        <v>62.0</v>
      </c>
      <c r="P108" s="22">
        <v>386.0</v>
      </c>
    </row>
    <row r="109">
      <c r="A109" s="23"/>
      <c r="B109" s="23"/>
      <c r="C109" s="23"/>
      <c r="D109" s="70"/>
      <c r="E109" s="22">
        <v>0.588</v>
      </c>
      <c r="F109" s="22">
        <v>0.698</v>
      </c>
      <c r="G109" s="22">
        <v>0.73</v>
      </c>
      <c r="H109" s="22">
        <v>0.698</v>
      </c>
      <c r="I109" s="22">
        <v>0.713</v>
      </c>
      <c r="J109" s="22">
        <v>0.224</v>
      </c>
      <c r="K109" s="22">
        <v>0.765</v>
      </c>
      <c r="L109" s="22">
        <v>0.906</v>
      </c>
      <c r="M109" s="22">
        <v>46.0</v>
      </c>
      <c r="N109" s="22">
        <v>125.0</v>
      </c>
      <c r="O109" s="22">
        <v>42.0</v>
      </c>
      <c r="P109" s="22">
        <v>406.0</v>
      </c>
    </row>
    <row r="110">
      <c r="A110" s="23"/>
      <c r="B110" s="23"/>
      <c r="C110" s="23"/>
      <c r="D110" s="70"/>
      <c r="E110" s="22">
        <v>0.602</v>
      </c>
      <c r="F110" s="22">
        <v>0.707</v>
      </c>
      <c r="G110" s="22">
        <v>0.735</v>
      </c>
      <c r="H110" s="22">
        <v>0.709</v>
      </c>
      <c r="I110" s="22">
        <v>0.727</v>
      </c>
      <c r="J110" s="22">
        <v>0.25</v>
      </c>
      <c r="K110" s="22">
        <v>0.772</v>
      </c>
      <c r="L110" s="22">
        <v>0.9</v>
      </c>
      <c r="M110" s="22">
        <v>52.0</v>
      </c>
      <c r="N110" s="22">
        <v>119.0</v>
      </c>
      <c r="O110" s="22">
        <v>45.0</v>
      </c>
      <c r="P110" s="22">
        <v>403.0</v>
      </c>
    </row>
    <row r="111">
      <c r="A111" s="23"/>
      <c r="B111" s="23"/>
      <c r="C111" s="23"/>
      <c r="D111" s="70"/>
      <c r="E111" s="22">
        <v>0.555</v>
      </c>
      <c r="F111" s="22">
        <v>0.69</v>
      </c>
      <c r="G111" s="22">
        <v>0.73</v>
      </c>
      <c r="H111" s="22">
        <v>0.674</v>
      </c>
      <c r="I111" s="22">
        <v>0.683</v>
      </c>
      <c r="J111" s="22">
        <v>0.178</v>
      </c>
      <c r="K111" s="22">
        <v>0.748</v>
      </c>
      <c r="L111" s="22">
        <v>0.946</v>
      </c>
      <c r="M111" s="22">
        <v>28.0</v>
      </c>
      <c r="N111" s="22">
        <v>143.0</v>
      </c>
      <c r="O111" s="22">
        <v>24.0</v>
      </c>
      <c r="P111" s="22">
        <v>424.0</v>
      </c>
    </row>
    <row r="112">
      <c r="A112" s="23"/>
      <c r="B112" s="23"/>
      <c r="C112" s="23"/>
      <c r="D112" s="70"/>
      <c r="E112" s="22">
        <v>0.586</v>
      </c>
      <c r="F112" s="22">
        <v>0.703</v>
      </c>
      <c r="G112" s="22">
        <v>0.735</v>
      </c>
      <c r="H112" s="22">
        <v>0.699</v>
      </c>
      <c r="I112" s="22">
        <v>0.7</v>
      </c>
      <c r="J112" s="22">
        <v>0.229</v>
      </c>
      <c r="K112" s="22">
        <v>0.763</v>
      </c>
      <c r="L112" s="22">
        <v>0.92</v>
      </c>
      <c r="M112" s="22">
        <v>43.0</v>
      </c>
      <c r="N112" s="22">
        <v>128.0</v>
      </c>
      <c r="O112" s="22">
        <v>36.0</v>
      </c>
      <c r="P112" s="22">
        <v>412.0</v>
      </c>
    </row>
    <row r="113">
      <c r="A113" s="23"/>
      <c r="B113" s="23"/>
      <c r="C113" s="23"/>
      <c r="D113" s="11"/>
      <c r="E113" s="22">
        <v>0.613</v>
      </c>
      <c r="F113" s="22">
        <v>0.713</v>
      </c>
      <c r="G113" s="22">
        <v>0.738</v>
      </c>
      <c r="H113" s="22">
        <v>0.716</v>
      </c>
      <c r="I113" s="22">
        <v>0.719</v>
      </c>
      <c r="J113" s="22">
        <v>0.269</v>
      </c>
      <c r="K113" s="22">
        <v>0.778</v>
      </c>
      <c r="L113" s="22">
        <v>0.893</v>
      </c>
      <c r="M113" s="22">
        <v>57.0</v>
      </c>
      <c r="N113" s="22">
        <v>114.0</v>
      </c>
      <c r="O113" s="22">
        <v>48.0</v>
      </c>
      <c r="P113" s="22">
        <v>400.0</v>
      </c>
    </row>
    <row r="114">
      <c r="A114" s="23"/>
      <c r="B114" s="23"/>
      <c r="C114" s="23"/>
      <c r="D114" s="11"/>
      <c r="E114" s="22">
        <v>0.623</v>
      </c>
      <c r="F114" s="22">
        <v>0.722</v>
      </c>
      <c r="G114" s="22">
        <v>0.745</v>
      </c>
      <c r="H114" s="22">
        <v>0.724</v>
      </c>
      <c r="I114" s="22">
        <v>0.742</v>
      </c>
      <c r="J114" s="22">
        <v>0.291</v>
      </c>
      <c r="K114" s="22">
        <v>0.783</v>
      </c>
      <c r="L114" s="22">
        <v>0.895</v>
      </c>
      <c r="M114" s="22">
        <v>60.0</v>
      </c>
      <c r="N114" s="22">
        <v>111.0</v>
      </c>
      <c r="O114" s="22">
        <v>47.0</v>
      </c>
      <c r="P114" s="22">
        <v>401.0</v>
      </c>
    </row>
    <row r="115">
      <c r="A115" s="23"/>
      <c r="B115" s="23"/>
      <c r="C115" s="23"/>
      <c r="D115" s="11"/>
      <c r="E115" s="22">
        <v>0.632</v>
      </c>
      <c r="F115" s="22">
        <v>0.721</v>
      </c>
      <c r="G115" s="22">
        <v>0.74</v>
      </c>
      <c r="H115" s="22">
        <v>0.726</v>
      </c>
      <c r="I115" s="22">
        <v>0.741</v>
      </c>
      <c r="J115" s="22">
        <v>0.296</v>
      </c>
      <c r="K115" s="22">
        <v>0.79</v>
      </c>
      <c r="L115" s="22">
        <v>0.873</v>
      </c>
      <c r="M115" s="22">
        <v>67.0</v>
      </c>
      <c r="N115" s="22">
        <v>104.0</v>
      </c>
      <c r="O115" s="22">
        <v>57.0</v>
      </c>
      <c r="P115" s="22">
        <v>391.0</v>
      </c>
    </row>
    <row r="116">
      <c r="A116" s="23"/>
      <c r="B116" s="23"/>
      <c r="C116" s="23"/>
      <c r="D116" s="11"/>
      <c r="E116" s="22">
        <v>0.619</v>
      </c>
      <c r="F116" s="22">
        <v>0.715</v>
      </c>
      <c r="G116" s="22">
        <v>0.738</v>
      </c>
      <c r="H116" s="22">
        <v>0.719</v>
      </c>
      <c r="I116" s="22">
        <v>0.731</v>
      </c>
      <c r="J116" s="22">
        <v>0.276</v>
      </c>
      <c r="K116" s="22">
        <v>0.781</v>
      </c>
      <c r="L116" s="22">
        <v>0.886</v>
      </c>
      <c r="M116" s="22">
        <v>60.0</v>
      </c>
      <c r="N116" s="22">
        <v>111.0</v>
      </c>
      <c r="O116" s="22">
        <v>51.0</v>
      </c>
      <c r="P116" s="22">
        <v>397.0</v>
      </c>
    </row>
    <row r="117">
      <c r="A117" s="23"/>
      <c r="B117" s="23"/>
      <c r="C117" s="23"/>
      <c r="D117" s="11"/>
      <c r="E117" s="22">
        <v>0.608</v>
      </c>
      <c r="F117" s="22">
        <v>0.737</v>
      </c>
      <c r="G117" s="22">
        <v>0.758</v>
      </c>
      <c r="H117" s="22">
        <v>0.721</v>
      </c>
      <c r="I117" s="22">
        <v>0.733</v>
      </c>
      <c r="J117" s="22">
        <v>0.301</v>
      </c>
      <c r="K117" s="22">
        <v>0.773</v>
      </c>
      <c r="L117" s="22">
        <v>0.942</v>
      </c>
      <c r="M117" s="22">
        <v>47.0</v>
      </c>
      <c r="N117" s="22">
        <v>124.0</v>
      </c>
      <c r="O117" s="22">
        <v>26.0</v>
      </c>
      <c r="P117" s="22">
        <v>422.0</v>
      </c>
    </row>
    <row r="118">
      <c r="A118" s="23"/>
      <c r="B118" s="23"/>
      <c r="C118" s="23"/>
      <c r="D118" s="11"/>
      <c r="E118" s="22">
        <v>0.609</v>
      </c>
      <c r="F118" s="22">
        <v>0.712</v>
      </c>
      <c r="G118" s="22">
        <v>0.738</v>
      </c>
      <c r="H118" s="22">
        <v>0.714</v>
      </c>
      <c r="I118" s="22">
        <v>0.723</v>
      </c>
      <c r="J118" s="22">
        <v>0.265</v>
      </c>
      <c r="K118" s="22">
        <v>0.776</v>
      </c>
      <c r="L118" s="22">
        <v>0.897</v>
      </c>
      <c r="M118" s="22">
        <v>55.0</v>
      </c>
      <c r="N118" s="22">
        <v>116.0</v>
      </c>
      <c r="O118" s="22">
        <v>46.0</v>
      </c>
      <c r="P118" s="22">
        <v>402.0</v>
      </c>
    </row>
    <row r="119">
      <c r="A119" s="23"/>
      <c r="B119" s="23"/>
      <c r="C119" s="23"/>
      <c r="D119" s="11"/>
      <c r="E119" s="22">
        <v>0.59</v>
      </c>
      <c r="F119" s="22">
        <v>0.706</v>
      </c>
      <c r="G119" s="22">
        <v>0.737</v>
      </c>
      <c r="H119" s="22">
        <v>0.702</v>
      </c>
      <c r="I119" s="22">
        <v>0.741</v>
      </c>
      <c r="J119" s="22">
        <v>0.238</v>
      </c>
      <c r="K119" s="22">
        <v>0.765</v>
      </c>
      <c r="L119" s="22">
        <v>0.917</v>
      </c>
      <c r="M119" s="22">
        <v>45.0</v>
      </c>
      <c r="N119" s="22">
        <v>126.0</v>
      </c>
      <c r="O119" s="22">
        <v>37.0</v>
      </c>
      <c r="P119" s="22">
        <v>411.0</v>
      </c>
    </row>
    <row r="120">
      <c r="A120" s="23"/>
      <c r="B120" s="23"/>
      <c r="C120" s="23"/>
      <c r="D120" s="11"/>
      <c r="E120" s="22">
        <v>0.586</v>
      </c>
      <c r="F120" s="22">
        <v>0.72</v>
      </c>
      <c r="G120" s="22">
        <v>0.746</v>
      </c>
      <c r="H120" s="22">
        <v>0.702</v>
      </c>
      <c r="I120" s="22">
        <v>0.762</v>
      </c>
      <c r="J120" s="22">
        <v>0.253</v>
      </c>
      <c r="K120" s="22">
        <v>0.762</v>
      </c>
      <c r="L120" s="22">
        <v>0.944</v>
      </c>
      <c r="M120" s="22">
        <v>39.0</v>
      </c>
      <c r="N120" s="22">
        <v>132.0</v>
      </c>
      <c r="O120" s="22">
        <v>25.0</v>
      </c>
      <c r="P120" s="22">
        <v>423.0</v>
      </c>
    </row>
    <row r="121">
      <c r="A121" s="23"/>
      <c r="B121" s="23"/>
      <c r="C121" s="23"/>
      <c r="D121" s="11"/>
      <c r="E121" s="22">
        <v>0.607</v>
      </c>
      <c r="F121" s="22">
        <v>0.71</v>
      </c>
      <c r="G121" s="22">
        <v>0.737</v>
      </c>
      <c r="H121" s="22">
        <v>0.712</v>
      </c>
      <c r="I121" s="22">
        <v>0.715</v>
      </c>
      <c r="J121" s="22">
        <v>0.259</v>
      </c>
      <c r="K121" s="22">
        <v>0.775</v>
      </c>
      <c r="L121" s="22">
        <v>0.897</v>
      </c>
      <c r="M121" s="22">
        <v>54.0</v>
      </c>
      <c r="N121" s="22">
        <v>117.0</v>
      </c>
      <c r="O121" s="22">
        <v>46.0</v>
      </c>
      <c r="P121" s="22">
        <v>402.0</v>
      </c>
    </row>
    <row r="122">
      <c r="A122" s="23"/>
      <c r="B122" s="23"/>
      <c r="C122" s="23"/>
      <c r="D122" s="11"/>
      <c r="E122" s="22">
        <v>0.604</v>
      </c>
      <c r="F122" s="22">
        <v>0.706</v>
      </c>
      <c r="G122" s="22">
        <v>0.733</v>
      </c>
      <c r="H122" s="22">
        <v>0.709</v>
      </c>
      <c r="I122" s="22">
        <v>0.71</v>
      </c>
      <c r="J122" s="22">
        <v>0.251</v>
      </c>
      <c r="K122" s="22">
        <v>0.774</v>
      </c>
      <c r="L122" s="22">
        <v>0.893</v>
      </c>
      <c r="M122" s="22">
        <v>54.0</v>
      </c>
      <c r="N122" s="22">
        <v>117.0</v>
      </c>
      <c r="O122" s="22">
        <v>48.0</v>
      </c>
      <c r="P122" s="22">
        <v>400.0</v>
      </c>
    </row>
    <row r="123">
      <c r="A123" s="23"/>
      <c r="B123" s="23"/>
      <c r="C123" s="23"/>
      <c r="D123" s="11"/>
      <c r="E123" s="22">
        <v>0.607</v>
      </c>
      <c r="F123" s="22">
        <v>0.716</v>
      </c>
      <c r="G123" s="22">
        <v>0.743</v>
      </c>
      <c r="H123" s="22">
        <v>0.715</v>
      </c>
      <c r="I123" s="22">
        <v>0.747</v>
      </c>
      <c r="J123" s="22">
        <v>0.27</v>
      </c>
      <c r="K123" s="22">
        <v>0.774</v>
      </c>
      <c r="L123" s="22">
        <v>0.911</v>
      </c>
      <c r="M123" s="22">
        <v>52.0</v>
      </c>
      <c r="N123" s="22">
        <v>119.0</v>
      </c>
      <c r="O123" s="22">
        <v>40.0</v>
      </c>
      <c r="P123" s="22">
        <v>408.0</v>
      </c>
    </row>
    <row r="124">
      <c r="A124" s="23"/>
      <c r="B124" s="23"/>
      <c r="C124" s="23"/>
      <c r="D124" s="11"/>
      <c r="E124" s="22">
        <v>0.552</v>
      </c>
      <c r="F124" s="22">
        <v>0.674</v>
      </c>
      <c r="G124" s="22">
        <v>0.721</v>
      </c>
      <c r="H124" s="22">
        <v>0.67</v>
      </c>
      <c r="I124" s="22">
        <v>0.698</v>
      </c>
      <c r="J124" s="22">
        <v>0.155</v>
      </c>
      <c r="K124" s="22">
        <v>0.747</v>
      </c>
      <c r="L124" s="22">
        <v>0.929</v>
      </c>
      <c r="M124" s="22">
        <v>30.0</v>
      </c>
      <c r="N124" s="22">
        <v>141.0</v>
      </c>
      <c r="O124" s="22">
        <v>32.0</v>
      </c>
      <c r="P124" s="22">
        <v>416.0</v>
      </c>
    </row>
    <row r="125">
      <c r="A125" s="23"/>
      <c r="B125" s="23"/>
      <c r="C125" s="23"/>
      <c r="D125" s="11"/>
      <c r="E125" s="22">
        <v>0.62</v>
      </c>
      <c r="F125" s="22">
        <v>0.717</v>
      </c>
      <c r="G125" s="22">
        <v>0.74</v>
      </c>
      <c r="H125" s="22">
        <v>0.72</v>
      </c>
      <c r="I125" s="22">
        <v>0.706</v>
      </c>
      <c r="J125" s="22">
        <v>0.28</v>
      </c>
      <c r="K125" s="22">
        <v>0.782</v>
      </c>
      <c r="L125" s="22">
        <v>0.888</v>
      </c>
      <c r="M125" s="22">
        <v>60.0</v>
      </c>
      <c r="N125" s="22">
        <v>111.0</v>
      </c>
      <c r="O125" s="22">
        <v>50.0</v>
      </c>
      <c r="P125" s="22">
        <v>398.0</v>
      </c>
    </row>
    <row r="126">
      <c r="A126" s="23"/>
      <c r="B126" s="23"/>
      <c r="C126" s="23"/>
      <c r="D126" s="11"/>
      <c r="E126" s="22">
        <v>0.598</v>
      </c>
      <c r="F126" s="22">
        <v>0.715</v>
      </c>
      <c r="G126" s="22">
        <v>0.743</v>
      </c>
      <c r="H126" s="22">
        <v>0.71</v>
      </c>
      <c r="I126" s="22">
        <v>0.722</v>
      </c>
      <c r="J126" s="22">
        <v>0.259</v>
      </c>
      <c r="K126" s="22">
        <v>0.769</v>
      </c>
      <c r="L126" s="22">
        <v>0.922</v>
      </c>
      <c r="M126" s="22">
        <v>47.0</v>
      </c>
      <c r="N126" s="22">
        <v>124.0</v>
      </c>
      <c r="O126" s="22">
        <v>35.0</v>
      </c>
      <c r="P126" s="22">
        <v>413.0</v>
      </c>
    </row>
    <row r="127">
      <c r="A127" s="23"/>
      <c r="B127" s="23"/>
      <c r="C127" s="23"/>
      <c r="D127" s="11"/>
      <c r="E127" s="22">
        <v>0.617</v>
      </c>
      <c r="F127" s="22">
        <v>0.744</v>
      </c>
      <c r="G127" s="22">
        <v>0.763</v>
      </c>
      <c r="H127" s="22">
        <v>0.728</v>
      </c>
      <c r="I127" s="22">
        <v>0.752</v>
      </c>
      <c r="J127" s="22">
        <v>0.319</v>
      </c>
      <c r="K127" s="22">
        <v>0.777</v>
      </c>
      <c r="L127" s="22">
        <v>0.942</v>
      </c>
      <c r="M127" s="22">
        <v>50.0</v>
      </c>
      <c r="N127" s="22">
        <v>121.0</v>
      </c>
      <c r="O127" s="22">
        <v>26.0</v>
      </c>
      <c r="P127" s="22">
        <v>422.0</v>
      </c>
    </row>
    <row r="128">
      <c r="A128" s="23"/>
      <c r="B128" s="23"/>
      <c r="C128" s="23"/>
      <c r="D128" s="11"/>
      <c r="E128" s="22">
        <v>0.616</v>
      </c>
      <c r="F128" s="22">
        <v>0.719</v>
      </c>
      <c r="G128" s="22">
        <v>0.743</v>
      </c>
      <c r="H128" s="22">
        <v>0.72</v>
      </c>
      <c r="I128" s="22">
        <v>0.73</v>
      </c>
      <c r="J128" s="22">
        <v>0.281</v>
      </c>
      <c r="K128" s="22">
        <v>0.779</v>
      </c>
      <c r="L128" s="22">
        <v>0.9</v>
      </c>
      <c r="M128" s="22">
        <v>57.0</v>
      </c>
      <c r="N128" s="22">
        <v>114.0</v>
      </c>
      <c r="O128" s="22">
        <v>45.0</v>
      </c>
      <c r="P128" s="22">
        <v>403.0</v>
      </c>
    </row>
    <row r="129">
      <c r="A129" s="23"/>
      <c r="B129" s="23"/>
      <c r="C129" s="23"/>
      <c r="D129" s="11"/>
      <c r="E129" s="22">
        <v>0.593</v>
      </c>
      <c r="F129" s="22">
        <v>0.704</v>
      </c>
      <c r="G129" s="22">
        <v>0.735</v>
      </c>
      <c r="H129" s="22">
        <v>0.703</v>
      </c>
      <c r="I129" s="22">
        <v>0.718</v>
      </c>
      <c r="J129" s="22">
        <v>0.239</v>
      </c>
      <c r="K129" s="22">
        <v>0.767</v>
      </c>
      <c r="L129" s="22">
        <v>0.911</v>
      </c>
      <c r="M129" s="22">
        <v>47.0</v>
      </c>
      <c r="N129" s="22">
        <v>124.0</v>
      </c>
      <c r="O129" s="22">
        <v>40.0</v>
      </c>
      <c r="P129" s="22">
        <v>408.0</v>
      </c>
    </row>
    <row r="130">
      <c r="A130" s="23"/>
      <c r="B130" s="23"/>
      <c r="C130" s="23"/>
      <c r="D130" s="11"/>
      <c r="E130" s="22">
        <v>0.605</v>
      </c>
      <c r="F130" s="22">
        <v>0.713</v>
      </c>
      <c r="G130" s="22">
        <v>0.74</v>
      </c>
      <c r="H130" s="22">
        <v>0.712</v>
      </c>
      <c r="I130" s="22">
        <v>0.719</v>
      </c>
      <c r="J130" s="22">
        <v>0.262</v>
      </c>
      <c r="K130" s="22">
        <v>0.773</v>
      </c>
      <c r="L130" s="22">
        <v>0.906</v>
      </c>
      <c r="M130" s="22">
        <v>52.0</v>
      </c>
      <c r="N130" s="22">
        <v>119.0</v>
      </c>
      <c r="O130" s="22">
        <v>42.0</v>
      </c>
      <c r="P130" s="22">
        <v>406.0</v>
      </c>
    </row>
    <row r="131">
      <c r="A131" s="23"/>
      <c r="B131" s="23"/>
      <c r="C131" s="23"/>
      <c r="D131" s="11"/>
      <c r="E131" s="22">
        <v>0.611</v>
      </c>
      <c r="F131" s="22">
        <v>0.713</v>
      </c>
      <c r="G131" s="22">
        <v>0.738</v>
      </c>
      <c r="H131" s="22">
        <v>0.715</v>
      </c>
      <c r="I131" s="22">
        <v>0.763</v>
      </c>
      <c r="J131" s="22">
        <v>0.267</v>
      </c>
      <c r="K131" s="22">
        <v>0.777</v>
      </c>
      <c r="L131" s="22">
        <v>0.895</v>
      </c>
      <c r="M131" s="22">
        <v>56.0</v>
      </c>
      <c r="N131" s="22">
        <v>115.0</v>
      </c>
      <c r="O131" s="22">
        <v>47.0</v>
      </c>
      <c r="P131" s="22">
        <v>401.0</v>
      </c>
    </row>
    <row r="132">
      <c r="A132" s="23"/>
      <c r="B132" s="23"/>
      <c r="C132" s="23"/>
      <c r="D132" s="11"/>
      <c r="E132" s="22">
        <v>0.599</v>
      </c>
      <c r="F132" s="22">
        <v>0.724</v>
      </c>
      <c r="G132" s="22">
        <v>0.75</v>
      </c>
      <c r="H132" s="22">
        <v>0.712</v>
      </c>
      <c r="I132" s="22">
        <v>0.606</v>
      </c>
      <c r="J132" s="22">
        <v>0.273</v>
      </c>
      <c r="K132" s="22">
        <v>0.769</v>
      </c>
      <c r="L132" s="22">
        <v>0.935</v>
      </c>
      <c r="M132" s="22">
        <v>45.0</v>
      </c>
      <c r="N132" s="22">
        <v>126.0</v>
      </c>
      <c r="O132" s="22">
        <v>29.0</v>
      </c>
      <c r="P132" s="22">
        <v>419.0</v>
      </c>
    </row>
    <row r="133">
      <c r="A133" s="23"/>
      <c r="B133" s="23"/>
      <c r="C133" s="23"/>
      <c r="D133" s="71" t="s">
        <v>23</v>
      </c>
      <c r="E133" s="22">
        <v>0.603</v>
      </c>
      <c r="F133" s="22">
        <v>0.713</v>
      </c>
      <c r="G133" s="22">
        <v>0.739</v>
      </c>
      <c r="H133" s="22">
        <v>0.71</v>
      </c>
      <c r="I133" s="22">
        <v>0.723</v>
      </c>
      <c r="J133" s="22">
        <v>0.26</v>
      </c>
      <c r="K133" s="22">
        <v>0.773</v>
      </c>
      <c r="L133" s="22">
        <v>0.907</v>
      </c>
      <c r="M133" s="22">
        <v>51.233</v>
      </c>
      <c r="N133" s="22">
        <v>119.767</v>
      </c>
      <c r="O133" s="22">
        <v>41.6</v>
      </c>
      <c r="P133" s="22">
        <v>406.4</v>
      </c>
    </row>
    <row r="134">
      <c r="A134" s="72"/>
      <c r="B134" s="72"/>
      <c r="C134" s="72"/>
      <c r="D134" s="73" t="s">
        <v>232</v>
      </c>
      <c r="E134" s="22">
        <v>0.019</v>
      </c>
      <c r="F134" s="22">
        <v>0.013</v>
      </c>
      <c r="G134" s="22">
        <v>0.009</v>
      </c>
      <c r="H134" s="22">
        <v>0.013</v>
      </c>
      <c r="I134" s="22">
        <v>0.029</v>
      </c>
      <c r="J134" s="22">
        <v>0.033</v>
      </c>
      <c r="K134" s="22">
        <v>0.01</v>
      </c>
      <c r="L134" s="22">
        <v>0.027</v>
      </c>
      <c r="M134" s="22">
        <v>10.19</v>
      </c>
      <c r="N134" s="22">
        <v>10.19</v>
      </c>
      <c r="O134" s="22">
        <v>12.087</v>
      </c>
      <c r="P134" s="22">
        <v>12.087</v>
      </c>
    </row>
  </sheetData>
  <mergeCells count="12">
    <mergeCell ref="B70:B101"/>
    <mergeCell ref="C70:C101"/>
    <mergeCell ref="A103:A134"/>
    <mergeCell ref="B103:B134"/>
    <mergeCell ref="C103:C134"/>
    <mergeCell ref="A4:A35"/>
    <mergeCell ref="B4:B35"/>
    <mergeCell ref="C4:C35"/>
    <mergeCell ref="A37:A68"/>
    <mergeCell ref="B37:B68"/>
    <mergeCell ref="C37:C68"/>
    <mergeCell ref="A70:A101"/>
  </mergeCells>
  <conditionalFormatting sqref="H1:H777">
    <cfRule type="cellIs" dxfId="0" priority="1" operator="greaterThan">
      <formula>0.725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19.13"/>
    <col customWidth="1" min="3" max="3" width="21.25"/>
  </cols>
  <sheetData>
    <row r="1">
      <c r="A1" s="1" t="s">
        <v>0</v>
      </c>
      <c r="B1" s="2" t="s">
        <v>1</v>
      </c>
      <c r="C1" s="3" t="s">
        <v>2</v>
      </c>
      <c r="D1" s="5"/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6" t="s">
        <v>10</v>
      </c>
      <c r="M1" s="6" t="s">
        <v>247</v>
      </c>
      <c r="N1" s="6" t="s">
        <v>12</v>
      </c>
      <c r="O1" s="6" t="s">
        <v>13</v>
      </c>
      <c r="P1" s="6" t="s">
        <v>248</v>
      </c>
    </row>
    <row r="2" ht="28.5" customHeight="1">
      <c r="A2" s="57" t="s">
        <v>18</v>
      </c>
      <c r="B2" s="58"/>
      <c r="C2" s="19" t="s">
        <v>19</v>
      </c>
      <c r="D2" s="59"/>
      <c r="E2" s="60">
        <v>0.652</v>
      </c>
      <c r="F2" s="60">
        <v>0.724</v>
      </c>
      <c r="G2" s="60">
        <v>0.727</v>
      </c>
      <c r="H2" s="60">
        <v>0.725</v>
      </c>
      <c r="I2" s="60">
        <v>0.684</v>
      </c>
      <c r="J2" s="60">
        <v>0.309</v>
      </c>
      <c r="K2" s="60">
        <v>0.807</v>
      </c>
      <c r="L2" s="60">
        <v>0.819</v>
      </c>
      <c r="M2" s="61">
        <v>83.0</v>
      </c>
      <c r="N2" s="61">
        <v>88.0</v>
      </c>
      <c r="O2" s="61">
        <v>81.0</v>
      </c>
      <c r="P2" s="62">
        <v>367.0</v>
      </c>
    </row>
    <row r="4">
      <c r="A4" s="68" t="s">
        <v>230</v>
      </c>
      <c r="B4" s="19" t="s">
        <v>231</v>
      </c>
      <c r="C4" s="19" t="s">
        <v>215</v>
      </c>
      <c r="D4" s="69"/>
      <c r="E4" s="32">
        <v>0.493</v>
      </c>
      <c r="F4" s="32">
        <v>0.588</v>
      </c>
      <c r="G4" s="32">
        <v>0.682</v>
      </c>
      <c r="H4" s="32">
        <v>0.614</v>
      </c>
      <c r="I4" s="32">
        <v>0.51</v>
      </c>
      <c r="J4" s="32">
        <v>-0.024</v>
      </c>
      <c r="K4" s="32">
        <v>0.721</v>
      </c>
      <c r="L4" s="32">
        <v>0.915</v>
      </c>
      <c r="M4" s="32">
        <v>12.0</v>
      </c>
      <c r="N4" s="32">
        <v>159.0</v>
      </c>
      <c r="O4" s="22">
        <v>38.0</v>
      </c>
      <c r="P4" s="32">
        <v>410.0</v>
      </c>
    </row>
    <row r="5">
      <c r="A5" s="23"/>
      <c r="B5" s="23"/>
      <c r="C5" s="23"/>
      <c r="D5" s="69"/>
      <c r="E5" s="22">
        <v>0.504</v>
      </c>
      <c r="F5" s="32">
        <v>0.625</v>
      </c>
      <c r="G5" s="22">
        <v>0.719</v>
      </c>
      <c r="H5" s="22">
        <v>0.617</v>
      </c>
      <c r="I5" s="22">
        <v>0.556</v>
      </c>
      <c r="J5" s="22">
        <v>0.026</v>
      </c>
      <c r="K5" s="22">
        <v>0.725</v>
      </c>
      <c r="L5" s="32">
        <v>0.984</v>
      </c>
      <c r="M5" s="22">
        <v>4.0</v>
      </c>
      <c r="N5" s="22">
        <v>167.0</v>
      </c>
      <c r="O5" s="22">
        <v>7.0</v>
      </c>
      <c r="P5" s="22">
        <v>441.0</v>
      </c>
    </row>
    <row r="6">
      <c r="A6" s="23"/>
      <c r="B6" s="23"/>
      <c r="C6" s="23"/>
      <c r="D6" s="70"/>
      <c r="E6" s="22">
        <v>0.496</v>
      </c>
      <c r="F6" s="22">
        <v>0.562</v>
      </c>
      <c r="G6" s="22">
        <v>0.716</v>
      </c>
      <c r="H6" s="22">
        <v>0.607</v>
      </c>
      <c r="I6" s="22">
        <v>0.49</v>
      </c>
      <c r="J6" s="22">
        <v>-0.032</v>
      </c>
      <c r="K6" s="22">
        <v>0.722</v>
      </c>
      <c r="L6" s="22">
        <v>0.987</v>
      </c>
      <c r="M6" s="22">
        <v>1.0</v>
      </c>
      <c r="N6" s="22">
        <v>170.0</v>
      </c>
      <c r="O6" s="22">
        <v>6.0</v>
      </c>
      <c r="P6" s="22">
        <v>442.0</v>
      </c>
    </row>
    <row r="7">
      <c r="A7" s="23"/>
      <c r="B7" s="23"/>
      <c r="C7" s="23"/>
      <c r="D7" s="70"/>
      <c r="E7" s="22">
        <v>0.497</v>
      </c>
      <c r="F7" s="22">
        <v>0.595</v>
      </c>
      <c r="G7" s="22">
        <v>0.677</v>
      </c>
      <c r="H7" s="22">
        <v>0.618</v>
      </c>
      <c r="I7" s="22">
        <v>0.521</v>
      </c>
      <c r="J7" s="22">
        <v>-0.01</v>
      </c>
      <c r="K7" s="22">
        <v>0.722</v>
      </c>
      <c r="L7" s="22">
        <v>0.9</v>
      </c>
      <c r="M7" s="22">
        <v>16.0</v>
      </c>
      <c r="N7" s="22">
        <v>155.0</v>
      </c>
      <c r="O7" s="22">
        <v>45.0</v>
      </c>
      <c r="P7" s="22">
        <v>403.0</v>
      </c>
    </row>
    <row r="8">
      <c r="A8" s="23"/>
      <c r="B8" s="23"/>
      <c r="C8" s="23"/>
      <c r="D8" s="70"/>
      <c r="E8" s="22">
        <v>0.501</v>
      </c>
      <c r="F8" s="22">
        <v>0.602</v>
      </c>
      <c r="G8" s="22">
        <v>0.679</v>
      </c>
      <c r="H8" s="22">
        <v>0.622</v>
      </c>
      <c r="I8" s="22">
        <v>0.511</v>
      </c>
      <c r="J8" s="22">
        <v>0.004</v>
      </c>
      <c r="K8" s="22">
        <v>0.724</v>
      </c>
      <c r="L8" s="22">
        <v>0.897</v>
      </c>
      <c r="M8" s="22">
        <v>18.0</v>
      </c>
      <c r="N8" s="22">
        <v>153.0</v>
      </c>
      <c r="O8" s="22">
        <v>46.0</v>
      </c>
      <c r="P8" s="22">
        <v>402.0</v>
      </c>
    </row>
    <row r="9">
      <c r="A9" s="23"/>
      <c r="B9" s="23"/>
      <c r="C9" s="23"/>
      <c r="D9" s="70"/>
      <c r="E9" s="22">
        <v>0.501</v>
      </c>
      <c r="F9" s="22">
        <v>0.607</v>
      </c>
      <c r="G9" s="22">
        <v>0.717</v>
      </c>
      <c r="H9" s="22">
        <v>0.613</v>
      </c>
      <c r="I9" s="22">
        <v>0.543</v>
      </c>
      <c r="J9" s="22">
        <v>0.007</v>
      </c>
      <c r="K9" s="22">
        <v>0.724</v>
      </c>
      <c r="L9" s="22">
        <v>0.984</v>
      </c>
      <c r="M9" s="22">
        <v>3.0</v>
      </c>
      <c r="N9" s="22">
        <v>168.0</v>
      </c>
      <c r="O9" s="22">
        <v>7.0</v>
      </c>
      <c r="P9" s="22">
        <v>441.0</v>
      </c>
    </row>
    <row r="10">
      <c r="A10" s="23"/>
      <c r="B10" s="23"/>
      <c r="C10" s="23"/>
      <c r="D10" s="70"/>
      <c r="E10" s="22">
        <v>0.517</v>
      </c>
      <c r="F10" s="22">
        <v>0.641</v>
      </c>
      <c r="G10" s="22">
        <v>0.714</v>
      </c>
      <c r="H10" s="22">
        <v>0.635</v>
      </c>
      <c r="I10" s="22">
        <v>0.533</v>
      </c>
      <c r="J10" s="22">
        <v>0.068</v>
      </c>
      <c r="K10" s="22">
        <v>0.731</v>
      </c>
      <c r="L10" s="22">
        <v>0.958</v>
      </c>
      <c r="M10" s="22">
        <v>13.0</v>
      </c>
      <c r="N10" s="22">
        <v>158.0</v>
      </c>
      <c r="O10" s="22">
        <v>19.0</v>
      </c>
      <c r="P10" s="22">
        <v>429.0</v>
      </c>
    </row>
    <row r="11">
      <c r="A11" s="23"/>
      <c r="B11" s="23"/>
      <c r="C11" s="23"/>
      <c r="D11" s="70"/>
      <c r="E11" s="22">
        <v>0.498</v>
      </c>
      <c r="F11" s="22">
        <v>0.596</v>
      </c>
      <c r="G11" s="22">
        <v>0.695</v>
      </c>
      <c r="H11" s="22">
        <v>0.617</v>
      </c>
      <c r="I11" s="22">
        <v>0.494</v>
      </c>
      <c r="J11" s="22">
        <v>-0.007</v>
      </c>
      <c r="K11" s="22">
        <v>0.723</v>
      </c>
      <c r="L11" s="22">
        <v>0.938</v>
      </c>
      <c r="M11" s="22">
        <v>10.0</v>
      </c>
      <c r="N11" s="22">
        <v>161.0</v>
      </c>
      <c r="O11" s="22">
        <v>28.0</v>
      </c>
      <c r="P11" s="22">
        <v>420.0</v>
      </c>
    </row>
    <row r="12">
      <c r="A12" s="23"/>
      <c r="B12" s="23"/>
      <c r="C12" s="23"/>
      <c r="D12" s="70"/>
      <c r="E12" s="80">
        <v>0.525</v>
      </c>
      <c r="F12" s="80">
        <v>0.638</v>
      </c>
      <c r="G12" s="80">
        <v>0.703</v>
      </c>
      <c r="H12" s="80">
        <v>0.645</v>
      </c>
      <c r="I12" s="80">
        <v>0.517</v>
      </c>
      <c r="J12" s="80">
        <v>0.078</v>
      </c>
      <c r="K12" s="80">
        <v>0.735</v>
      </c>
      <c r="L12" s="80">
        <v>0.922</v>
      </c>
      <c r="M12" s="80">
        <v>22.0</v>
      </c>
      <c r="N12" s="80">
        <v>149.0</v>
      </c>
      <c r="O12" s="80">
        <v>35.0</v>
      </c>
      <c r="P12" s="80">
        <v>413.0</v>
      </c>
    </row>
    <row r="13">
      <c r="A13" s="23"/>
      <c r="B13" s="23"/>
      <c r="C13" s="23"/>
      <c r="D13" s="70"/>
      <c r="E13" s="22">
        <v>0.503</v>
      </c>
      <c r="F13" s="22">
        <v>0.617</v>
      </c>
      <c r="G13" s="22">
        <v>0.716</v>
      </c>
      <c r="H13" s="22">
        <v>0.618</v>
      </c>
      <c r="I13" s="22">
        <v>0.536</v>
      </c>
      <c r="J13" s="22">
        <v>0.02</v>
      </c>
      <c r="K13" s="22">
        <v>0.725</v>
      </c>
      <c r="L13" s="22">
        <v>0.978</v>
      </c>
      <c r="M13" s="22">
        <v>5.0</v>
      </c>
      <c r="N13" s="22">
        <v>166.0</v>
      </c>
      <c r="O13" s="22">
        <v>10.0</v>
      </c>
      <c r="P13" s="22">
        <v>438.0</v>
      </c>
    </row>
    <row r="14">
      <c r="A14" s="23"/>
      <c r="B14" s="23"/>
      <c r="C14" s="23"/>
      <c r="D14" s="11"/>
      <c r="E14" s="22">
        <v>0.506</v>
      </c>
      <c r="F14" s="22">
        <v>0.632</v>
      </c>
      <c r="G14" s="22">
        <v>0.719</v>
      </c>
      <c r="H14" s="22">
        <v>0.619</v>
      </c>
      <c r="I14" s="22">
        <v>0.564</v>
      </c>
      <c r="J14" s="22">
        <v>0.035</v>
      </c>
      <c r="K14" s="22">
        <v>0.726</v>
      </c>
      <c r="L14" s="22">
        <v>0.982</v>
      </c>
      <c r="M14" s="22">
        <v>5.0</v>
      </c>
      <c r="N14" s="22">
        <v>166.0</v>
      </c>
      <c r="O14" s="22">
        <v>8.0</v>
      </c>
      <c r="P14" s="22">
        <v>440.0</v>
      </c>
    </row>
    <row r="15">
      <c r="A15" s="23"/>
      <c r="B15" s="23"/>
      <c r="C15" s="23"/>
      <c r="D15" s="11"/>
      <c r="E15" s="22">
        <v>0.503</v>
      </c>
      <c r="F15" s="22">
        <v>0.612</v>
      </c>
      <c r="G15" s="22">
        <v>0.712</v>
      </c>
      <c r="H15" s="22">
        <v>0.618</v>
      </c>
      <c r="I15" s="22">
        <v>0.562</v>
      </c>
      <c r="J15" s="22">
        <v>0.016</v>
      </c>
      <c r="K15" s="22">
        <v>0.725</v>
      </c>
      <c r="L15" s="22">
        <v>0.971</v>
      </c>
      <c r="M15" s="22">
        <v>6.0</v>
      </c>
      <c r="N15" s="22">
        <v>165.0</v>
      </c>
      <c r="O15" s="22">
        <v>13.0</v>
      </c>
      <c r="P15" s="22">
        <v>435.0</v>
      </c>
    </row>
    <row r="16">
      <c r="A16" s="23"/>
      <c r="B16" s="23"/>
      <c r="C16" s="23"/>
      <c r="D16" s="11"/>
      <c r="E16" s="22">
        <v>0.503</v>
      </c>
      <c r="F16" s="22">
        <v>0.612</v>
      </c>
      <c r="G16" s="22">
        <v>0.712</v>
      </c>
      <c r="H16" s="22">
        <v>0.618</v>
      </c>
      <c r="I16" s="22">
        <v>0.538</v>
      </c>
      <c r="J16" s="22">
        <v>0.016</v>
      </c>
      <c r="K16" s="22">
        <v>0.725</v>
      </c>
      <c r="L16" s="22">
        <v>0.971</v>
      </c>
      <c r="M16" s="22">
        <v>6.0</v>
      </c>
      <c r="N16" s="22">
        <v>165.0</v>
      </c>
      <c r="O16" s="22">
        <v>13.0</v>
      </c>
      <c r="P16" s="22">
        <v>435.0</v>
      </c>
    </row>
    <row r="17">
      <c r="A17" s="23"/>
      <c r="B17" s="23"/>
      <c r="C17" s="23"/>
      <c r="D17" s="11"/>
      <c r="E17" s="22">
        <v>0.507</v>
      </c>
      <c r="F17" s="22">
        <v>0.622</v>
      </c>
      <c r="G17" s="22">
        <v>0.712</v>
      </c>
      <c r="H17" s="22">
        <v>0.623</v>
      </c>
      <c r="I17" s="22">
        <v>0.505</v>
      </c>
      <c r="J17" s="22">
        <v>0.031</v>
      </c>
      <c r="K17" s="22">
        <v>0.727</v>
      </c>
      <c r="L17" s="22">
        <v>0.967</v>
      </c>
      <c r="M17" s="22">
        <v>8.0</v>
      </c>
      <c r="N17" s="22">
        <v>163.0</v>
      </c>
      <c r="O17" s="22">
        <v>15.0</v>
      </c>
      <c r="P17" s="22">
        <v>433.0</v>
      </c>
    </row>
    <row r="18">
      <c r="A18" s="23"/>
      <c r="B18" s="23"/>
      <c r="C18" s="23"/>
      <c r="D18" s="11"/>
      <c r="E18" s="22">
        <v>0.525</v>
      </c>
      <c r="F18" s="22">
        <v>0.624</v>
      </c>
      <c r="G18" s="22">
        <v>0.661</v>
      </c>
      <c r="H18" s="22">
        <v>0.638</v>
      </c>
      <c r="I18" s="22">
        <v>0.52</v>
      </c>
      <c r="J18" s="22">
        <v>0.058</v>
      </c>
      <c r="K18" s="22">
        <v>0.736</v>
      </c>
      <c r="L18" s="22">
        <v>0.828</v>
      </c>
      <c r="M18" s="22">
        <v>38.0</v>
      </c>
      <c r="N18" s="22">
        <v>133.0</v>
      </c>
      <c r="O18" s="22">
        <v>77.0</v>
      </c>
      <c r="P18" s="22">
        <v>371.0</v>
      </c>
    </row>
    <row r="19">
      <c r="A19" s="23"/>
      <c r="B19" s="23"/>
      <c r="C19" s="23"/>
      <c r="D19" s="11"/>
      <c r="E19" s="22">
        <v>0.518</v>
      </c>
      <c r="F19" s="22">
        <v>0.621</v>
      </c>
      <c r="G19" s="22">
        <v>0.679</v>
      </c>
      <c r="H19" s="22">
        <v>0.636</v>
      </c>
      <c r="I19" s="22">
        <v>0.517</v>
      </c>
      <c r="J19" s="22">
        <v>0.046</v>
      </c>
      <c r="K19" s="22">
        <v>0.732</v>
      </c>
      <c r="L19" s="22">
        <v>0.877</v>
      </c>
      <c r="M19" s="22">
        <v>27.0</v>
      </c>
      <c r="N19" s="22">
        <v>144.0</v>
      </c>
      <c r="O19" s="22">
        <v>55.0</v>
      </c>
      <c r="P19" s="22">
        <v>393.0</v>
      </c>
    </row>
    <row r="20">
      <c r="A20" s="23"/>
      <c r="B20" s="23"/>
      <c r="C20" s="23"/>
      <c r="D20" s="11"/>
      <c r="E20" s="22">
        <v>0.498</v>
      </c>
      <c r="F20" s="22">
        <v>0.592</v>
      </c>
      <c r="G20" s="22">
        <v>0.711</v>
      </c>
      <c r="H20" s="22">
        <v>0.612</v>
      </c>
      <c r="I20" s="22">
        <v>0.521</v>
      </c>
      <c r="J20" s="22">
        <v>-0.01</v>
      </c>
      <c r="K20" s="22">
        <v>0.723</v>
      </c>
      <c r="L20" s="22">
        <v>0.973</v>
      </c>
      <c r="M20" s="22">
        <v>4.0</v>
      </c>
      <c r="N20" s="22">
        <v>167.0</v>
      </c>
      <c r="O20" s="22">
        <v>12.0</v>
      </c>
      <c r="P20" s="22">
        <v>436.0</v>
      </c>
    </row>
    <row r="21">
      <c r="A21" s="23"/>
      <c r="B21" s="23"/>
      <c r="C21" s="23"/>
      <c r="D21" s="11"/>
      <c r="E21" s="22">
        <v>0.503</v>
      </c>
      <c r="F21" s="22">
        <v>0.628</v>
      </c>
      <c r="G21" s="22">
        <v>0.721</v>
      </c>
      <c r="H21" s="22">
        <v>0.615</v>
      </c>
      <c r="I21" s="22">
        <v>0.56</v>
      </c>
      <c r="J21" s="22">
        <v>0.025</v>
      </c>
      <c r="K21" s="22">
        <v>0.725</v>
      </c>
      <c r="L21" s="22">
        <v>0.989</v>
      </c>
      <c r="M21" s="22">
        <v>3.0</v>
      </c>
      <c r="N21" s="22">
        <v>168.0</v>
      </c>
      <c r="O21" s="22">
        <v>5.0</v>
      </c>
      <c r="P21" s="22">
        <v>443.0</v>
      </c>
    </row>
    <row r="22">
      <c r="A22" s="23"/>
      <c r="B22" s="23"/>
      <c r="C22" s="23"/>
      <c r="D22" s="11"/>
      <c r="E22" s="22">
        <v>0.501</v>
      </c>
      <c r="F22" s="22">
        <v>0.603</v>
      </c>
      <c r="G22" s="22">
        <v>0.7</v>
      </c>
      <c r="H22" s="22">
        <v>0.62</v>
      </c>
      <c r="I22" s="22">
        <v>0.511</v>
      </c>
      <c r="J22" s="22">
        <v>0.005</v>
      </c>
      <c r="K22" s="22">
        <v>0.724</v>
      </c>
      <c r="L22" s="22">
        <v>0.944</v>
      </c>
      <c r="M22" s="22">
        <v>10.0</v>
      </c>
      <c r="N22" s="22">
        <v>161.0</v>
      </c>
      <c r="O22" s="22">
        <v>25.0</v>
      </c>
      <c r="P22" s="22">
        <v>423.0</v>
      </c>
    </row>
    <row r="23">
      <c r="A23" s="23"/>
      <c r="B23" s="23"/>
      <c r="C23" s="23"/>
      <c r="D23" s="11"/>
      <c r="E23" s="22">
        <v>0.518</v>
      </c>
      <c r="F23" s="22">
        <v>0.621</v>
      </c>
      <c r="G23" s="22">
        <v>0.677</v>
      </c>
      <c r="H23" s="22">
        <v>0.637</v>
      </c>
      <c r="I23" s="22">
        <v>0.505</v>
      </c>
      <c r="J23" s="22">
        <v>0.047</v>
      </c>
      <c r="K23" s="22">
        <v>0.732</v>
      </c>
      <c r="L23" s="22">
        <v>0.873</v>
      </c>
      <c r="M23" s="22">
        <v>28.0</v>
      </c>
      <c r="N23" s="22">
        <v>143.0</v>
      </c>
      <c r="O23" s="22">
        <v>57.0</v>
      </c>
      <c r="P23" s="22">
        <v>391.0</v>
      </c>
    </row>
    <row r="24">
      <c r="A24" s="23"/>
      <c r="B24" s="23"/>
      <c r="C24" s="23"/>
      <c r="D24" s="11"/>
      <c r="E24" s="22">
        <v>0.499</v>
      </c>
      <c r="F24" s="22">
        <v>0.595</v>
      </c>
      <c r="G24" s="22">
        <v>0.706</v>
      </c>
      <c r="H24" s="22">
        <v>0.615</v>
      </c>
      <c r="I24" s="22">
        <v>0.511</v>
      </c>
      <c r="J24" s="22">
        <v>-0.007</v>
      </c>
      <c r="K24" s="22">
        <v>0.723</v>
      </c>
      <c r="L24" s="22">
        <v>0.962</v>
      </c>
      <c r="M24" s="22">
        <v>6.0</v>
      </c>
      <c r="N24" s="22">
        <v>165.0</v>
      </c>
      <c r="O24" s="22">
        <v>17.0</v>
      </c>
      <c r="P24" s="22">
        <v>431.0</v>
      </c>
    </row>
    <row r="25">
      <c r="A25" s="23"/>
      <c r="B25" s="23"/>
      <c r="C25" s="23"/>
      <c r="D25" s="11"/>
      <c r="E25" s="22">
        <v>0.513</v>
      </c>
      <c r="F25" s="22">
        <v>0.613</v>
      </c>
      <c r="G25" s="22">
        <v>0.654</v>
      </c>
      <c r="H25" s="22">
        <v>0.628</v>
      </c>
      <c r="I25" s="22">
        <v>0.515</v>
      </c>
      <c r="J25" s="22">
        <v>0.031</v>
      </c>
      <c r="K25" s="22">
        <v>0.73</v>
      </c>
      <c r="L25" s="22">
        <v>0.828</v>
      </c>
      <c r="M25" s="22">
        <v>34.0</v>
      </c>
      <c r="N25" s="22">
        <v>137.0</v>
      </c>
      <c r="O25" s="22">
        <v>77.0</v>
      </c>
      <c r="P25" s="22">
        <v>371.0</v>
      </c>
    </row>
    <row r="26">
      <c r="A26" s="23"/>
      <c r="B26" s="23"/>
      <c r="C26" s="23"/>
      <c r="D26" s="11"/>
      <c r="E26" s="22">
        <v>0.519</v>
      </c>
      <c r="F26" s="22">
        <v>0.618</v>
      </c>
      <c r="G26" s="22">
        <v>0.654</v>
      </c>
      <c r="H26" s="22">
        <v>0.632</v>
      </c>
      <c r="I26" s="22">
        <v>0.496</v>
      </c>
      <c r="J26" s="22">
        <v>0.043</v>
      </c>
      <c r="K26" s="22">
        <v>0.733</v>
      </c>
      <c r="L26" s="22">
        <v>0.821</v>
      </c>
      <c r="M26" s="22">
        <v>37.0</v>
      </c>
      <c r="N26" s="22">
        <v>134.0</v>
      </c>
      <c r="O26" s="22">
        <v>80.0</v>
      </c>
      <c r="P26" s="22">
        <v>368.0</v>
      </c>
    </row>
    <row r="27">
      <c r="A27" s="23"/>
      <c r="B27" s="23"/>
      <c r="C27" s="23"/>
      <c r="D27" s="11"/>
      <c r="E27" s="22">
        <v>0.498</v>
      </c>
      <c r="F27" s="22">
        <v>0.587</v>
      </c>
      <c r="G27" s="22">
        <v>0.712</v>
      </c>
      <c r="H27" s="22">
        <v>0.611</v>
      </c>
      <c r="I27" s="22">
        <v>0.512</v>
      </c>
      <c r="J27" s="22">
        <v>-0.015</v>
      </c>
      <c r="K27" s="22">
        <v>0.723</v>
      </c>
      <c r="L27" s="22">
        <v>0.978</v>
      </c>
      <c r="M27" s="22">
        <v>3.0</v>
      </c>
      <c r="N27" s="22">
        <v>168.0</v>
      </c>
      <c r="O27" s="22">
        <v>10.0</v>
      </c>
      <c r="P27" s="22">
        <v>438.0</v>
      </c>
    </row>
    <row r="28">
      <c r="A28" s="23"/>
      <c r="B28" s="23"/>
      <c r="C28" s="23"/>
      <c r="D28" s="11"/>
      <c r="E28" s="22">
        <v>0.507</v>
      </c>
      <c r="F28" s="22">
        <v>0.608</v>
      </c>
      <c r="G28" s="22">
        <v>0.666</v>
      </c>
      <c r="H28" s="22">
        <v>0.626</v>
      </c>
      <c r="I28" s="22">
        <v>0.523</v>
      </c>
      <c r="J28" s="22">
        <v>0.017</v>
      </c>
      <c r="K28" s="22">
        <v>0.727</v>
      </c>
      <c r="L28" s="22">
        <v>0.862</v>
      </c>
      <c r="M28" s="22">
        <v>26.0</v>
      </c>
      <c r="N28" s="22">
        <v>145.0</v>
      </c>
      <c r="O28" s="22">
        <v>62.0</v>
      </c>
      <c r="P28" s="22">
        <v>386.0</v>
      </c>
    </row>
    <row r="29">
      <c r="A29" s="23"/>
      <c r="B29" s="23"/>
      <c r="C29" s="23"/>
      <c r="D29" s="11"/>
      <c r="E29" s="22">
        <v>0.495</v>
      </c>
      <c r="F29" s="22">
        <v>0.594</v>
      </c>
      <c r="G29" s="22">
        <v>0.667</v>
      </c>
      <c r="H29" s="22">
        <v>0.617</v>
      </c>
      <c r="I29" s="22">
        <v>0.509</v>
      </c>
      <c r="J29" s="22">
        <v>-0.013</v>
      </c>
      <c r="K29" s="22">
        <v>0.722</v>
      </c>
      <c r="L29" s="22">
        <v>0.879</v>
      </c>
      <c r="M29" s="22">
        <v>19.0</v>
      </c>
      <c r="N29" s="22">
        <v>152.0</v>
      </c>
      <c r="O29" s="22">
        <v>54.0</v>
      </c>
      <c r="P29" s="22">
        <v>394.0</v>
      </c>
    </row>
    <row r="30">
      <c r="A30" s="23"/>
      <c r="B30" s="23"/>
      <c r="C30" s="23"/>
      <c r="D30" s="11"/>
      <c r="E30" s="22">
        <v>0.503</v>
      </c>
      <c r="F30" s="22">
        <v>0.61</v>
      </c>
      <c r="G30" s="22">
        <v>0.708</v>
      </c>
      <c r="H30" s="22">
        <v>0.62</v>
      </c>
      <c r="I30" s="22">
        <v>0.495</v>
      </c>
      <c r="J30" s="22">
        <v>0.015</v>
      </c>
      <c r="K30" s="22">
        <v>0.725</v>
      </c>
      <c r="L30" s="22">
        <v>0.96</v>
      </c>
      <c r="M30" s="22">
        <v>8.0</v>
      </c>
      <c r="N30" s="22">
        <v>163.0</v>
      </c>
      <c r="O30" s="22">
        <v>18.0</v>
      </c>
      <c r="P30" s="22">
        <v>430.0</v>
      </c>
    </row>
    <row r="31">
      <c r="A31" s="23"/>
      <c r="B31" s="23"/>
      <c r="C31" s="23"/>
      <c r="D31" s="11"/>
      <c r="E31" s="22">
        <v>0.506</v>
      </c>
      <c r="F31" s="22">
        <v>0.606</v>
      </c>
      <c r="G31" s="22">
        <v>0.654</v>
      </c>
      <c r="H31" s="22">
        <v>0.624</v>
      </c>
      <c r="I31" s="22">
        <v>0.493</v>
      </c>
      <c r="J31" s="22">
        <v>0.015</v>
      </c>
      <c r="K31" s="22">
        <v>0.727</v>
      </c>
      <c r="L31" s="22">
        <v>0.837</v>
      </c>
      <c r="M31" s="22">
        <v>30.0</v>
      </c>
      <c r="N31" s="22">
        <v>141.0</v>
      </c>
      <c r="O31" s="22">
        <v>73.0</v>
      </c>
      <c r="P31" s="22">
        <v>375.0</v>
      </c>
    </row>
    <row r="32">
      <c r="A32" s="23"/>
      <c r="B32" s="23"/>
      <c r="C32" s="23"/>
      <c r="D32" s="11"/>
      <c r="E32" s="22">
        <v>0.504</v>
      </c>
      <c r="F32" s="22">
        <v>0.625</v>
      </c>
      <c r="G32" s="22">
        <v>0.719</v>
      </c>
      <c r="H32" s="22">
        <v>0.617</v>
      </c>
      <c r="I32" s="22">
        <v>0.556</v>
      </c>
      <c r="J32" s="22">
        <v>0.026</v>
      </c>
      <c r="K32" s="22">
        <v>0.725</v>
      </c>
      <c r="L32" s="22">
        <v>0.984</v>
      </c>
      <c r="M32" s="22">
        <v>4.0</v>
      </c>
      <c r="N32" s="22">
        <v>167.0</v>
      </c>
      <c r="O32" s="22">
        <v>7.0</v>
      </c>
      <c r="P32" s="22">
        <v>441.0</v>
      </c>
    </row>
    <row r="33">
      <c r="A33" s="23"/>
      <c r="B33" s="23"/>
      <c r="C33" s="23"/>
      <c r="D33" s="11"/>
      <c r="E33" s="22">
        <v>0.502</v>
      </c>
      <c r="F33" s="22">
        <v>0.607</v>
      </c>
      <c r="G33" s="22">
        <v>0.711</v>
      </c>
      <c r="H33" s="22">
        <v>0.617</v>
      </c>
      <c r="I33" s="22">
        <v>0.53</v>
      </c>
      <c r="J33" s="22">
        <v>0.01</v>
      </c>
      <c r="K33" s="22">
        <v>0.725</v>
      </c>
      <c r="L33" s="22">
        <v>0.969</v>
      </c>
      <c r="M33" s="22">
        <v>6.0</v>
      </c>
      <c r="N33" s="22">
        <v>165.0</v>
      </c>
      <c r="O33" s="22">
        <v>14.0</v>
      </c>
      <c r="P33" s="22">
        <v>434.0</v>
      </c>
    </row>
    <row r="34">
      <c r="A34" s="23"/>
      <c r="B34" s="23"/>
      <c r="C34" s="23"/>
      <c r="D34" s="71" t="s">
        <v>23</v>
      </c>
      <c r="E34" s="22">
        <v>0.505</v>
      </c>
      <c r="F34" s="22">
        <v>0.61</v>
      </c>
      <c r="G34" s="22">
        <v>0.696</v>
      </c>
      <c r="H34" s="22">
        <v>0.622</v>
      </c>
      <c r="I34" s="22">
        <v>0.522</v>
      </c>
      <c r="J34" s="22">
        <v>0.017</v>
      </c>
      <c r="K34" s="22">
        <v>0.726</v>
      </c>
      <c r="L34" s="22">
        <v>0.931</v>
      </c>
      <c r="M34" s="22">
        <v>13.733</v>
      </c>
      <c r="N34" s="22">
        <v>157.267</v>
      </c>
      <c r="O34" s="22">
        <v>31.1</v>
      </c>
      <c r="P34" s="22">
        <v>416.9</v>
      </c>
    </row>
    <row r="35">
      <c r="A35" s="72"/>
      <c r="B35" s="72"/>
      <c r="C35" s="72"/>
      <c r="D35" s="73" t="s">
        <v>232</v>
      </c>
      <c r="E35" s="22">
        <v>0.009</v>
      </c>
      <c r="F35" s="22">
        <v>0.017</v>
      </c>
      <c r="G35" s="22">
        <v>0.023</v>
      </c>
      <c r="H35" s="22">
        <v>0.009</v>
      </c>
      <c r="I35" s="22">
        <v>0.021</v>
      </c>
      <c r="J35" s="22">
        <v>0.026</v>
      </c>
      <c r="K35" s="22">
        <v>0.004</v>
      </c>
      <c r="L35" s="22">
        <v>0.055</v>
      </c>
      <c r="M35" s="22">
        <v>11.159</v>
      </c>
      <c r="N35" s="22">
        <v>11.159</v>
      </c>
      <c r="O35" s="22">
        <v>24.612</v>
      </c>
      <c r="P35" s="22">
        <v>24.612</v>
      </c>
    </row>
    <row r="36">
      <c r="A36" s="74"/>
      <c r="B36" s="17"/>
      <c r="C36" s="17"/>
      <c r="D36" s="75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18"/>
      <c r="P36" s="76"/>
    </row>
    <row r="37">
      <c r="A37" s="77" t="s">
        <v>233</v>
      </c>
      <c r="B37" s="78" t="s">
        <v>231</v>
      </c>
      <c r="C37" s="78" t="s">
        <v>19</v>
      </c>
      <c r="D37" s="79"/>
      <c r="E37" s="32">
        <v>0.514</v>
      </c>
      <c r="F37" s="32">
        <v>0.614</v>
      </c>
      <c r="G37" s="32">
        <v>0.658</v>
      </c>
      <c r="H37" s="32">
        <v>0.63</v>
      </c>
      <c r="I37" s="32">
        <v>0.513</v>
      </c>
      <c r="J37" s="32">
        <v>0.033</v>
      </c>
      <c r="K37" s="32">
        <v>0.73</v>
      </c>
      <c r="L37" s="32">
        <v>0.835</v>
      </c>
      <c r="M37" s="32">
        <v>33.0</v>
      </c>
      <c r="N37" s="32">
        <v>138.0</v>
      </c>
      <c r="O37" s="22">
        <v>74.0</v>
      </c>
      <c r="P37" s="32">
        <v>374.0</v>
      </c>
    </row>
    <row r="38">
      <c r="A38" s="23"/>
      <c r="B38" s="23"/>
      <c r="C38" s="23"/>
      <c r="D38" s="69"/>
      <c r="E38" s="22">
        <v>0.499</v>
      </c>
      <c r="F38" s="32">
        <v>0.6</v>
      </c>
      <c r="G38" s="22">
        <v>0.658</v>
      </c>
      <c r="H38" s="22">
        <v>0.619</v>
      </c>
      <c r="I38" s="22">
        <v>0.487</v>
      </c>
      <c r="J38" s="22">
        <v>-0.001</v>
      </c>
      <c r="K38" s="22">
        <v>0.723</v>
      </c>
      <c r="L38" s="32">
        <v>0.853</v>
      </c>
      <c r="M38" s="22">
        <v>25.0</v>
      </c>
      <c r="N38" s="22">
        <v>146.0</v>
      </c>
      <c r="O38" s="22">
        <v>66.0</v>
      </c>
      <c r="P38" s="22">
        <v>382.0</v>
      </c>
    </row>
    <row r="39">
      <c r="A39" s="23"/>
      <c r="B39" s="23"/>
      <c r="C39" s="23"/>
      <c r="D39" s="70"/>
      <c r="E39" s="22">
        <v>0.501</v>
      </c>
      <c r="F39" s="22">
        <v>0.602</v>
      </c>
      <c r="G39" s="22">
        <v>0.701</v>
      </c>
      <c r="H39" s="22">
        <v>0.619</v>
      </c>
      <c r="I39" s="22">
        <v>0.513</v>
      </c>
      <c r="J39" s="22">
        <v>0.003</v>
      </c>
      <c r="K39" s="22">
        <v>0.724</v>
      </c>
      <c r="L39" s="22">
        <v>0.949</v>
      </c>
      <c r="M39" s="22">
        <v>9.0</v>
      </c>
      <c r="N39" s="22">
        <v>162.0</v>
      </c>
      <c r="O39" s="22">
        <v>23.0</v>
      </c>
      <c r="P39" s="22">
        <v>425.0</v>
      </c>
    </row>
    <row r="40">
      <c r="A40" s="23"/>
      <c r="B40" s="23"/>
      <c r="C40" s="23"/>
      <c r="D40" s="70"/>
      <c r="E40" s="22">
        <v>0.511</v>
      </c>
      <c r="F40" s="22">
        <v>0.615</v>
      </c>
      <c r="G40" s="22">
        <v>0.685</v>
      </c>
      <c r="H40" s="22">
        <v>0.632</v>
      </c>
      <c r="I40" s="22">
        <v>0.484</v>
      </c>
      <c r="J40" s="22">
        <v>0.032</v>
      </c>
      <c r="K40" s="22">
        <v>0.729</v>
      </c>
      <c r="L40" s="22">
        <v>0.9</v>
      </c>
      <c r="M40" s="22">
        <v>21.0</v>
      </c>
      <c r="N40" s="22">
        <v>150.0</v>
      </c>
      <c r="O40" s="22">
        <v>45.0</v>
      </c>
      <c r="P40" s="22">
        <v>403.0</v>
      </c>
    </row>
    <row r="41">
      <c r="A41" s="23"/>
      <c r="B41" s="23"/>
      <c r="C41" s="23"/>
      <c r="D41" s="70"/>
      <c r="E41" s="22">
        <v>0.506</v>
      </c>
      <c r="F41" s="22">
        <v>0.608</v>
      </c>
      <c r="G41" s="22">
        <v>0.675</v>
      </c>
      <c r="H41" s="22">
        <v>0.627</v>
      </c>
      <c r="I41" s="22">
        <v>0.517</v>
      </c>
      <c r="J41" s="22">
        <v>0.017</v>
      </c>
      <c r="K41" s="22">
        <v>0.727</v>
      </c>
      <c r="L41" s="22">
        <v>0.884</v>
      </c>
      <c r="M41" s="22">
        <v>22.0</v>
      </c>
      <c r="N41" s="22">
        <v>149.0</v>
      </c>
      <c r="O41" s="22">
        <v>52.0</v>
      </c>
      <c r="P41" s="22">
        <v>396.0</v>
      </c>
    </row>
    <row r="42">
      <c r="A42" s="23"/>
      <c r="B42" s="23"/>
      <c r="C42" s="23"/>
      <c r="D42" s="70"/>
      <c r="E42" s="22">
        <v>0.495</v>
      </c>
      <c r="F42" s="22">
        <v>0.595</v>
      </c>
      <c r="G42" s="22">
        <v>0.651</v>
      </c>
      <c r="H42" s="22">
        <v>0.615</v>
      </c>
      <c r="I42" s="22">
        <v>0.504</v>
      </c>
      <c r="J42" s="22">
        <v>-0.012</v>
      </c>
      <c r="K42" s="22">
        <v>0.721</v>
      </c>
      <c r="L42" s="22">
        <v>0.844</v>
      </c>
      <c r="M42" s="22">
        <v>25.0</v>
      </c>
      <c r="N42" s="22">
        <v>146.0</v>
      </c>
      <c r="O42" s="22">
        <v>70.0</v>
      </c>
      <c r="P42" s="22">
        <v>378.0</v>
      </c>
    </row>
    <row r="43">
      <c r="A43" s="23"/>
      <c r="B43" s="23"/>
      <c r="C43" s="23"/>
      <c r="D43" s="70"/>
      <c r="E43" s="22">
        <v>0.485</v>
      </c>
      <c r="F43" s="22">
        <v>0.582</v>
      </c>
      <c r="G43" s="22">
        <v>0.654</v>
      </c>
      <c r="H43" s="22">
        <v>0.607</v>
      </c>
      <c r="I43" s="22">
        <v>0.513</v>
      </c>
      <c r="J43" s="22">
        <v>-0.041</v>
      </c>
      <c r="K43" s="22">
        <v>0.717</v>
      </c>
      <c r="L43" s="22">
        <v>0.864</v>
      </c>
      <c r="M43" s="22">
        <v>18.0</v>
      </c>
      <c r="N43" s="22">
        <v>153.0</v>
      </c>
      <c r="O43" s="22">
        <v>61.0</v>
      </c>
      <c r="P43" s="22">
        <v>387.0</v>
      </c>
    </row>
    <row r="44">
      <c r="A44" s="23"/>
      <c r="B44" s="23"/>
      <c r="C44" s="23"/>
      <c r="D44" s="70"/>
      <c r="E44" s="22">
        <v>0.521</v>
      </c>
      <c r="F44" s="22">
        <v>0.622</v>
      </c>
      <c r="G44" s="22">
        <v>0.67</v>
      </c>
      <c r="H44" s="22">
        <v>0.638</v>
      </c>
      <c r="I44" s="22">
        <v>0.517</v>
      </c>
      <c r="J44" s="22">
        <v>0.052</v>
      </c>
      <c r="K44" s="22">
        <v>0.734</v>
      </c>
      <c r="L44" s="22">
        <v>0.855</v>
      </c>
      <c r="M44" s="22">
        <v>32.0</v>
      </c>
      <c r="N44" s="22">
        <v>139.0</v>
      </c>
      <c r="O44" s="22">
        <v>65.0</v>
      </c>
      <c r="P44" s="22">
        <v>383.0</v>
      </c>
    </row>
    <row r="45">
      <c r="A45" s="23"/>
      <c r="B45" s="23"/>
      <c r="C45" s="23"/>
      <c r="D45" s="70"/>
      <c r="E45" s="22">
        <v>0.511</v>
      </c>
      <c r="F45" s="22">
        <v>0.612</v>
      </c>
      <c r="G45" s="22">
        <v>0.669</v>
      </c>
      <c r="H45" s="22">
        <v>0.63</v>
      </c>
      <c r="I45" s="22">
        <v>0.518</v>
      </c>
      <c r="J45" s="22">
        <v>0.028</v>
      </c>
      <c r="K45" s="22">
        <v>0.729</v>
      </c>
      <c r="L45" s="22">
        <v>0.864</v>
      </c>
      <c r="M45" s="22">
        <v>27.0</v>
      </c>
      <c r="N45" s="22">
        <v>144.0</v>
      </c>
      <c r="O45" s="22">
        <v>61.0</v>
      </c>
      <c r="P45" s="22">
        <v>387.0</v>
      </c>
    </row>
    <row r="46">
      <c r="A46" s="23"/>
      <c r="B46" s="23"/>
      <c r="C46" s="23"/>
      <c r="D46" s="70"/>
      <c r="E46" s="22">
        <v>0.511</v>
      </c>
      <c r="F46" s="22">
        <v>0.611</v>
      </c>
      <c r="G46" s="22">
        <v>0.656</v>
      </c>
      <c r="H46" s="22">
        <v>0.627</v>
      </c>
      <c r="I46" s="22">
        <v>0.517</v>
      </c>
      <c r="J46" s="22">
        <v>0.026</v>
      </c>
      <c r="K46" s="22">
        <v>0.729</v>
      </c>
      <c r="L46" s="22">
        <v>0.835</v>
      </c>
      <c r="M46" s="22">
        <v>32.0</v>
      </c>
      <c r="N46" s="22">
        <v>139.0</v>
      </c>
      <c r="O46" s="22">
        <v>74.0</v>
      </c>
      <c r="P46" s="22">
        <v>374.0</v>
      </c>
    </row>
    <row r="47">
      <c r="A47" s="23"/>
      <c r="B47" s="23"/>
      <c r="C47" s="23"/>
      <c r="D47" s="11"/>
      <c r="E47" s="22">
        <v>0.507</v>
      </c>
      <c r="F47" s="22">
        <v>0.637</v>
      </c>
      <c r="G47" s="22">
        <v>0.719</v>
      </c>
      <c r="H47" s="22">
        <v>0.622</v>
      </c>
      <c r="I47" s="22">
        <v>0.568</v>
      </c>
      <c r="J47" s="22">
        <v>0.044</v>
      </c>
      <c r="K47" s="22">
        <v>0.727</v>
      </c>
      <c r="L47" s="22">
        <v>0.98</v>
      </c>
      <c r="M47" s="22">
        <v>6.0</v>
      </c>
      <c r="N47" s="22">
        <v>165.0</v>
      </c>
      <c r="O47" s="22">
        <v>9.0</v>
      </c>
      <c r="P47" s="22">
        <v>439.0</v>
      </c>
    </row>
    <row r="48">
      <c r="A48" s="23"/>
      <c r="B48" s="23"/>
      <c r="C48" s="23"/>
      <c r="D48" s="11"/>
      <c r="E48" s="22">
        <v>0.502</v>
      </c>
      <c r="F48" s="22">
        <v>0.617</v>
      </c>
      <c r="G48" s="22">
        <v>0.719</v>
      </c>
      <c r="H48" s="22">
        <v>0.614</v>
      </c>
      <c r="I48" s="22">
        <v>0.567</v>
      </c>
      <c r="J48" s="22">
        <v>0.016</v>
      </c>
      <c r="K48" s="22">
        <v>0.725</v>
      </c>
      <c r="L48" s="22">
        <v>0.987</v>
      </c>
      <c r="M48" s="22">
        <v>3.0</v>
      </c>
      <c r="N48" s="22">
        <v>168.0</v>
      </c>
      <c r="O48" s="22">
        <v>6.0</v>
      </c>
      <c r="P48" s="22">
        <v>442.0</v>
      </c>
    </row>
    <row r="49">
      <c r="A49" s="23"/>
      <c r="B49" s="23"/>
      <c r="C49" s="23"/>
      <c r="D49" s="11"/>
      <c r="E49" s="80">
        <v>0.527</v>
      </c>
      <c r="F49" s="80">
        <v>0.626</v>
      </c>
      <c r="G49" s="80">
        <v>0.666</v>
      </c>
      <c r="H49" s="80">
        <v>0.64</v>
      </c>
      <c r="I49" s="80">
        <v>0.525</v>
      </c>
      <c r="J49" s="80">
        <v>0.062</v>
      </c>
      <c r="K49" s="80">
        <v>0.737</v>
      </c>
      <c r="L49" s="80">
        <v>0.837</v>
      </c>
      <c r="M49" s="80">
        <v>37.0</v>
      </c>
      <c r="N49" s="80">
        <v>134.0</v>
      </c>
      <c r="O49" s="80">
        <v>73.0</v>
      </c>
      <c r="P49" s="80">
        <v>375.0</v>
      </c>
    </row>
    <row r="50">
      <c r="A50" s="23"/>
      <c r="B50" s="23"/>
      <c r="C50" s="23"/>
      <c r="D50" s="11"/>
      <c r="E50" s="22">
        <v>0.506</v>
      </c>
      <c r="F50" s="22">
        <v>0.632</v>
      </c>
      <c r="G50" s="22">
        <v>0.719</v>
      </c>
      <c r="H50" s="22">
        <v>0.619</v>
      </c>
      <c r="I50" s="22">
        <v>0.563</v>
      </c>
      <c r="J50" s="22">
        <v>0.035</v>
      </c>
      <c r="K50" s="22">
        <v>0.726</v>
      </c>
      <c r="L50" s="22">
        <v>0.982</v>
      </c>
      <c r="M50" s="22">
        <v>5.0</v>
      </c>
      <c r="N50" s="22">
        <v>166.0</v>
      </c>
      <c r="O50" s="22">
        <v>8.0</v>
      </c>
      <c r="P50" s="22">
        <v>440.0</v>
      </c>
    </row>
    <row r="51">
      <c r="A51" s="23"/>
      <c r="B51" s="23"/>
      <c r="C51" s="23"/>
      <c r="D51" s="11"/>
      <c r="E51" s="22">
        <v>0.503</v>
      </c>
      <c r="F51" s="22">
        <v>0.612</v>
      </c>
      <c r="G51" s="22">
        <v>0.712</v>
      </c>
      <c r="H51" s="22">
        <v>0.618</v>
      </c>
      <c r="I51" s="22">
        <v>0.532</v>
      </c>
      <c r="J51" s="22">
        <v>0.016</v>
      </c>
      <c r="K51" s="22">
        <v>0.725</v>
      </c>
      <c r="L51" s="22">
        <v>0.971</v>
      </c>
      <c r="M51" s="22">
        <v>6.0</v>
      </c>
      <c r="N51" s="22">
        <v>165.0</v>
      </c>
      <c r="O51" s="22">
        <v>13.0</v>
      </c>
      <c r="P51" s="22">
        <v>435.0</v>
      </c>
    </row>
    <row r="52">
      <c r="A52" s="23"/>
      <c r="B52" s="23"/>
      <c r="C52" s="23"/>
      <c r="D52" s="11"/>
      <c r="E52" s="22">
        <v>0.503</v>
      </c>
      <c r="F52" s="22">
        <v>0.612</v>
      </c>
      <c r="G52" s="22">
        <v>0.712</v>
      </c>
      <c r="H52" s="22">
        <v>0.618</v>
      </c>
      <c r="I52" s="22">
        <v>0.533</v>
      </c>
      <c r="J52" s="22">
        <v>0.016</v>
      </c>
      <c r="K52" s="22">
        <v>0.725</v>
      </c>
      <c r="L52" s="22">
        <v>0.971</v>
      </c>
      <c r="M52" s="22">
        <v>6.0</v>
      </c>
      <c r="N52" s="22">
        <v>165.0</v>
      </c>
      <c r="O52" s="22">
        <v>13.0</v>
      </c>
      <c r="P52" s="22">
        <v>435.0</v>
      </c>
    </row>
    <row r="53">
      <c r="A53" s="23"/>
      <c r="B53" s="23"/>
      <c r="C53" s="23"/>
      <c r="D53" s="11"/>
      <c r="E53" s="22">
        <v>0.504</v>
      </c>
      <c r="F53" s="22">
        <v>0.643</v>
      </c>
      <c r="G53" s="22">
        <v>0.722</v>
      </c>
      <c r="H53" s="22">
        <v>0.616</v>
      </c>
      <c r="I53" s="22">
        <v>0.566</v>
      </c>
      <c r="J53" s="22">
        <v>0.036</v>
      </c>
      <c r="K53" s="22">
        <v>0.725</v>
      </c>
      <c r="L53" s="22">
        <v>0.991</v>
      </c>
      <c r="M53" s="22">
        <v>3.0</v>
      </c>
      <c r="N53" s="22">
        <v>168.0</v>
      </c>
      <c r="O53" s="22">
        <v>4.0</v>
      </c>
      <c r="P53" s="22">
        <v>444.0</v>
      </c>
    </row>
    <row r="54">
      <c r="A54" s="23"/>
      <c r="B54" s="23"/>
      <c r="C54" s="23"/>
      <c r="D54" s="11"/>
      <c r="E54" s="22">
        <v>0.503</v>
      </c>
      <c r="F54" s="22">
        <v>0.612</v>
      </c>
      <c r="G54" s="22">
        <v>0.712</v>
      </c>
      <c r="H54" s="22">
        <v>0.618</v>
      </c>
      <c r="I54" s="22">
        <v>0.543</v>
      </c>
      <c r="J54" s="22">
        <v>0.016</v>
      </c>
      <c r="K54" s="22">
        <v>0.725</v>
      </c>
      <c r="L54" s="22">
        <v>0.971</v>
      </c>
      <c r="M54" s="22">
        <v>6.0</v>
      </c>
      <c r="N54" s="22">
        <v>165.0</v>
      </c>
      <c r="O54" s="22">
        <v>13.0</v>
      </c>
      <c r="P54" s="22">
        <v>435.0</v>
      </c>
    </row>
    <row r="55">
      <c r="A55" s="23"/>
      <c r="B55" s="23"/>
      <c r="C55" s="23"/>
      <c r="D55" s="11"/>
      <c r="E55" s="22">
        <v>0.503</v>
      </c>
      <c r="F55" s="22">
        <v>0.612</v>
      </c>
      <c r="G55" s="22">
        <v>0.712</v>
      </c>
      <c r="H55" s="22">
        <v>0.618</v>
      </c>
      <c r="I55" s="22">
        <v>0.551</v>
      </c>
      <c r="J55" s="22">
        <v>0.016</v>
      </c>
      <c r="K55" s="22">
        <v>0.725</v>
      </c>
      <c r="L55" s="22">
        <v>0.971</v>
      </c>
      <c r="M55" s="22">
        <v>6.0</v>
      </c>
      <c r="N55" s="22">
        <v>165.0</v>
      </c>
      <c r="O55" s="22">
        <v>13.0</v>
      </c>
      <c r="P55" s="22">
        <v>435.0</v>
      </c>
    </row>
    <row r="56">
      <c r="A56" s="23"/>
      <c r="B56" s="23"/>
      <c r="C56" s="23"/>
      <c r="D56" s="11"/>
      <c r="E56" s="22">
        <v>0.519</v>
      </c>
      <c r="F56" s="22">
        <v>0.618</v>
      </c>
      <c r="G56" s="22">
        <v>0.654</v>
      </c>
      <c r="H56" s="22">
        <v>0.632</v>
      </c>
      <c r="I56" s="22">
        <v>0.517</v>
      </c>
      <c r="J56" s="22">
        <v>0.043</v>
      </c>
      <c r="K56" s="22">
        <v>0.733</v>
      </c>
      <c r="L56" s="22">
        <v>0.821</v>
      </c>
      <c r="M56" s="22">
        <v>37.0</v>
      </c>
      <c r="N56" s="22">
        <v>134.0</v>
      </c>
      <c r="O56" s="22">
        <v>80.0</v>
      </c>
      <c r="P56" s="22">
        <v>368.0</v>
      </c>
    </row>
    <row r="57">
      <c r="A57" s="23"/>
      <c r="B57" s="23"/>
      <c r="C57" s="23"/>
      <c r="D57" s="11"/>
      <c r="E57" s="22">
        <v>0.5</v>
      </c>
      <c r="F57" s="22">
        <v>0.8</v>
      </c>
      <c r="G57" s="22">
        <v>0.724</v>
      </c>
      <c r="H57" s="22">
        <v>0.608</v>
      </c>
      <c r="I57" s="22">
        <v>0.526</v>
      </c>
      <c r="J57" s="22">
        <v>0.0</v>
      </c>
      <c r="K57" s="22">
        <v>0.724</v>
      </c>
      <c r="L57" s="22">
        <v>1.0</v>
      </c>
      <c r="M57" s="22">
        <v>0.0</v>
      </c>
      <c r="N57" s="22">
        <v>171.0</v>
      </c>
      <c r="O57" s="22">
        <v>0.0</v>
      </c>
      <c r="P57" s="22">
        <v>448.0</v>
      </c>
    </row>
    <row r="58">
      <c r="A58" s="23"/>
      <c r="B58" s="23"/>
      <c r="C58" s="23"/>
      <c r="D58" s="11"/>
      <c r="E58" s="22">
        <v>0.497</v>
      </c>
      <c r="F58" s="22">
        <v>0.597</v>
      </c>
      <c r="G58" s="22">
        <v>0.659</v>
      </c>
      <c r="H58" s="22">
        <v>0.618</v>
      </c>
      <c r="I58" s="22">
        <v>0.506</v>
      </c>
      <c r="J58" s="22">
        <v>-0.008</v>
      </c>
      <c r="K58" s="22">
        <v>0.722</v>
      </c>
      <c r="L58" s="22">
        <v>0.859</v>
      </c>
      <c r="M58" s="22">
        <v>23.0</v>
      </c>
      <c r="N58" s="22">
        <v>148.0</v>
      </c>
      <c r="O58" s="22">
        <v>63.0</v>
      </c>
      <c r="P58" s="22">
        <v>385.0</v>
      </c>
    </row>
    <row r="59">
      <c r="A59" s="23"/>
      <c r="B59" s="23"/>
      <c r="C59" s="23"/>
      <c r="D59" s="11"/>
      <c r="E59" s="22">
        <v>0.503</v>
      </c>
      <c r="F59" s="22">
        <v>0.612</v>
      </c>
      <c r="G59" s="22">
        <v>0.712</v>
      </c>
      <c r="H59" s="22">
        <v>0.618</v>
      </c>
      <c r="I59" s="22">
        <v>0.557</v>
      </c>
      <c r="J59" s="22">
        <v>0.016</v>
      </c>
      <c r="K59" s="22">
        <v>0.725</v>
      </c>
      <c r="L59" s="22">
        <v>0.971</v>
      </c>
      <c r="M59" s="22">
        <v>6.0</v>
      </c>
      <c r="N59" s="22">
        <v>165.0</v>
      </c>
      <c r="O59" s="22">
        <v>13.0</v>
      </c>
      <c r="P59" s="22">
        <v>435.0</v>
      </c>
    </row>
    <row r="60">
      <c r="A60" s="23"/>
      <c r="B60" s="23"/>
      <c r="C60" s="23"/>
      <c r="D60" s="11"/>
      <c r="E60" s="22">
        <v>0.502</v>
      </c>
      <c r="F60" s="22">
        <v>0.611</v>
      </c>
      <c r="G60" s="22">
        <v>0.714</v>
      </c>
      <c r="H60" s="22">
        <v>0.617</v>
      </c>
      <c r="I60" s="22">
        <v>0.493</v>
      </c>
      <c r="J60" s="22">
        <v>0.013</v>
      </c>
      <c r="K60" s="22">
        <v>0.725</v>
      </c>
      <c r="L60" s="22">
        <v>0.975</v>
      </c>
      <c r="M60" s="22">
        <v>5.0</v>
      </c>
      <c r="N60" s="22">
        <v>166.0</v>
      </c>
      <c r="O60" s="22">
        <v>11.0</v>
      </c>
      <c r="P60" s="22">
        <v>437.0</v>
      </c>
    </row>
    <row r="61">
      <c r="A61" s="23"/>
      <c r="B61" s="23"/>
      <c r="C61" s="23"/>
      <c r="D61" s="11"/>
      <c r="E61" s="22">
        <v>0.501</v>
      </c>
      <c r="F61" s="22">
        <v>0.602</v>
      </c>
      <c r="G61" s="22">
        <v>0.683</v>
      </c>
      <c r="H61" s="22">
        <v>0.622</v>
      </c>
      <c r="I61" s="22">
        <v>0.505</v>
      </c>
      <c r="J61" s="22">
        <v>0.003</v>
      </c>
      <c r="K61" s="22">
        <v>0.724</v>
      </c>
      <c r="L61" s="22">
        <v>0.908</v>
      </c>
      <c r="M61" s="22">
        <v>16.0</v>
      </c>
      <c r="N61" s="22">
        <v>155.0</v>
      </c>
      <c r="O61" s="22">
        <v>41.0</v>
      </c>
      <c r="P61" s="22">
        <v>407.0</v>
      </c>
    </row>
    <row r="62">
      <c r="A62" s="23"/>
      <c r="B62" s="23"/>
      <c r="C62" s="23"/>
      <c r="D62" s="11"/>
      <c r="E62" s="22">
        <v>0.502</v>
      </c>
      <c r="F62" s="22">
        <v>0.602</v>
      </c>
      <c r="G62" s="22">
        <v>0.674</v>
      </c>
      <c r="H62" s="22">
        <v>0.623</v>
      </c>
      <c r="I62" s="22">
        <v>0.514</v>
      </c>
      <c r="J62" s="22">
        <v>0.004</v>
      </c>
      <c r="K62" s="22">
        <v>0.724</v>
      </c>
      <c r="L62" s="22">
        <v>0.886</v>
      </c>
      <c r="M62" s="22">
        <v>20.0</v>
      </c>
      <c r="N62" s="22">
        <v>151.0</v>
      </c>
      <c r="O62" s="22">
        <v>51.0</v>
      </c>
      <c r="P62" s="22">
        <v>397.0</v>
      </c>
    </row>
    <row r="63">
      <c r="A63" s="23"/>
      <c r="B63" s="23"/>
      <c r="C63" s="23"/>
      <c r="D63" s="11"/>
      <c r="E63" s="22">
        <v>0.501</v>
      </c>
      <c r="F63" s="22">
        <v>0.601</v>
      </c>
      <c r="G63" s="22">
        <v>0.68</v>
      </c>
      <c r="H63" s="22">
        <v>0.622</v>
      </c>
      <c r="I63" s="22">
        <v>0.505</v>
      </c>
      <c r="J63" s="22">
        <v>0.002</v>
      </c>
      <c r="K63" s="22">
        <v>0.724</v>
      </c>
      <c r="L63" s="22">
        <v>0.902</v>
      </c>
      <c r="M63" s="22">
        <v>17.0</v>
      </c>
      <c r="N63" s="22">
        <v>154.0</v>
      </c>
      <c r="O63" s="22">
        <v>44.0</v>
      </c>
      <c r="P63" s="22">
        <v>404.0</v>
      </c>
    </row>
    <row r="64">
      <c r="A64" s="23"/>
      <c r="B64" s="23"/>
      <c r="C64" s="23"/>
      <c r="D64" s="11"/>
      <c r="E64" s="22">
        <v>0.503</v>
      </c>
      <c r="F64" s="22">
        <v>0.603</v>
      </c>
      <c r="G64" s="22">
        <v>0.658</v>
      </c>
      <c r="H64" s="22">
        <v>0.622</v>
      </c>
      <c r="I64" s="22">
        <v>0.495</v>
      </c>
      <c r="J64" s="22">
        <v>0.008</v>
      </c>
      <c r="K64" s="22">
        <v>0.725</v>
      </c>
      <c r="L64" s="22">
        <v>0.848</v>
      </c>
      <c r="M64" s="22">
        <v>27.0</v>
      </c>
      <c r="N64" s="22">
        <v>144.0</v>
      </c>
      <c r="O64" s="22">
        <v>68.0</v>
      </c>
      <c r="P64" s="22">
        <v>380.0</v>
      </c>
    </row>
    <row r="65">
      <c r="A65" s="23"/>
      <c r="B65" s="23"/>
      <c r="C65" s="23"/>
      <c r="D65" s="11"/>
      <c r="E65" s="22">
        <v>0.513</v>
      </c>
      <c r="F65" s="22">
        <v>0.613</v>
      </c>
      <c r="G65" s="22">
        <v>0.659</v>
      </c>
      <c r="H65" s="22">
        <v>0.629</v>
      </c>
      <c r="I65" s="22">
        <v>0.489</v>
      </c>
      <c r="J65" s="22">
        <v>0.032</v>
      </c>
      <c r="K65" s="22">
        <v>0.73</v>
      </c>
      <c r="L65" s="22">
        <v>0.839</v>
      </c>
      <c r="M65" s="22">
        <v>32.0</v>
      </c>
      <c r="N65" s="22">
        <v>139.0</v>
      </c>
      <c r="O65" s="22">
        <v>72.0</v>
      </c>
      <c r="P65" s="22">
        <v>376.0</v>
      </c>
    </row>
    <row r="66">
      <c r="A66" s="23"/>
      <c r="B66" s="23"/>
      <c r="C66" s="23"/>
      <c r="D66" s="11"/>
      <c r="E66" s="22">
        <v>0.507</v>
      </c>
      <c r="F66" s="22">
        <v>0.622</v>
      </c>
      <c r="G66" s="22">
        <v>0.712</v>
      </c>
      <c r="H66" s="22">
        <v>0.623</v>
      </c>
      <c r="I66" s="22">
        <v>0.505</v>
      </c>
      <c r="J66" s="22">
        <v>0.031</v>
      </c>
      <c r="K66" s="22">
        <v>0.727</v>
      </c>
      <c r="L66" s="22">
        <v>0.967</v>
      </c>
      <c r="M66" s="22">
        <v>8.0</v>
      </c>
      <c r="N66" s="22">
        <v>163.0</v>
      </c>
      <c r="O66" s="22">
        <v>15.0</v>
      </c>
      <c r="P66" s="22">
        <v>433.0</v>
      </c>
    </row>
    <row r="67">
      <c r="A67" s="23"/>
      <c r="B67" s="23"/>
      <c r="C67" s="23"/>
      <c r="D67" s="71" t="s">
        <v>23</v>
      </c>
      <c r="E67" s="22">
        <v>0.505</v>
      </c>
      <c r="F67" s="22">
        <v>0.618</v>
      </c>
      <c r="G67" s="22">
        <v>0.687</v>
      </c>
      <c r="H67" s="22">
        <v>0.622</v>
      </c>
      <c r="I67" s="22">
        <v>0.522</v>
      </c>
      <c r="J67" s="22">
        <v>0.018</v>
      </c>
      <c r="K67" s="22">
        <v>0.726</v>
      </c>
      <c r="L67" s="22">
        <v>0.911</v>
      </c>
      <c r="M67" s="22">
        <v>17.1</v>
      </c>
      <c r="N67" s="22">
        <v>153.9</v>
      </c>
      <c r="O67" s="22">
        <v>40.033</v>
      </c>
      <c r="P67" s="22">
        <v>407.967</v>
      </c>
    </row>
    <row r="68">
      <c r="A68" s="72"/>
      <c r="B68" s="72"/>
      <c r="C68" s="72"/>
      <c r="D68" s="73" t="s">
        <v>232</v>
      </c>
      <c r="E68" s="22">
        <v>0.008</v>
      </c>
      <c r="F68" s="22">
        <v>0.036</v>
      </c>
      <c r="G68" s="22">
        <v>0.026</v>
      </c>
      <c r="H68" s="22">
        <v>0.008</v>
      </c>
      <c r="I68" s="22">
        <v>0.024</v>
      </c>
      <c r="J68" s="22">
        <v>0.021</v>
      </c>
      <c r="K68" s="22">
        <v>0.004</v>
      </c>
      <c r="L68" s="22">
        <v>0.061</v>
      </c>
      <c r="M68" s="22">
        <v>11.528</v>
      </c>
      <c r="N68" s="22">
        <v>11.528</v>
      </c>
      <c r="O68" s="22">
        <v>27.181</v>
      </c>
      <c r="P68" s="22">
        <v>27.181</v>
      </c>
    </row>
    <row r="70">
      <c r="A70" s="77" t="s">
        <v>234</v>
      </c>
      <c r="B70" s="78" t="s">
        <v>231</v>
      </c>
      <c r="C70" s="78" t="s">
        <v>48</v>
      </c>
      <c r="D70" s="79"/>
      <c r="E70" s="32">
        <v>0.527</v>
      </c>
      <c r="F70" s="32">
        <v>0.626</v>
      </c>
      <c r="G70" s="32">
        <v>0.664</v>
      </c>
      <c r="H70" s="32">
        <v>0.64</v>
      </c>
      <c r="I70" s="32">
        <v>0.52</v>
      </c>
      <c r="J70" s="32">
        <v>0.063</v>
      </c>
      <c r="K70" s="32">
        <v>0.737</v>
      </c>
      <c r="L70" s="32">
        <v>0.833</v>
      </c>
      <c r="M70" s="32">
        <v>38.0</v>
      </c>
      <c r="N70" s="32">
        <v>133.0</v>
      </c>
      <c r="O70" s="22">
        <v>75.0</v>
      </c>
      <c r="P70" s="32">
        <v>373.0</v>
      </c>
    </row>
    <row r="71">
      <c r="A71" s="23"/>
      <c r="B71" s="23"/>
      <c r="C71" s="23"/>
      <c r="D71" s="69"/>
      <c r="E71" s="22">
        <v>0.509</v>
      </c>
      <c r="F71" s="32">
        <v>0.609</v>
      </c>
      <c r="G71" s="22">
        <v>0.653</v>
      </c>
      <c r="H71" s="22">
        <v>0.625</v>
      </c>
      <c r="I71" s="22">
        <v>0.497</v>
      </c>
      <c r="J71" s="22">
        <v>0.021</v>
      </c>
      <c r="K71" s="22">
        <v>0.728</v>
      </c>
      <c r="L71" s="32">
        <v>0.83</v>
      </c>
      <c r="M71" s="22">
        <v>32.0</v>
      </c>
      <c r="N71" s="22">
        <v>139.0</v>
      </c>
      <c r="O71" s="22">
        <v>76.0</v>
      </c>
      <c r="P71" s="22">
        <v>372.0</v>
      </c>
    </row>
    <row r="72">
      <c r="A72" s="23"/>
      <c r="B72" s="23"/>
      <c r="C72" s="23"/>
      <c r="D72" s="70"/>
      <c r="E72" s="22">
        <v>0.515</v>
      </c>
      <c r="F72" s="22">
        <v>0.639</v>
      </c>
      <c r="G72" s="22">
        <v>0.714</v>
      </c>
      <c r="H72" s="22">
        <v>0.633</v>
      </c>
      <c r="I72" s="22">
        <v>0.552</v>
      </c>
      <c r="J72" s="22">
        <v>0.062</v>
      </c>
      <c r="K72" s="22">
        <v>0.73</v>
      </c>
      <c r="L72" s="22">
        <v>0.96</v>
      </c>
      <c r="M72" s="22">
        <v>12.0</v>
      </c>
      <c r="N72" s="22">
        <v>159.0</v>
      </c>
      <c r="O72" s="22">
        <v>18.0</v>
      </c>
      <c r="P72" s="22">
        <v>430.0</v>
      </c>
    </row>
    <row r="73">
      <c r="A73" s="23"/>
      <c r="B73" s="23"/>
      <c r="C73" s="23"/>
      <c r="D73" s="70"/>
      <c r="E73" s="22">
        <v>0.519</v>
      </c>
      <c r="F73" s="22">
        <v>0.662</v>
      </c>
      <c r="G73" s="22">
        <v>0.722</v>
      </c>
      <c r="H73" s="22">
        <v>0.636</v>
      </c>
      <c r="I73" s="22">
        <v>0.569</v>
      </c>
      <c r="J73" s="22">
        <v>0.089</v>
      </c>
      <c r="K73" s="22">
        <v>0.732</v>
      </c>
      <c r="L73" s="22">
        <v>0.973</v>
      </c>
      <c r="M73" s="22">
        <v>11.0</v>
      </c>
      <c r="N73" s="22">
        <v>160.0</v>
      </c>
      <c r="O73" s="22">
        <v>12.0</v>
      </c>
      <c r="P73" s="22">
        <v>436.0</v>
      </c>
    </row>
    <row r="74">
      <c r="A74" s="23"/>
      <c r="B74" s="23"/>
      <c r="C74" s="23"/>
      <c r="D74" s="70"/>
      <c r="E74" s="22">
        <v>0.502</v>
      </c>
      <c r="F74" s="22">
        <v>0.617</v>
      </c>
      <c r="G74" s="22">
        <v>0.719</v>
      </c>
      <c r="H74" s="22">
        <v>0.614</v>
      </c>
      <c r="I74" s="22">
        <v>0.568</v>
      </c>
      <c r="J74" s="22">
        <v>0.016</v>
      </c>
      <c r="K74" s="22">
        <v>0.725</v>
      </c>
      <c r="L74" s="22">
        <v>0.987</v>
      </c>
      <c r="M74" s="22">
        <v>3.0</v>
      </c>
      <c r="N74" s="22">
        <v>168.0</v>
      </c>
      <c r="O74" s="22">
        <v>6.0</v>
      </c>
      <c r="P74" s="22">
        <v>442.0</v>
      </c>
    </row>
    <row r="75">
      <c r="A75" s="23"/>
      <c r="B75" s="23"/>
      <c r="C75" s="23"/>
      <c r="D75" s="70"/>
      <c r="E75" s="22">
        <v>0.522</v>
      </c>
      <c r="F75" s="22">
        <v>0.621</v>
      </c>
      <c r="G75" s="22">
        <v>0.661</v>
      </c>
      <c r="H75" s="22">
        <v>0.635</v>
      </c>
      <c r="I75" s="22">
        <v>0.514</v>
      </c>
      <c r="J75" s="22">
        <v>0.05</v>
      </c>
      <c r="K75" s="22">
        <v>0.734</v>
      </c>
      <c r="L75" s="22">
        <v>0.833</v>
      </c>
      <c r="M75" s="22">
        <v>36.0</v>
      </c>
      <c r="N75" s="22">
        <v>135.0</v>
      </c>
      <c r="O75" s="22">
        <v>75.0</v>
      </c>
      <c r="P75" s="22">
        <v>373.0</v>
      </c>
    </row>
    <row r="76">
      <c r="A76" s="23"/>
      <c r="B76" s="23"/>
      <c r="C76" s="23"/>
      <c r="D76" s="70"/>
      <c r="E76" s="22">
        <v>0.496</v>
      </c>
      <c r="F76" s="22">
        <v>0.562</v>
      </c>
      <c r="G76" s="22">
        <v>0.716</v>
      </c>
      <c r="H76" s="22">
        <v>0.607</v>
      </c>
      <c r="I76" s="22">
        <v>0.533</v>
      </c>
      <c r="J76" s="22">
        <v>-0.032</v>
      </c>
      <c r="K76" s="22">
        <v>0.722</v>
      </c>
      <c r="L76" s="22">
        <v>0.987</v>
      </c>
      <c r="M76" s="22">
        <v>1.0</v>
      </c>
      <c r="N76" s="22">
        <v>170.0</v>
      </c>
      <c r="O76" s="22">
        <v>6.0</v>
      </c>
      <c r="P76" s="22">
        <v>442.0</v>
      </c>
    </row>
    <row r="77">
      <c r="A77" s="23"/>
      <c r="B77" s="23"/>
      <c r="C77" s="23"/>
      <c r="D77" s="70"/>
      <c r="E77" s="22">
        <v>0.503</v>
      </c>
      <c r="F77" s="22">
        <v>0.612</v>
      </c>
      <c r="G77" s="22">
        <v>0.712</v>
      </c>
      <c r="H77" s="22">
        <v>0.618</v>
      </c>
      <c r="I77" s="22">
        <v>0.535</v>
      </c>
      <c r="J77" s="22">
        <v>0.016</v>
      </c>
      <c r="K77" s="22">
        <v>0.725</v>
      </c>
      <c r="L77" s="22">
        <v>0.971</v>
      </c>
      <c r="M77" s="22">
        <v>6.0</v>
      </c>
      <c r="N77" s="22">
        <v>165.0</v>
      </c>
      <c r="O77" s="22">
        <v>13.0</v>
      </c>
      <c r="P77" s="22">
        <v>435.0</v>
      </c>
    </row>
    <row r="78">
      <c r="A78" s="23"/>
      <c r="B78" s="23"/>
      <c r="C78" s="23"/>
      <c r="D78" s="70"/>
      <c r="E78" s="22">
        <v>0.491</v>
      </c>
      <c r="F78" s="22">
        <v>0.565</v>
      </c>
      <c r="G78" s="22">
        <v>0.703</v>
      </c>
      <c r="H78" s="22">
        <v>0.605</v>
      </c>
      <c r="I78" s="22">
        <v>0.513</v>
      </c>
      <c r="J78" s="22">
        <v>-0.047</v>
      </c>
      <c r="K78" s="22">
        <v>0.72</v>
      </c>
      <c r="L78" s="22">
        <v>0.964</v>
      </c>
      <c r="M78" s="22">
        <v>3.0</v>
      </c>
      <c r="N78" s="22">
        <v>168.0</v>
      </c>
      <c r="O78" s="22">
        <v>16.0</v>
      </c>
      <c r="P78" s="22">
        <v>432.0</v>
      </c>
    </row>
    <row r="79">
      <c r="A79" s="23"/>
      <c r="B79" s="23"/>
      <c r="C79" s="23"/>
      <c r="D79" s="70"/>
      <c r="E79" s="22">
        <v>0.504</v>
      </c>
      <c r="F79" s="22">
        <v>0.643</v>
      </c>
      <c r="G79" s="22">
        <v>0.722</v>
      </c>
      <c r="H79" s="22">
        <v>0.616</v>
      </c>
      <c r="I79" s="22">
        <v>0.566</v>
      </c>
      <c r="J79" s="22">
        <v>0.036</v>
      </c>
      <c r="K79" s="22">
        <v>0.725</v>
      </c>
      <c r="L79" s="22">
        <v>0.991</v>
      </c>
      <c r="M79" s="22">
        <v>3.0</v>
      </c>
      <c r="N79" s="22">
        <v>168.0</v>
      </c>
      <c r="O79" s="22">
        <v>4.0</v>
      </c>
      <c r="P79" s="22">
        <v>444.0</v>
      </c>
    </row>
    <row r="80">
      <c r="A80" s="23"/>
      <c r="B80" s="23"/>
      <c r="C80" s="23"/>
      <c r="D80" s="11"/>
      <c r="E80" s="22">
        <v>0.507</v>
      </c>
      <c r="F80" s="22">
        <v>0.637</v>
      </c>
      <c r="G80" s="22">
        <v>0.719</v>
      </c>
      <c r="H80" s="22">
        <v>0.622</v>
      </c>
      <c r="I80" s="22">
        <v>0.568</v>
      </c>
      <c r="J80" s="22">
        <v>0.044</v>
      </c>
      <c r="K80" s="22">
        <v>0.727</v>
      </c>
      <c r="L80" s="22">
        <v>0.98</v>
      </c>
      <c r="M80" s="22">
        <v>6.0</v>
      </c>
      <c r="N80" s="22">
        <v>165.0</v>
      </c>
      <c r="O80" s="22">
        <v>9.0</v>
      </c>
      <c r="P80" s="22">
        <v>439.0</v>
      </c>
    </row>
    <row r="81">
      <c r="A81" s="23"/>
      <c r="B81" s="23"/>
      <c r="C81" s="23"/>
      <c r="D81" s="11"/>
      <c r="E81" s="22">
        <v>0.501</v>
      </c>
      <c r="F81" s="22">
        <v>0.607</v>
      </c>
      <c r="G81" s="22">
        <v>0.717</v>
      </c>
      <c r="H81" s="22">
        <v>0.613</v>
      </c>
      <c r="I81" s="22">
        <v>0.567</v>
      </c>
      <c r="J81" s="22">
        <v>0.007</v>
      </c>
      <c r="K81" s="22">
        <v>0.724</v>
      </c>
      <c r="L81" s="22">
        <v>0.984</v>
      </c>
      <c r="M81" s="22">
        <v>3.0</v>
      </c>
      <c r="N81" s="22">
        <v>168.0</v>
      </c>
      <c r="O81" s="22">
        <v>7.0</v>
      </c>
      <c r="P81" s="22">
        <v>441.0</v>
      </c>
    </row>
    <row r="82">
      <c r="A82" s="23"/>
      <c r="B82" s="23"/>
      <c r="C82" s="23"/>
      <c r="D82" s="11"/>
      <c r="E82" s="22">
        <v>0.519</v>
      </c>
      <c r="F82" s="22">
        <v>0.643</v>
      </c>
      <c r="G82" s="22">
        <v>0.714</v>
      </c>
      <c r="H82" s="22">
        <v>0.637</v>
      </c>
      <c r="I82" s="22">
        <v>0.554</v>
      </c>
      <c r="J82" s="22">
        <v>0.073</v>
      </c>
      <c r="K82" s="22">
        <v>0.732</v>
      </c>
      <c r="L82" s="22">
        <v>0.955</v>
      </c>
      <c r="M82" s="22">
        <v>14.0</v>
      </c>
      <c r="N82" s="22">
        <v>157.0</v>
      </c>
      <c r="O82" s="22">
        <v>20.0</v>
      </c>
      <c r="P82" s="22">
        <v>428.0</v>
      </c>
    </row>
    <row r="83">
      <c r="A83" s="23"/>
      <c r="B83" s="23"/>
      <c r="C83" s="23"/>
      <c r="D83" s="11"/>
      <c r="E83" s="22">
        <v>0.525</v>
      </c>
      <c r="F83" s="22">
        <v>0.625</v>
      </c>
      <c r="G83" s="22">
        <v>0.666</v>
      </c>
      <c r="H83" s="22">
        <v>0.639</v>
      </c>
      <c r="I83" s="22">
        <v>0.515</v>
      </c>
      <c r="J83" s="22">
        <v>0.059</v>
      </c>
      <c r="K83" s="22">
        <v>0.736</v>
      </c>
      <c r="L83" s="22">
        <v>0.839</v>
      </c>
      <c r="M83" s="22">
        <v>36.0</v>
      </c>
      <c r="N83" s="22">
        <v>135.0</v>
      </c>
      <c r="O83" s="22">
        <v>72.0</v>
      </c>
      <c r="P83" s="22">
        <v>376.0</v>
      </c>
    </row>
    <row r="84">
      <c r="A84" s="23"/>
      <c r="B84" s="23"/>
      <c r="C84" s="23"/>
      <c r="D84" s="11"/>
      <c r="E84" s="22">
        <v>0.5</v>
      </c>
      <c r="F84" s="22">
        <v>0.601</v>
      </c>
      <c r="G84" s="22">
        <v>0.711</v>
      </c>
      <c r="H84" s="22">
        <v>0.615</v>
      </c>
      <c r="I84" s="22">
        <v>0.513</v>
      </c>
      <c r="J84" s="22">
        <v>0.001</v>
      </c>
      <c r="K84" s="22">
        <v>0.724</v>
      </c>
      <c r="L84" s="22">
        <v>0.971</v>
      </c>
      <c r="M84" s="22">
        <v>5.0</v>
      </c>
      <c r="N84" s="22">
        <v>166.0</v>
      </c>
      <c r="O84" s="22">
        <v>13.0</v>
      </c>
      <c r="P84" s="22">
        <v>435.0</v>
      </c>
    </row>
    <row r="85">
      <c r="A85" s="23"/>
      <c r="B85" s="23"/>
      <c r="C85" s="23"/>
      <c r="D85" s="11"/>
      <c r="E85" s="22">
        <v>0.506</v>
      </c>
      <c r="F85" s="22">
        <v>0.613</v>
      </c>
      <c r="G85" s="22">
        <v>0.701</v>
      </c>
      <c r="H85" s="22">
        <v>0.625</v>
      </c>
      <c r="I85" s="22">
        <v>0.509</v>
      </c>
      <c r="J85" s="22">
        <v>0.023</v>
      </c>
      <c r="K85" s="22">
        <v>0.726</v>
      </c>
      <c r="L85" s="22">
        <v>0.942</v>
      </c>
      <c r="M85" s="22">
        <v>12.0</v>
      </c>
      <c r="N85" s="22">
        <v>159.0</v>
      </c>
      <c r="O85" s="22">
        <v>26.0</v>
      </c>
      <c r="P85" s="22">
        <v>422.0</v>
      </c>
    </row>
    <row r="86">
      <c r="A86" s="23"/>
      <c r="B86" s="23"/>
      <c r="C86" s="23"/>
      <c r="D86" s="11"/>
      <c r="E86" s="22">
        <v>0.504</v>
      </c>
      <c r="F86" s="22">
        <v>0.61</v>
      </c>
      <c r="G86" s="22">
        <v>0.701</v>
      </c>
      <c r="H86" s="22">
        <v>0.623</v>
      </c>
      <c r="I86" s="22">
        <v>0.533</v>
      </c>
      <c r="J86" s="22">
        <v>0.016</v>
      </c>
      <c r="K86" s="22">
        <v>0.726</v>
      </c>
      <c r="L86" s="22">
        <v>0.944</v>
      </c>
      <c r="M86" s="22">
        <v>11.0</v>
      </c>
      <c r="N86" s="22">
        <v>160.0</v>
      </c>
      <c r="O86" s="22">
        <v>25.0</v>
      </c>
      <c r="P86" s="22">
        <v>423.0</v>
      </c>
    </row>
    <row r="87">
      <c r="A87" s="23"/>
      <c r="B87" s="23"/>
      <c r="C87" s="23"/>
      <c r="D87" s="11"/>
      <c r="E87" s="22">
        <v>0.502</v>
      </c>
      <c r="F87" s="22">
        <v>0.617</v>
      </c>
      <c r="G87" s="22">
        <v>0.719</v>
      </c>
      <c r="H87" s="22">
        <v>0.614</v>
      </c>
      <c r="I87" s="22">
        <v>0.568</v>
      </c>
      <c r="J87" s="22">
        <v>0.016</v>
      </c>
      <c r="K87" s="22">
        <v>0.725</v>
      </c>
      <c r="L87" s="22">
        <v>0.987</v>
      </c>
      <c r="M87" s="22">
        <v>3.0</v>
      </c>
      <c r="N87" s="22">
        <v>168.0</v>
      </c>
      <c r="O87" s="22">
        <v>6.0</v>
      </c>
      <c r="P87" s="22">
        <v>442.0</v>
      </c>
    </row>
    <row r="88">
      <c r="A88" s="23"/>
      <c r="B88" s="23"/>
      <c r="C88" s="23"/>
      <c r="D88" s="11"/>
      <c r="E88" s="22">
        <v>0.504</v>
      </c>
      <c r="F88" s="22">
        <v>0.643</v>
      </c>
      <c r="G88" s="22">
        <v>0.722</v>
      </c>
      <c r="H88" s="22">
        <v>0.616</v>
      </c>
      <c r="I88" s="22">
        <v>0.566</v>
      </c>
      <c r="J88" s="22">
        <v>0.036</v>
      </c>
      <c r="K88" s="22">
        <v>0.725</v>
      </c>
      <c r="L88" s="22">
        <v>0.991</v>
      </c>
      <c r="M88" s="22">
        <v>3.0</v>
      </c>
      <c r="N88" s="22">
        <v>168.0</v>
      </c>
      <c r="O88" s="22">
        <v>4.0</v>
      </c>
      <c r="P88" s="22">
        <v>444.0</v>
      </c>
    </row>
    <row r="89">
      <c r="A89" s="23"/>
      <c r="B89" s="23"/>
      <c r="C89" s="23"/>
      <c r="D89" s="11"/>
      <c r="E89" s="22">
        <v>0.516</v>
      </c>
      <c r="F89" s="22">
        <v>0.637</v>
      </c>
      <c r="G89" s="22">
        <v>0.712</v>
      </c>
      <c r="H89" s="22">
        <v>0.634</v>
      </c>
      <c r="I89" s="22">
        <v>0.549</v>
      </c>
      <c r="J89" s="22">
        <v>0.062</v>
      </c>
      <c r="K89" s="22">
        <v>0.73</v>
      </c>
      <c r="L89" s="22">
        <v>0.955</v>
      </c>
      <c r="M89" s="22">
        <v>13.0</v>
      </c>
      <c r="N89" s="22">
        <v>158.0</v>
      </c>
      <c r="O89" s="22">
        <v>20.0</v>
      </c>
      <c r="P89" s="22">
        <v>428.0</v>
      </c>
    </row>
    <row r="90">
      <c r="A90" s="23"/>
      <c r="B90" s="23"/>
      <c r="C90" s="23"/>
      <c r="D90" s="11"/>
      <c r="E90" s="22">
        <v>0.493</v>
      </c>
      <c r="F90" s="22">
        <v>0.549</v>
      </c>
      <c r="G90" s="22">
        <v>0.711</v>
      </c>
      <c r="H90" s="22">
        <v>0.604</v>
      </c>
      <c r="I90" s="22">
        <v>0.446</v>
      </c>
      <c r="J90" s="22">
        <v>-0.051</v>
      </c>
      <c r="K90" s="22">
        <v>0.721</v>
      </c>
      <c r="L90" s="22">
        <v>0.98</v>
      </c>
      <c r="M90" s="22">
        <v>1.0</v>
      </c>
      <c r="N90" s="22">
        <v>170.0</v>
      </c>
      <c r="O90" s="22">
        <v>9.0</v>
      </c>
      <c r="P90" s="22">
        <v>439.0</v>
      </c>
    </row>
    <row r="91">
      <c r="A91" s="23"/>
      <c r="B91" s="23"/>
      <c r="C91" s="23"/>
      <c r="D91" s="11"/>
      <c r="E91" s="22">
        <v>0.511</v>
      </c>
      <c r="F91" s="22">
        <v>0.617</v>
      </c>
      <c r="G91" s="22">
        <v>0.695</v>
      </c>
      <c r="H91" s="22">
        <v>0.631</v>
      </c>
      <c r="I91" s="22">
        <v>0.525</v>
      </c>
      <c r="J91" s="22">
        <v>0.034</v>
      </c>
      <c r="K91" s="22">
        <v>0.728</v>
      </c>
      <c r="L91" s="22">
        <v>0.922</v>
      </c>
      <c r="M91" s="22">
        <v>17.0</v>
      </c>
      <c r="N91" s="22">
        <v>154.0</v>
      </c>
      <c r="O91" s="22">
        <v>35.0</v>
      </c>
      <c r="P91" s="22">
        <v>413.0</v>
      </c>
    </row>
    <row r="92">
      <c r="A92" s="23"/>
      <c r="B92" s="23"/>
      <c r="C92" s="23"/>
      <c r="D92" s="11"/>
      <c r="E92" s="22">
        <v>0.502</v>
      </c>
      <c r="F92" s="22">
        <v>0.602</v>
      </c>
      <c r="G92" s="22">
        <v>0.648</v>
      </c>
      <c r="H92" s="22">
        <v>0.619</v>
      </c>
      <c r="I92" s="22">
        <v>0.507</v>
      </c>
      <c r="J92" s="22">
        <v>0.004</v>
      </c>
      <c r="K92" s="22">
        <v>0.725</v>
      </c>
      <c r="L92" s="22">
        <v>0.828</v>
      </c>
      <c r="M92" s="22">
        <v>30.0</v>
      </c>
      <c r="N92" s="22">
        <v>141.0</v>
      </c>
      <c r="O92" s="22">
        <v>77.0</v>
      </c>
      <c r="P92" s="22">
        <v>371.0</v>
      </c>
    </row>
    <row r="93">
      <c r="A93" s="23"/>
      <c r="B93" s="23"/>
      <c r="C93" s="23"/>
      <c r="D93" s="11"/>
      <c r="E93" s="22">
        <v>0.497</v>
      </c>
      <c r="F93" s="22">
        <v>0.598</v>
      </c>
      <c r="G93" s="22">
        <v>0.649</v>
      </c>
      <c r="H93" s="22">
        <v>0.616</v>
      </c>
      <c r="I93" s="22">
        <v>0.496</v>
      </c>
      <c r="J93" s="22">
        <v>-0.006</v>
      </c>
      <c r="K93" s="22">
        <v>0.723</v>
      </c>
      <c r="L93" s="22">
        <v>0.837</v>
      </c>
      <c r="M93" s="22">
        <v>27.0</v>
      </c>
      <c r="N93" s="22">
        <v>144.0</v>
      </c>
      <c r="O93" s="22">
        <v>73.0</v>
      </c>
      <c r="P93" s="22">
        <v>375.0</v>
      </c>
    </row>
    <row r="94">
      <c r="A94" s="23"/>
      <c r="B94" s="23"/>
      <c r="C94" s="23"/>
      <c r="D94" s="11"/>
      <c r="E94" s="22">
        <v>0.52</v>
      </c>
      <c r="F94" s="22">
        <v>0.668</v>
      </c>
      <c r="G94" s="22">
        <v>0.724</v>
      </c>
      <c r="H94" s="22">
        <v>0.637</v>
      </c>
      <c r="I94" s="22">
        <v>0.577</v>
      </c>
      <c r="J94" s="22">
        <v>0.096</v>
      </c>
      <c r="K94" s="22">
        <v>0.732</v>
      </c>
      <c r="L94" s="22">
        <v>0.975</v>
      </c>
      <c r="M94" s="22">
        <v>11.0</v>
      </c>
      <c r="N94" s="22">
        <v>160.0</v>
      </c>
      <c r="O94" s="22">
        <v>11.0</v>
      </c>
      <c r="P94" s="22">
        <v>437.0</v>
      </c>
    </row>
    <row r="95">
      <c r="A95" s="23"/>
      <c r="B95" s="23"/>
      <c r="C95" s="23"/>
      <c r="D95" s="11"/>
      <c r="E95" s="22">
        <v>0.509</v>
      </c>
      <c r="F95" s="22">
        <v>0.617</v>
      </c>
      <c r="G95" s="22">
        <v>0.698</v>
      </c>
      <c r="H95" s="22">
        <v>0.629</v>
      </c>
      <c r="I95" s="22">
        <v>0.53</v>
      </c>
      <c r="J95" s="22">
        <v>0.032</v>
      </c>
      <c r="K95" s="22">
        <v>0.728</v>
      </c>
      <c r="L95" s="22">
        <v>0.931</v>
      </c>
      <c r="M95" s="22">
        <v>15.0</v>
      </c>
      <c r="N95" s="22">
        <v>156.0</v>
      </c>
      <c r="O95" s="22">
        <v>31.0</v>
      </c>
      <c r="P95" s="22">
        <v>417.0</v>
      </c>
    </row>
    <row r="96">
      <c r="A96" s="23"/>
      <c r="B96" s="23"/>
      <c r="C96" s="23"/>
      <c r="D96" s="11"/>
      <c r="E96" s="22">
        <v>0.495</v>
      </c>
      <c r="F96" s="22">
        <v>0.595</v>
      </c>
      <c r="G96" s="22">
        <v>0.651</v>
      </c>
      <c r="H96" s="22">
        <v>0.615</v>
      </c>
      <c r="I96" s="22">
        <v>0.511</v>
      </c>
      <c r="J96" s="22">
        <v>-0.012</v>
      </c>
      <c r="K96" s="22">
        <v>0.721</v>
      </c>
      <c r="L96" s="22">
        <v>0.844</v>
      </c>
      <c r="M96" s="22">
        <v>25.0</v>
      </c>
      <c r="N96" s="22">
        <v>146.0</v>
      </c>
      <c r="O96" s="22">
        <v>70.0</v>
      </c>
      <c r="P96" s="22">
        <v>378.0</v>
      </c>
    </row>
    <row r="97">
      <c r="A97" s="23"/>
      <c r="B97" s="23"/>
      <c r="C97" s="23"/>
      <c r="D97" s="11"/>
      <c r="E97" s="22">
        <v>0.502</v>
      </c>
      <c r="F97" s="22">
        <v>0.617</v>
      </c>
      <c r="G97" s="22">
        <v>0.719</v>
      </c>
      <c r="H97" s="22">
        <v>0.614</v>
      </c>
      <c r="I97" s="22">
        <v>0.568</v>
      </c>
      <c r="J97" s="22">
        <v>0.016</v>
      </c>
      <c r="K97" s="22">
        <v>0.725</v>
      </c>
      <c r="L97" s="22">
        <v>0.987</v>
      </c>
      <c r="M97" s="22">
        <v>3.0</v>
      </c>
      <c r="N97" s="22">
        <v>168.0</v>
      </c>
      <c r="O97" s="22">
        <v>6.0</v>
      </c>
      <c r="P97" s="22">
        <v>442.0</v>
      </c>
    </row>
    <row r="98">
      <c r="A98" s="23"/>
      <c r="B98" s="23"/>
      <c r="C98" s="23"/>
      <c r="D98" s="11"/>
      <c r="E98" s="80">
        <v>0.532</v>
      </c>
      <c r="F98" s="80">
        <v>0.631</v>
      </c>
      <c r="G98" s="80">
        <v>0.666</v>
      </c>
      <c r="H98" s="80">
        <v>0.643</v>
      </c>
      <c r="I98" s="80">
        <v>0.51</v>
      </c>
      <c r="J98" s="80">
        <v>0.074</v>
      </c>
      <c r="K98" s="80">
        <v>0.74</v>
      </c>
      <c r="L98" s="80">
        <v>0.83</v>
      </c>
      <c r="M98" s="80">
        <v>40.0</v>
      </c>
      <c r="N98" s="80">
        <v>131.0</v>
      </c>
      <c r="O98" s="80">
        <v>76.0</v>
      </c>
      <c r="P98" s="80">
        <v>372.0</v>
      </c>
    </row>
    <row r="99">
      <c r="A99" s="23"/>
      <c r="B99" s="23"/>
      <c r="C99" s="23"/>
      <c r="D99" s="11"/>
      <c r="E99" s="22">
        <v>0.507</v>
      </c>
      <c r="F99" s="22">
        <v>0.637</v>
      </c>
      <c r="G99" s="22">
        <v>0.719</v>
      </c>
      <c r="H99" s="22">
        <v>0.622</v>
      </c>
      <c r="I99" s="22">
        <v>0.568</v>
      </c>
      <c r="J99" s="22">
        <v>0.044</v>
      </c>
      <c r="K99" s="22">
        <v>0.727</v>
      </c>
      <c r="L99" s="22">
        <v>0.98</v>
      </c>
      <c r="M99" s="22">
        <v>6.0</v>
      </c>
      <c r="N99" s="22">
        <v>165.0</v>
      </c>
      <c r="O99" s="22">
        <v>9.0</v>
      </c>
      <c r="P99" s="22">
        <v>439.0</v>
      </c>
    </row>
    <row r="100">
      <c r="A100" s="23"/>
      <c r="B100" s="23"/>
      <c r="C100" s="23"/>
      <c r="D100" s="71" t="s">
        <v>23</v>
      </c>
      <c r="E100" s="22">
        <v>0.508</v>
      </c>
      <c r="F100" s="22">
        <v>0.617</v>
      </c>
      <c r="G100" s="22">
        <v>0.698</v>
      </c>
      <c r="H100" s="22">
        <v>0.623</v>
      </c>
      <c r="I100" s="22">
        <v>0.535</v>
      </c>
      <c r="J100" s="22">
        <v>0.028</v>
      </c>
      <c r="K100" s="22">
        <v>0.727</v>
      </c>
      <c r="L100" s="22">
        <v>0.933</v>
      </c>
      <c r="M100" s="22">
        <v>14.2</v>
      </c>
      <c r="N100" s="22">
        <v>156.8</v>
      </c>
      <c r="O100" s="22">
        <v>30.0</v>
      </c>
      <c r="P100" s="22">
        <v>418.0</v>
      </c>
    </row>
    <row r="101">
      <c r="A101" s="72"/>
      <c r="B101" s="72"/>
      <c r="C101" s="72"/>
      <c r="D101" s="73" t="s">
        <v>232</v>
      </c>
      <c r="E101" s="22">
        <v>0.01</v>
      </c>
      <c r="F101" s="22">
        <v>0.026</v>
      </c>
      <c r="G101" s="22">
        <v>0.026</v>
      </c>
      <c r="H101" s="22">
        <v>0.011</v>
      </c>
      <c r="I101" s="22">
        <v>0.03</v>
      </c>
      <c r="J101" s="22">
        <v>0.036</v>
      </c>
      <c r="K101" s="22">
        <v>0.005</v>
      </c>
      <c r="L101" s="22">
        <v>0.062</v>
      </c>
      <c r="M101" s="22">
        <v>12.373</v>
      </c>
      <c r="N101" s="22">
        <v>12.373</v>
      </c>
      <c r="O101" s="22">
        <v>27.738</v>
      </c>
      <c r="P101" s="22">
        <v>27.738</v>
      </c>
    </row>
    <row r="103">
      <c r="A103" s="77" t="s">
        <v>235</v>
      </c>
      <c r="B103" s="78" t="s">
        <v>231</v>
      </c>
      <c r="C103" s="81" t="s">
        <v>236</v>
      </c>
      <c r="D103" s="79"/>
      <c r="E103" s="32">
        <v>0.513</v>
      </c>
      <c r="F103" s="83">
        <v>0.631</v>
      </c>
      <c r="G103" s="83">
        <v>0.709</v>
      </c>
      <c r="H103" s="83">
        <v>0.632</v>
      </c>
      <c r="I103" s="32">
        <v>0.523</v>
      </c>
      <c r="J103" s="32">
        <v>0.052</v>
      </c>
      <c r="K103" s="32">
        <v>0.729</v>
      </c>
      <c r="L103" s="32">
        <v>0.951</v>
      </c>
      <c r="M103" s="32">
        <v>13.0</v>
      </c>
      <c r="N103" s="32">
        <v>158.0</v>
      </c>
      <c r="O103" s="22">
        <v>22.0</v>
      </c>
      <c r="P103" s="32">
        <v>426.0</v>
      </c>
    </row>
    <row r="104">
      <c r="A104" s="23"/>
      <c r="B104" s="23"/>
      <c r="C104" s="23"/>
      <c r="D104" s="69"/>
      <c r="E104" s="22">
        <v>0.509</v>
      </c>
      <c r="F104" s="32">
        <v>0.625</v>
      </c>
      <c r="G104" s="22">
        <v>0.711</v>
      </c>
      <c r="H104" s="22">
        <v>0.627</v>
      </c>
      <c r="I104" s="22">
        <v>0.551</v>
      </c>
      <c r="J104" s="22">
        <v>0.039</v>
      </c>
      <c r="K104" s="22">
        <v>0.728</v>
      </c>
      <c r="L104" s="32">
        <v>0.96</v>
      </c>
      <c r="M104" s="22">
        <v>10.0</v>
      </c>
      <c r="N104" s="22">
        <v>161.0</v>
      </c>
      <c r="O104" s="22">
        <v>18.0</v>
      </c>
      <c r="P104" s="22">
        <v>430.0</v>
      </c>
    </row>
    <row r="105">
      <c r="A105" s="23"/>
      <c r="B105" s="23"/>
      <c r="C105" s="23"/>
      <c r="D105" s="70"/>
      <c r="E105" s="22">
        <v>0.501</v>
      </c>
      <c r="F105" s="22">
        <v>0.601</v>
      </c>
      <c r="G105" s="22">
        <v>0.68</v>
      </c>
      <c r="H105" s="22">
        <v>0.622</v>
      </c>
      <c r="I105" s="22">
        <v>0.536</v>
      </c>
      <c r="J105" s="22">
        <v>0.002</v>
      </c>
      <c r="K105" s="22">
        <v>0.724</v>
      </c>
      <c r="L105" s="22">
        <v>0.902</v>
      </c>
      <c r="M105" s="22">
        <v>17.0</v>
      </c>
      <c r="N105" s="22">
        <v>154.0</v>
      </c>
      <c r="O105" s="22">
        <v>44.0</v>
      </c>
      <c r="P105" s="22">
        <v>404.0</v>
      </c>
    </row>
    <row r="106">
      <c r="A106" s="23"/>
      <c r="B106" s="23"/>
      <c r="C106" s="23"/>
      <c r="D106" s="70"/>
      <c r="E106" s="22">
        <v>0.503</v>
      </c>
      <c r="F106" s="22">
        <v>0.609</v>
      </c>
      <c r="G106" s="22">
        <v>0.709</v>
      </c>
      <c r="H106" s="22">
        <v>0.619</v>
      </c>
      <c r="I106" s="22">
        <v>0.546</v>
      </c>
      <c r="J106" s="22">
        <v>0.012</v>
      </c>
      <c r="K106" s="22">
        <v>0.725</v>
      </c>
      <c r="L106" s="22">
        <v>0.964</v>
      </c>
      <c r="M106" s="22">
        <v>7.0</v>
      </c>
      <c r="N106" s="22">
        <v>164.0</v>
      </c>
      <c r="O106" s="22">
        <v>16.0</v>
      </c>
      <c r="P106" s="22">
        <v>432.0</v>
      </c>
    </row>
    <row r="107">
      <c r="A107" s="23"/>
      <c r="B107" s="23"/>
      <c r="C107" s="23"/>
      <c r="D107" s="70"/>
      <c r="E107" s="22">
        <v>0.502</v>
      </c>
      <c r="F107" s="22">
        <v>0.606</v>
      </c>
      <c r="G107" s="22">
        <v>0.706</v>
      </c>
      <c r="H107" s="22">
        <v>0.619</v>
      </c>
      <c r="I107" s="22">
        <v>0.548</v>
      </c>
      <c r="J107" s="22">
        <v>0.01</v>
      </c>
      <c r="K107" s="22">
        <v>0.725</v>
      </c>
      <c r="L107" s="22">
        <v>0.958</v>
      </c>
      <c r="M107" s="22">
        <v>8.0</v>
      </c>
      <c r="N107" s="22">
        <v>163.0</v>
      </c>
      <c r="O107" s="22">
        <v>19.0</v>
      </c>
      <c r="P107" s="22">
        <v>429.0</v>
      </c>
    </row>
    <row r="108">
      <c r="A108" s="23"/>
      <c r="B108" s="23"/>
      <c r="C108" s="23"/>
      <c r="D108" s="70"/>
      <c r="E108" s="22">
        <v>0.508</v>
      </c>
      <c r="F108" s="22">
        <v>0.609</v>
      </c>
      <c r="G108" s="22">
        <v>0.662</v>
      </c>
      <c r="H108" s="22">
        <v>0.627</v>
      </c>
      <c r="I108" s="22">
        <v>0.534</v>
      </c>
      <c r="J108" s="22">
        <v>0.02</v>
      </c>
      <c r="K108" s="22">
        <v>0.728</v>
      </c>
      <c r="L108" s="22">
        <v>0.853</v>
      </c>
      <c r="M108" s="22">
        <v>28.0</v>
      </c>
      <c r="N108" s="22">
        <v>143.0</v>
      </c>
      <c r="O108" s="22">
        <v>66.0</v>
      </c>
      <c r="P108" s="22">
        <v>382.0</v>
      </c>
    </row>
    <row r="109">
      <c r="A109" s="23"/>
      <c r="B109" s="23"/>
      <c r="C109" s="23"/>
      <c r="D109" s="70"/>
      <c r="E109" s="22">
        <v>0.513</v>
      </c>
      <c r="F109" s="22">
        <v>0.627</v>
      </c>
      <c r="G109" s="22">
        <v>0.706</v>
      </c>
      <c r="H109" s="80">
        <v>0.632</v>
      </c>
      <c r="I109" s="22">
        <v>0.561</v>
      </c>
      <c r="J109" s="22">
        <v>0.048</v>
      </c>
      <c r="K109" s="22">
        <v>0.729</v>
      </c>
      <c r="L109" s="22">
        <v>0.944</v>
      </c>
      <c r="M109" s="22">
        <v>14.0</v>
      </c>
      <c r="N109" s="22">
        <v>157.0</v>
      </c>
      <c r="O109" s="22">
        <v>25.0</v>
      </c>
      <c r="P109" s="22">
        <v>423.0</v>
      </c>
    </row>
    <row r="110">
      <c r="A110" s="23"/>
      <c r="B110" s="23"/>
      <c r="C110" s="23"/>
      <c r="D110" s="70"/>
      <c r="E110" s="22">
        <v>0.512</v>
      </c>
      <c r="F110" s="22">
        <v>0.624</v>
      </c>
      <c r="G110" s="22">
        <v>0.704</v>
      </c>
      <c r="H110" s="22">
        <v>0.631</v>
      </c>
      <c r="I110" s="22">
        <v>0.561</v>
      </c>
      <c r="J110" s="22">
        <v>0.043</v>
      </c>
      <c r="K110" s="22">
        <v>0.729</v>
      </c>
      <c r="L110" s="22">
        <v>0.942</v>
      </c>
      <c r="M110" s="22">
        <v>14.0</v>
      </c>
      <c r="N110" s="22">
        <v>157.0</v>
      </c>
      <c r="O110" s="22">
        <v>26.0</v>
      </c>
      <c r="P110" s="22">
        <v>422.0</v>
      </c>
    </row>
    <row r="111">
      <c r="A111" s="23"/>
      <c r="B111" s="23"/>
      <c r="C111" s="23"/>
      <c r="D111" s="70"/>
      <c r="E111" s="22">
        <v>0.51</v>
      </c>
      <c r="F111" s="22">
        <v>0.611</v>
      </c>
      <c r="G111" s="22">
        <v>0.662</v>
      </c>
      <c r="H111" s="22">
        <v>0.628</v>
      </c>
      <c r="I111" s="22">
        <v>0.527</v>
      </c>
      <c r="J111" s="22">
        <v>0.025</v>
      </c>
      <c r="K111" s="22">
        <v>0.728</v>
      </c>
      <c r="L111" s="22">
        <v>0.85</v>
      </c>
      <c r="M111" s="22">
        <v>29.0</v>
      </c>
      <c r="N111" s="22">
        <v>142.0</v>
      </c>
      <c r="O111" s="22">
        <v>67.0</v>
      </c>
      <c r="P111" s="22">
        <v>381.0</v>
      </c>
    </row>
    <row r="112">
      <c r="A112" s="23"/>
      <c r="B112" s="23"/>
      <c r="C112" s="23"/>
      <c r="D112" s="70"/>
      <c r="E112" s="22">
        <v>0.503</v>
      </c>
      <c r="F112" s="22">
        <v>0.628</v>
      </c>
      <c r="G112" s="22">
        <v>0.721</v>
      </c>
      <c r="H112" s="22">
        <v>0.615</v>
      </c>
      <c r="I112" s="22">
        <v>0.562</v>
      </c>
      <c r="J112" s="22">
        <v>0.025</v>
      </c>
      <c r="K112" s="22">
        <v>0.725</v>
      </c>
      <c r="L112" s="22">
        <v>0.989</v>
      </c>
      <c r="M112" s="22">
        <v>3.0</v>
      </c>
      <c r="N112" s="22">
        <v>168.0</v>
      </c>
      <c r="O112" s="22">
        <v>5.0</v>
      </c>
      <c r="P112" s="22">
        <v>443.0</v>
      </c>
    </row>
    <row r="113">
      <c r="A113" s="23"/>
      <c r="B113" s="23"/>
      <c r="C113" s="23"/>
      <c r="D113" s="11"/>
      <c r="E113" s="22">
        <v>0.513</v>
      </c>
      <c r="F113" s="22">
        <v>0.627</v>
      </c>
      <c r="G113" s="22">
        <v>0.706</v>
      </c>
      <c r="H113" s="80">
        <v>0.632</v>
      </c>
      <c r="I113" s="22">
        <v>0.561</v>
      </c>
      <c r="J113" s="22">
        <v>0.048</v>
      </c>
      <c r="K113" s="22">
        <v>0.729</v>
      </c>
      <c r="L113" s="22">
        <v>0.944</v>
      </c>
      <c r="M113" s="22">
        <v>14.0</v>
      </c>
      <c r="N113" s="22">
        <v>157.0</v>
      </c>
      <c r="O113" s="22">
        <v>25.0</v>
      </c>
      <c r="P113" s="22">
        <v>423.0</v>
      </c>
    </row>
    <row r="114">
      <c r="A114" s="23"/>
      <c r="B114" s="23"/>
      <c r="C114" s="23"/>
      <c r="D114" s="11"/>
      <c r="E114" s="22">
        <v>0.512</v>
      </c>
      <c r="F114" s="22">
        <v>0.624</v>
      </c>
      <c r="G114" s="22">
        <v>0.704</v>
      </c>
      <c r="H114" s="22">
        <v>0.631</v>
      </c>
      <c r="I114" s="22">
        <v>0.561</v>
      </c>
      <c r="J114" s="22">
        <v>0.043</v>
      </c>
      <c r="K114" s="22">
        <v>0.729</v>
      </c>
      <c r="L114" s="22">
        <v>0.942</v>
      </c>
      <c r="M114" s="22">
        <v>14.0</v>
      </c>
      <c r="N114" s="22">
        <v>157.0</v>
      </c>
      <c r="O114" s="22">
        <v>26.0</v>
      </c>
      <c r="P114" s="22">
        <v>422.0</v>
      </c>
    </row>
    <row r="115">
      <c r="A115" s="23"/>
      <c r="B115" s="23"/>
      <c r="C115" s="23"/>
      <c r="D115" s="11"/>
      <c r="E115" s="22">
        <v>0.503</v>
      </c>
      <c r="F115" s="22">
        <v>0.606</v>
      </c>
      <c r="G115" s="22">
        <v>0.695</v>
      </c>
      <c r="H115" s="22">
        <v>0.623</v>
      </c>
      <c r="I115" s="22">
        <v>0.546</v>
      </c>
      <c r="J115" s="22">
        <v>0.012</v>
      </c>
      <c r="K115" s="22">
        <v>0.725</v>
      </c>
      <c r="L115" s="22">
        <v>0.931</v>
      </c>
      <c r="M115" s="22">
        <v>13.0</v>
      </c>
      <c r="N115" s="22">
        <v>158.0</v>
      </c>
      <c r="O115" s="22">
        <v>31.0</v>
      </c>
      <c r="P115" s="22">
        <v>417.0</v>
      </c>
    </row>
    <row r="116">
      <c r="A116" s="23"/>
      <c r="B116" s="23"/>
      <c r="C116" s="23"/>
      <c r="D116" s="11"/>
      <c r="E116" s="22">
        <v>0.503</v>
      </c>
      <c r="F116" s="22">
        <v>0.628</v>
      </c>
      <c r="G116" s="22">
        <v>0.721</v>
      </c>
      <c r="H116" s="22">
        <v>0.615</v>
      </c>
      <c r="I116" s="22">
        <v>0.562</v>
      </c>
      <c r="J116" s="22">
        <v>0.025</v>
      </c>
      <c r="K116" s="22">
        <v>0.725</v>
      </c>
      <c r="L116" s="22">
        <v>0.989</v>
      </c>
      <c r="M116" s="22">
        <v>3.0</v>
      </c>
      <c r="N116" s="22">
        <v>168.0</v>
      </c>
      <c r="O116" s="22">
        <v>5.0</v>
      </c>
      <c r="P116" s="22">
        <v>443.0</v>
      </c>
    </row>
    <row r="117">
      <c r="A117" s="23"/>
      <c r="B117" s="23"/>
      <c r="C117" s="23"/>
      <c r="D117" s="11"/>
      <c r="E117" s="22">
        <v>0.503</v>
      </c>
      <c r="F117" s="22">
        <v>0.628</v>
      </c>
      <c r="G117" s="22">
        <v>0.721</v>
      </c>
      <c r="H117" s="22">
        <v>0.615</v>
      </c>
      <c r="I117" s="22">
        <v>0.567</v>
      </c>
      <c r="J117" s="22">
        <v>0.025</v>
      </c>
      <c r="K117" s="22">
        <v>0.725</v>
      </c>
      <c r="L117" s="22">
        <v>0.989</v>
      </c>
      <c r="M117" s="22">
        <v>3.0</v>
      </c>
      <c r="N117" s="22">
        <v>168.0</v>
      </c>
      <c r="O117" s="22">
        <v>5.0</v>
      </c>
      <c r="P117" s="22">
        <v>443.0</v>
      </c>
    </row>
    <row r="118">
      <c r="A118" s="23"/>
      <c r="B118" s="23"/>
      <c r="C118" s="23"/>
      <c r="D118" s="11"/>
      <c r="E118" s="22">
        <v>0.508</v>
      </c>
      <c r="F118" s="22">
        <v>0.609</v>
      </c>
      <c r="G118" s="22">
        <v>0.662</v>
      </c>
      <c r="H118" s="22">
        <v>0.627</v>
      </c>
      <c r="I118" s="22">
        <v>0.53</v>
      </c>
      <c r="J118" s="22">
        <v>0.02</v>
      </c>
      <c r="K118" s="22">
        <v>0.728</v>
      </c>
      <c r="L118" s="22">
        <v>0.853</v>
      </c>
      <c r="M118" s="22">
        <v>28.0</v>
      </c>
      <c r="N118" s="22">
        <v>143.0</v>
      </c>
      <c r="O118" s="22">
        <v>66.0</v>
      </c>
      <c r="P118" s="22">
        <v>382.0</v>
      </c>
    </row>
    <row r="119">
      <c r="A119" s="23"/>
      <c r="B119" s="23"/>
      <c r="C119" s="23"/>
      <c r="D119" s="11"/>
      <c r="E119" s="22">
        <v>0.512</v>
      </c>
      <c r="F119" s="22">
        <v>0.624</v>
      </c>
      <c r="G119" s="22">
        <v>0.704</v>
      </c>
      <c r="H119" s="22">
        <v>0.631</v>
      </c>
      <c r="I119" s="22">
        <v>0.561</v>
      </c>
      <c r="J119" s="22">
        <v>0.043</v>
      </c>
      <c r="K119" s="22">
        <v>0.729</v>
      </c>
      <c r="L119" s="22">
        <v>0.942</v>
      </c>
      <c r="M119" s="22">
        <v>14.0</v>
      </c>
      <c r="N119" s="22">
        <v>157.0</v>
      </c>
      <c r="O119" s="22">
        <v>26.0</v>
      </c>
      <c r="P119" s="22">
        <v>422.0</v>
      </c>
    </row>
    <row r="120">
      <c r="A120" s="23"/>
      <c r="B120" s="23"/>
      <c r="C120" s="23"/>
      <c r="D120" s="11"/>
      <c r="E120" s="22">
        <v>0.502</v>
      </c>
      <c r="F120" s="22">
        <v>0.604</v>
      </c>
      <c r="G120" s="22">
        <v>0.698</v>
      </c>
      <c r="H120" s="22">
        <v>0.621</v>
      </c>
      <c r="I120" s="22">
        <v>0.55</v>
      </c>
      <c r="J120" s="22">
        <v>0.008</v>
      </c>
      <c r="K120" s="22">
        <v>0.725</v>
      </c>
      <c r="L120" s="22">
        <v>0.94</v>
      </c>
      <c r="M120" s="22">
        <v>11.0</v>
      </c>
      <c r="N120" s="22">
        <v>160.0</v>
      </c>
      <c r="O120" s="22">
        <v>27.0</v>
      </c>
      <c r="P120" s="22">
        <v>421.0</v>
      </c>
    </row>
    <row r="121">
      <c r="A121" s="23"/>
      <c r="B121" s="23"/>
      <c r="C121" s="23"/>
      <c r="D121" s="11"/>
      <c r="E121" s="22">
        <v>0.503</v>
      </c>
      <c r="F121" s="22">
        <v>0.628</v>
      </c>
      <c r="G121" s="22">
        <v>0.721</v>
      </c>
      <c r="H121" s="22">
        <v>0.615</v>
      </c>
      <c r="I121" s="22">
        <v>0.562</v>
      </c>
      <c r="J121" s="22">
        <v>0.025</v>
      </c>
      <c r="K121" s="22">
        <v>0.725</v>
      </c>
      <c r="L121" s="22">
        <v>0.989</v>
      </c>
      <c r="M121" s="22">
        <v>3.0</v>
      </c>
      <c r="N121" s="22">
        <v>168.0</v>
      </c>
      <c r="O121" s="22">
        <v>5.0</v>
      </c>
      <c r="P121" s="22">
        <v>443.0</v>
      </c>
    </row>
    <row r="122">
      <c r="A122" s="23"/>
      <c r="B122" s="23"/>
      <c r="C122" s="23"/>
      <c r="D122" s="11"/>
      <c r="E122" s="22">
        <v>0.498</v>
      </c>
      <c r="F122" s="22">
        <v>0.592</v>
      </c>
      <c r="G122" s="22">
        <v>0.708</v>
      </c>
      <c r="H122" s="22">
        <v>0.613</v>
      </c>
      <c r="I122" s="22">
        <v>0.556</v>
      </c>
      <c r="J122" s="22">
        <v>-0.011</v>
      </c>
      <c r="K122" s="22">
        <v>0.723</v>
      </c>
      <c r="L122" s="22">
        <v>0.967</v>
      </c>
      <c r="M122" s="22">
        <v>5.0</v>
      </c>
      <c r="N122" s="22">
        <v>166.0</v>
      </c>
      <c r="O122" s="22">
        <v>15.0</v>
      </c>
      <c r="P122" s="22">
        <v>433.0</v>
      </c>
    </row>
    <row r="123">
      <c r="A123" s="23"/>
      <c r="B123" s="23"/>
      <c r="C123" s="23"/>
      <c r="D123" s="11"/>
      <c r="E123" s="22">
        <v>0.512</v>
      </c>
      <c r="F123" s="22">
        <v>0.624</v>
      </c>
      <c r="G123" s="22">
        <v>0.704</v>
      </c>
      <c r="H123" s="22">
        <v>0.631</v>
      </c>
      <c r="I123" s="22">
        <v>0.561</v>
      </c>
      <c r="J123" s="22">
        <v>0.043</v>
      </c>
      <c r="K123" s="22">
        <v>0.729</v>
      </c>
      <c r="L123" s="22">
        <v>0.942</v>
      </c>
      <c r="M123" s="22">
        <v>14.0</v>
      </c>
      <c r="N123" s="22">
        <v>157.0</v>
      </c>
      <c r="O123" s="22">
        <v>26.0</v>
      </c>
      <c r="P123" s="22">
        <v>422.0</v>
      </c>
    </row>
    <row r="124">
      <c r="A124" s="23"/>
      <c r="B124" s="23"/>
      <c r="C124" s="23"/>
      <c r="D124" s="11"/>
      <c r="E124" s="22">
        <v>0.503</v>
      </c>
      <c r="F124" s="22">
        <v>0.628</v>
      </c>
      <c r="G124" s="22">
        <v>0.721</v>
      </c>
      <c r="H124" s="22">
        <v>0.615</v>
      </c>
      <c r="I124" s="22">
        <v>0.562</v>
      </c>
      <c r="J124" s="22">
        <v>0.025</v>
      </c>
      <c r="K124" s="22">
        <v>0.725</v>
      </c>
      <c r="L124" s="22">
        <v>0.989</v>
      </c>
      <c r="M124" s="22">
        <v>3.0</v>
      </c>
      <c r="N124" s="22">
        <v>168.0</v>
      </c>
      <c r="O124" s="22">
        <v>5.0</v>
      </c>
      <c r="P124" s="22">
        <v>443.0</v>
      </c>
    </row>
    <row r="125">
      <c r="A125" s="23"/>
      <c r="B125" s="23"/>
      <c r="C125" s="23"/>
      <c r="D125" s="11"/>
      <c r="E125" s="22">
        <v>0.5</v>
      </c>
      <c r="F125" s="22">
        <v>0.6</v>
      </c>
      <c r="G125" s="22">
        <v>0.703</v>
      </c>
      <c r="H125" s="22">
        <v>0.618</v>
      </c>
      <c r="I125" s="22">
        <v>0.547</v>
      </c>
      <c r="J125" s="22">
        <v>0.0</v>
      </c>
      <c r="K125" s="22">
        <v>0.724</v>
      </c>
      <c r="L125" s="22">
        <v>0.953</v>
      </c>
      <c r="M125" s="22">
        <v>8.0</v>
      </c>
      <c r="N125" s="22">
        <v>163.0</v>
      </c>
      <c r="O125" s="22">
        <v>21.0</v>
      </c>
      <c r="P125" s="22">
        <v>427.0</v>
      </c>
    </row>
    <row r="126">
      <c r="A126" s="23"/>
      <c r="B126" s="23"/>
      <c r="C126" s="23"/>
      <c r="D126" s="11"/>
      <c r="E126" s="22">
        <v>0.508</v>
      </c>
      <c r="F126" s="22">
        <v>0.652</v>
      </c>
      <c r="G126" s="22">
        <v>0.722</v>
      </c>
      <c r="H126" s="22">
        <v>0.621</v>
      </c>
      <c r="I126" s="22">
        <v>0.588</v>
      </c>
      <c r="J126" s="22">
        <v>0.054</v>
      </c>
      <c r="K126" s="22">
        <v>0.727</v>
      </c>
      <c r="L126" s="22">
        <v>0.987</v>
      </c>
      <c r="M126" s="22">
        <v>5.0</v>
      </c>
      <c r="N126" s="22">
        <v>166.0</v>
      </c>
      <c r="O126" s="22">
        <v>6.0</v>
      </c>
      <c r="P126" s="22">
        <v>442.0</v>
      </c>
    </row>
    <row r="127">
      <c r="A127" s="23"/>
      <c r="B127" s="23"/>
      <c r="C127" s="23"/>
      <c r="D127" s="11"/>
      <c r="E127" s="22">
        <v>0.505</v>
      </c>
      <c r="F127" s="22">
        <v>0.623</v>
      </c>
      <c r="G127" s="22">
        <v>0.716</v>
      </c>
      <c r="H127" s="22">
        <v>0.62</v>
      </c>
      <c r="I127" s="22">
        <v>0.558</v>
      </c>
      <c r="J127" s="22">
        <v>0.029</v>
      </c>
      <c r="K127" s="22">
        <v>0.726</v>
      </c>
      <c r="L127" s="22">
        <v>0.975</v>
      </c>
      <c r="M127" s="22">
        <v>6.0</v>
      </c>
      <c r="N127" s="22">
        <v>165.0</v>
      </c>
      <c r="O127" s="22">
        <v>11.0</v>
      </c>
      <c r="P127" s="22">
        <v>437.0</v>
      </c>
    </row>
    <row r="128">
      <c r="A128" s="23"/>
      <c r="B128" s="23"/>
      <c r="C128" s="23"/>
      <c r="D128" s="11"/>
      <c r="E128" s="22">
        <v>0.503</v>
      </c>
      <c r="F128" s="22">
        <v>0.628</v>
      </c>
      <c r="G128" s="22">
        <v>0.721</v>
      </c>
      <c r="H128" s="22">
        <v>0.615</v>
      </c>
      <c r="I128" s="22">
        <v>0.563</v>
      </c>
      <c r="J128" s="22">
        <v>0.025</v>
      </c>
      <c r="K128" s="22">
        <v>0.725</v>
      </c>
      <c r="L128" s="22">
        <v>0.989</v>
      </c>
      <c r="M128" s="22">
        <v>3.0</v>
      </c>
      <c r="N128" s="22">
        <v>168.0</v>
      </c>
      <c r="O128" s="22">
        <v>5.0</v>
      </c>
      <c r="P128" s="22">
        <v>443.0</v>
      </c>
    </row>
    <row r="129">
      <c r="A129" s="23"/>
      <c r="B129" s="23"/>
      <c r="C129" s="23"/>
      <c r="D129" s="11"/>
      <c r="E129" s="22">
        <v>0.503</v>
      </c>
      <c r="F129" s="22">
        <v>0.628</v>
      </c>
      <c r="G129" s="22">
        <v>0.721</v>
      </c>
      <c r="H129" s="22">
        <v>0.615</v>
      </c>
      <c r="I129" s="22">
        <v>0.567</v>
      </c>
      <c r="J129" s="22">
        <v>0.025</v>
      </c>
      <c r="K129" s="22">
        <v>0.725</v>
      </c>
      <c r="L129" s="22">
        <v>0.989</v>
      </c>
      <c r="M129" s="22">
        <v>3.0</v>
      </c>
      <c r="N129" s="22">
        <v>168.0</v>
      </c>
      <c r="O129" s="22">
        <v>5.0</v>
      </c>
      <c r="P129" s="22">
        <v>443.0</v>
      </c>
    </row>
    <row r="130">
      <c r="A130" s="23"/>
      <c r="B130" s="23"/>
      <c r="C130" s="23"/>
      <c r="D130" s="11"/>
      <c r="E130" s="22">
        <v>0.503</v>
      </c>
      <c r="F130" s="22">
        <v>0.628</v>
      </c>
      <c r="G130" s="22">
        <v>0.721</v>
      </c>
      <c r="H130" s="22">
        <v>0.615</v>
      </c>
      <c r="I130" s="22">
        <v>0.557</v>
      </c>
      <c r="J130" s="22">
        <v>0.025</v>
      </c>
      <c r="K130" s="22">
        <v>0.725</v>
      </c>
      <c r="L130" s="22">
        <v>0.989</v>
      </c>
      <c r="M130" s="22">
        <v>3.0</v>
      </c>
      <c r="N130" s="22">
        <v>168.0</v>
      </c>
      <c r="O130" s="22">
        <v>5.0</v>
      </c>
      <c r="P130" s="22">
        <v>443.0</v>
      </c>
    </row>
    <row r="131">
      <c r="A131" s="23"/>
      <c r="B131" s="23"/>
      <c r="C131" s="23"/>
      <c r="D131" s="11"/>
      <c r="E131" s="22">
        <v>0.507</v>
      </c>
      <c r="F131" s="22">
        <v>0.616</v>
      </c>
      <c r="G131" s="22">
        <v>0.703</v>
      </c>
      <c r="H131" s="22">
        <v>0.626</v>
      </c>
      <c r="I131" s="22">
        <v>0.549</v>
      </c>
      <c r="J131" s="22">
        <v>0.027</v>
      </c>
      <c r="K131" s="22">
        <v>0.727</v>
      </c>
      <c r="L131" s="22">
        <v>0.944</v>
      </c>
      <c r="M131" s="22">
        <v>12.0</v>
      </c>
      <c r="N131" s="22">
        <v>159.0</v>
      </c>
      <c r="O131" s="22">
        <v>25.0</v>
      </c>
      <c r="P131" s="22">
        <v>423.0</v>
      </c>
    </row>
    <row r="132">
      <c r="A132" s="23"/>
      <c r="B132" s="23"/>
      <c r="C132" s="23"/>
      <c r="D132" s="11"/>
      <c r="E132" s="80">
        <v>0.513</v>
      </c>
      <c r="F132" s="80">
        <v>0.631</v>
      </c>
      <c r="G132" s="80">
        <v>0.709</v>
      </c>
      <c r="H132" s="80">
        <v>0.632</v>
      </c>
      <c r="I132" s="80">
        <v>0.524</v>
      </c>
      <c r="J132" s="80">
        <v>0.052</v>
      </c>
      <c r="K132" s="80">
        <v>0.729</v>
      </c>
      <c r="L132" s="80">
        <v>0.951</v>
      </c>
      <c r="M132" s="80">
        <v>13.0</v>
      </c>
      <c r="N132" s="80">
        <v>158.0</v>
      </c>
      <c r="O132" s="80">
        <v>22.0</v>
      </c>
      <c r="P132" s="80">
        <v>426.0</v>
      </c>
    </row>
    <row r="133">
      <c r="A133" s="23"/>
      <c r="B133" s="23"/>
      <c r="C133" s="23"/>
      <c r="D133" s="71" t="s">
        <v>23</v>
      </c>
      <c r="E133" s="22">
        <v>0.506</v>
      </c>
      <c r="F133" s="22">
        <v>0.62</v>
      </c>
      <c r="G133" s="22">
        <v>0.705</v>
      </c>
      <c r="H133" s="22">
        <v>0.623</v>
      </c>
      <c r="I133" s="22">
        <v>0.553</v>
      </c>
      <c r="J133" s="22">
        <v>0.027</v>
      </c>
      <c r="K133" s="22">
        <v>0.726</v>
      </c>
      <c r="L133" s="22">
        <v>0.95</v>
      </c>
      <c r="M133" s="22">
        <v>10.7</v>
      </c>
      <c r="N133" s="22">
        <v>160.3</v>
      </c>
      <c r="O133" s="22">
        <v>22.333</v>
      </c>
      <c r="P133" s="22">
        <v>425.667</v>
      </c>
    </row>
    <row r="134">
      <c r="A134" s="72"/>
      <c r="B134" s="72"/>
      <c r="C134" s="72"/>
      <c r="D134" s="73" t="s">
        <v>232</v>
      </c>
      <c r="E134" s="22">
        <v>0.005</v>
      </c>
      <c r="F134" s="22">
        <v>0.012</v>
      </c>
      <c r="G134" s="22">
        <v>0.017</v>
      </c>
      <c r="H134" s="22">
        <v>0.007</v>
      </c>
      <c r="I134" s="22">
        <v>0.015</v>
      </c>
      <c r="J134" s="22">
        <v>0.016</v>
      </c>
      <c r="K134" s="22">
        <v>0.002</v>
      </c>
      <c r="L134" s="22">
        <v>0.039</v>
      </c>
      <c r="M134" s="22">
        <v>7.408</v>
      </c>
      <c r="N134" s="22">
        <v>7.408</v>
      </c>
      <c r="O134" s="22">
        <v>17.677</v>
      </c>
      <c r="P134" s="22">
        <v>17.677</v>
      </c>
    </row>
  </sheetData>
  <mergeCells count="12">
    <mergeCell ref="B70:B101"/>
    <mergeCell ref="C70:C101"/>
    <mergeCell ref="A103:A134"/>
    <mergeCell ref="B103:B134"/>
    <mergeCell ref="C103:C134"/>
    <mergeCell ref="A4:A35"/>
    <mergeCell ref="B4:B35"/>
    <mergeCell ref="C4:C35"/>
    <mergeCell ref="A37:A68"/>
    <mergeCell ref="B37:B68"/>
    <mergeCell ref="C37:C68"/>
    <mergeCell ref="A70:A101"/>
  </mergeCells>
  <conditionalFormatting sqref="H1:H777">
    <cfRule type="cellIs" dxfId="0" priority="1" operator="greaterThan">
      <formula>0.725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19.13"/>
    <col customWidth="1" min="3" max="3" width="21.25"/>
  </cols>
  <sheetData>
    <row r="1">
      <c r="A1" s="1" t="s">
        <v>0</v>
      </c>
      <c r="B1" s="2" t="s">
        <v>1</v>
      </c>
      <c r="C1" s="3" t="s">
        <v>2</v>
      </c>
      <c r="D1" s="5"/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6" t="s">
        <v>10</v>
      </c>
      <c r="M1" s="6" t="s">
        <v>249</v>
      </c>
      <c r="N1" s="6" t="s">
        <v>12</v>
      </c>
      <c r="O1" s="6" t="s">
        <v>13</v>
      </c>
      <c r="P1" s="6" t="s">
        <v>250</v>
      </c>
    </row>
    <row r="2" ht="28.5" customHeight="1">
      <c r="A2" s="57" t="s">
        <v>18</v>
      </c>
      <c r="B2" s="58"/>
      <c r="C2" s="19" t="s">
        <v>19</v>
      </c>
      <c r="D2" s="59"/>
      <c r="E2" s="60">
        <v>0.652</v>
      </c>
      <c r="F2" s="60">
        <v>0.724</v>
      </c>
      <c r="G2" s="60">
        <v>0.727</v>
      </c>
      <c r="H2" s="60">
        <v>0.725</v>
      </c>
      <c r="I2" s="60">
        <v>0.684</v>
      </c>
      <c r="J2" s="60">
        <v>0.309</v>
      </c>
      <c r="K2" s="60">
        <v>0.807</v>
      </c>
      <c r="L2" s="60">
        <v>0.819</v>
      </c>
      <c r="M2" s="61">
        <v>83.0</v>
      </c>
      <c r="N2" s="61">
        <v>88.0</v>
      </c>
      <c r="O2" s="61">
        <v>81.0</v>
      </c>
      <c r="P2" s="62">
        <v>367.0</v>
      </c>
    </row>
    <row r="4">
      <c r="A4" s="68" t="s">
        <v>230</v>
      </c>
      <c r="B4" s="19" t="s">
        <v>231</v>
      </c>
      <c r="C4" s="19" t="s">
        <v>215</v>
      </c>
      <c r="D4" s="69"/>
      <c r="E4" s="32">
        <v>0.492</v>
      </c>
      <c r="F4" s="32">
        <v>0.583</v>
      </c>
      <c r="G4" s="32">
        <v>0.688</v>
      </c>
      <c r="H4" s="32">
        <v>0.611</v>
      </c>
      <c r="I4" s="32">
        <v>0.518</v>
      </c>
      <c r="J4" s="32">
        <v>-0.03</v>
      </c>
      <c r="K4" s="32">
        <v>0.72</v>
      </c>
      <c r="L4" s="32">
        <v>0.931</v>
      </c>
      <c r="M4" s="32">
        <v>9.0</v>
      </c>
      <c r="N4" s="32">
        <v>162.0</v>
      </c>
      <c r="O4" s="22">
        <v>31.0</v>
      </c>
      <c r="P4" s="32">
        <v>417.0</v>
      </c>
    </row>
    <row r="5">
      <c r="A5" s="23"/>
      <c r="B5" s="23"/>
      <c r="C5" s="23"/>
      <c r="D5" s="69"/>
      <c r="E5" s="22">
        <v>0.504</v>
      </c>
      <c r="F5" s="32">
        <v>0.643</v>
      </c>
      <c r="G5" s="22">
        <v>0.722</v>
      </c>
      <c r="H5" s="22">
        <v>0.616</v>
      </c>
      <c r="I5" s="22">
        <v>0.571</v>
      </c>
      <c r="J5" s="22">
        <v>0.036</v>
      </c>
      <c r="K5" s="22">
        <v>0.725</v>
      </c>
      <c r="L5" s="32">
        <v>0.991</v>
      </c>
      <c r="M5" s="22">
        <v>3.0</v>
      </c>
      <c r="N5" s="22">
        <v>168.0</v>
      </c>
      <c r="O5" s="22">
        <v>4.0</v>
      </c>
      <c r="P5" s="22">
        <v>444.0</v>
      </c>
    </row>
    <row r="6">
      <c r="A6" s="23"/>
      <c r="B6" s="23"/>
      <c r="C6" s="23"/>
      <c r="D6" s="70"/>
      <c r="E6" s="22">
        <v>0.5</v>
      </c>
      <c r="F6" s="22">
        <v>0.8</v>
      </c>
      <c r="G6" s="22">
        <v>0.724</v>
      </c>
      <c r="H6" s="22">
        <v>0.608</v>
      </c>
      <c r="I6" s="22">
        <v>0.514</v>
      </c>
      <c r="J6" s="22">
        <v>0.0</v>
      </c>
      <c r="K6" s="22">
        <v>0.724</v>
      </c>
      <c r="L6" s="22">
        <v>1.0</v>
      </c>
      <c r="M6" s="22">
        <v>0.0</v>
      </c>
      <c r="N6" s="22">
        <v>171.0</v>
      </c>
      <c r="O6" s="22">
        <v>0.0</v>
      </c>
      <c r="P6" s="22">
        <v>448.0</v>
      </c>
    </row>
    <row r="7">
      <c r="A7" s="23"/>
      <c r="B7" s="23"/>
      <c r="C7" s="23"/>
      <c r="D7" s="70"/>
      <c r="E7" s="22">
        <v>0.503</v>
      </c>
      <c r="F7" s="22">
        <v>0.604</v>
      </c>
      <c r="G7" s="22">
        <v>0.679</v>
      </c>
      <c r="H7" s="22">
        <v>0.624</v>
      </c>
      <c r="I7" s="22">
        <v>0.503</v>
      </c>
      <c r="J7" s="22">
        <v>0.009</v>
      </c>
      <c r="K7" s="22">
        <v>0.725</v>
      </c>
      <c r="L7" s="22">
        <v>0.895</v>
      </c>
      <c r="M7" s="22">
        <v>19.0</v>
      </c>
      <c r="N7" s="22">
        <v>152.0</v>
      </c>
      <c r="O7" s="22">
        <v>47.0</v>
      </c>
      <c r="P7" s="22">
        <v>401.0</v>
      </c>
    </row>
    <row r="8">
      <c r="A8" s="23"/>
      <c r="B8" s="23"/>
      <c r="C8" s="23"/>
      <c r="D8" s="70"/>
      <c r="E8" s="22">
        <v>0.52</v>
      </c>
      <c r="F8" s="22">
        <v>0.622</v>
      </c>
      <c r="G8" s="22">
        <v>0.674</v>
      </c>
      <c r="H8" s="22">
        <v>0.637</v>
      </c>
      <c r="I8" s="22">
        <v>0.533</v>
      </c>
      <c r="J8" s="22">
        <v>0.05</v>
      </c>
      <c r="K8" s="22">
        <v>0.733</v>
      </c>
      <c r="L8" s="22">
        <v>0.864</v>
      </c>
      <c r="M8" s="22">
        <v>30.0</v>
      </c>
      <c r="N8" s="22">
        <v>141.0</v>
      </c>
      <c r="O8" s="22">
        <v>61.0</v>
      </c>
      <c r="P8" s="22">
        <v>387.0</v>
      </c>
    </row>
    <row r="9">
      <c r="A9" s="23"/>
      <c r="B9" s="23"/>
      <c r="C9" s="23"/>
      <c r="D9" s="70"/>
      <c r="E9" s="22">
        <v>0.501</v>
      </c>
      <c r="F9" s="22">
        <v>0.607</v>
      </c>
      <c r="G9" s="22">
        <v>0.717</v>
      </c>
      <c r="H9" s="22">
        <v>0.613</v>
      </c>
      <c r="I9" s="22">
        <v>0.543</v>
      </c>
      <c r="J9" s="22">
        <v>0.007</v>
      </c>
      <c r="K9" s="22">
        <v>0.724</v>
      </c>
      <c r="L9" s="22">
        <v>0.984</v>
      </c>
      <c r="M9" s="22">
        <v>3.0</v>
      </c>
      <c r="N9" s="22">
        <v>168.0</v>
      </c>
      <c r="O9" s="22">
        <v>7.0</v>
      </c>
      <c r="P9" s="22">
        <v>441.0</v>
      </c>
    </row>
    <row r="10">
      <c r="A10" s="23"/>
      <c r="B10" s="23"/>
      <c r="C10" s="23"/>
      <c r="D10" s="70"/>
      <c r="E10" s="22">
        <v>0.508</v>
      </c>
      <c r="F10" s="22">
        <v>0.622</v>
      </c>
      <c r="G10" s="22">
        <v>0.709</v>
      </c>
      <c r="H10" s="22">
        <v>0.626</v>
      </c>
      <c r="I10" s="22">
        <v>0.527</v>
      </c>
      <c r="J10" s="22">
        <v>0.034</v>
      </c>
      <c r="K10" s="22">
        <v>0.727</v>
      </c>
      <c r="L10" s="22">
        <v>0.958</v>
      </c>
      <c r="M10" s="22">
        <v>10.0</v>
      </c>
      <c r="N10" s="22">
        <v>161.0</v>
      </c>
      <c r="O10" s="22">
        <v>19.0</v>
      </c>
      <c r="P10" s="22">
        <v>429.0</v>
      </c>
    </row>
    <row r="11">
      <c r="A11" s="23"/>
      <c r="B11" s="23"/>
      <c r="C11" s="23"/>
      <c r="D11" s="70"/>
      <c r="E11" s="22">
        <v>0.509</v>
      </c>
      <c r="F11" s="22">
        <v>0.632</v>
      </c>
      <c r="G11" s="22">
        <v>0.716</v>
      </c>
      <c r="H11" s="22">
        <v>0.625</v>
      </c>
      <c r="I11" s="22">
        <v>0.506</v>
      </c>
      <c r="J11" s="22">
        <v>0.044</v>
      </c>
      <c r="K11" s="22">
        <v>0.727</v>
      </c>
      <c r="L11" s="22">
        <v>0.971</v>
      </c>
      <c r="M11" s="22">
        <v>8.0</v>
      </c>
      <c r="N11" s="22">
        <v>163.0</v>
      </c>
      <c r="O11" s="22">
        <v>13.0</v>
      </c>
      <c r="P11" s="22">
        <v>435.0</v>
      </c>
    </row>
    <row r="12">
      <c r="A12" s="23"/>
      <c r="B12" s="23"/>
      <c r="C12" s="23"/>
      <c r="D12" s="70"/>
      <c r="E12" s="22">
        <v>0.502</v>
      </c>
      <c r="F12" s="22">
        <v>0.604</v>
      </c>
      <c r="G12" s="22">
        <v>0.693</v>
      </c>
      <c r="H12" s="22">
        <v>0.622</v>
      </c>
      <c r="I12" s="22">
        <v>0.485</v>
      </c>
      <c r="J12" s="22">
        <v>0.008</v>
      </c>
      <c r="K12" s="22">
        <v>0.725</v>
      </c>
      <c r="L12" s="22">
        <v>0.929</v>
      </c>
      <c r="M12" s="22">
        <v>13.0</v>
      </c>
      <c r="N12" s="22">
        <v>158.0</v>
      </c>
      <c r="O12" s="22">
        <v>32.0</v>
      </c>
      <c r="P12" s="22">
        <v>416.0</v>
      </c>
    </row>
    <row r="13">
      <c r="A13" s="23"/>
      <c r="B13" s="23"/>
      <c r="C13" s="23"/>
      <c r="D13" s="70"/>
      <c r="E13" s="22">
        <v>0.504</v>
      </c>
      <c r="F13" s="22">
        <v>0.613</v>
      </c>
      <c r="G13" s="22">
        <v>0.711</v>
      </c>
      <c r="H13" s="22">
        <v>0.62</v>
      </c>
      <c r="I13" s="22">
        <v>0.566</v>
      </c>
      <c r="J13" s="22">
        <v>0.018</v>
      </c>
      <c r="K13" s="22">
        <v>0.725</v>
      </c>
      <c r="L13" s="22">
        <v>0.967</v>
      </c>
      <c r="M13" s="22">
        <v>7.0</v>
      </c>
      <c r="N13" s="22">
        <v>164.0</v>
      </c>
      <c r="O13" s="22">
        <v>15.0</v>
      </c>
      <c r="P13" s="22">
        <v>433.0</v>
      </c>
    </row>
    <row r="14">
      <c r="A14" s="23"/>
      <c r="B14" s="23"/>
      <c r="C14" s="23"/>
      <c r="D14" s="11"/>
      <c r="E14" s="22">
        <v>0.497</v>
      </c>
      <c r="F14" s="22">
        <v>0.569</v>
      </c>
      <c r="G14" s="22">
        <v>0.717</v>
      </c>
      <c r="H14" s="22">
        <v>0.607</v>
      </c>
      <c r="I14" s="22">
        <v>0.543</v>
      </c>
      <c r="J14" s="22">
        <v>-0.024</v>
      </c>
      <c r="K14" s="22">
        <v>0.723</v>
      </c>
      <c r="L14" s="22">
        <v>0.989</v>
      </c>
      <c r="M14" s="22">
        <v>1.0</v>
      </c>
      <c r="N14" s="22">
        <v>170.0</v>
      </c>
      <c r="O14" s="22">
        <v>5.0</v>
      </c>
      <c r="P14" s="22">
        <v>443.0</v>
      </c>
    </row>
    <row r="15">
      <c r="A15" s="23"/>
      <c r="B15" s="23"/>
      <c r="C15" s="23"/>
      <c r="D15" s="11"/>
      <c r="E15" s="22">
        <v>0.503</v>
      </c>
      <c r="F15" s="22">
        <v>0.612</v>
      </c>
      <c r="G15" s="22">
        <v>0.712</v>
      </c>
      <c r="H15" s="22">
        <v>0.618</v>
      </c>
      <c r="I15" s="22">
        <v>0.562</v>
      </c>
      <c r="J15" s="22">
        <v>0.016</v>
      </c>
      <c r="K15" s="22">
        <v>0.725</v>
      </c>
      <c r="L15" s="22">
        <v>0.971</v>
      </c>
      <c r="M15" s="22">
        <v>6.0</v>
      </c>
      <c r="N15" s="22">
        <v>165.0</v>
      </c>
      <c r="O15" s="22">
        <v>13.0</v>
      </c>
      <c r="P15" s="22">
        <v>435.0</v>
      </c>
    </row>
    <row r="16">
      <c r="A16" s="23"/>
      <c r="B16" s="23"/>
      <c r="C16" s="23"/>
      <c r="D16" s="11"/>
      <c r="E16" s="22">
        <v>0.506</v>
      </c>
      <c r="F16" s="22">
        <v>0.622</v>
      </c>
      <c r="G16" s="22">
        <v>0.714</v>
      </c>
      <c r="H16" s="22">
        <v>0.622</v>
      </c>
      <c r="I16" s="22">
        <v>0.519</v>
      </c>
      <c r="J16" s="22">
        <v>0.03</v>
      </c>
      <c r="K16" s="22">
        <v>0.726</v>
      </c>
      <c r="L16" s="22">
        <v>0.971</v>
      </c>
      <c r="M16" s="22">
        <v>7.0</v>
      </c>
      <c r="N16" s="22">
        <v>164.0</v>
      </c>
      <c r="O16" s="22">
        <v>13.0</v>
      </c>
      <c r="P16" s="22">
        <v>435.0</v>
      </c>
    </row>
    <row r="17">
      <c r="A17" s="23"/>
      <c r="B17" s="23"/>
      <c r="C17" s="23"/>
      <c r="D17" s="11"/>
      <c r="E17" s="22">
        <v>0.499</v>
      </c>
      <c r="F17" s="22">
        <v>0.593</v>
      </c>
      <c r="G17" s="22">
        <v>0.717</v>
      </c>
      <c r="H17" s="22">
        <v>0.61</v>
      </c>
      <c r="I17" s="22">
        <v>0.543</v>
      </c>
      <c r="J17" s="22">
        <v>-0.007</v>
      </c>
      <c r="K17" s="22">
        <v>0.723</v>
      </c>
      <c r="L17" s="22">
        <v>0.987</v>
      </c>
      <c r="M17" s="22">
        <v>2.0</v>
      </c>
      <c r="N17" s="22">
        <v>169.0</v>
      </c>
      <c r="O17" s="22">
        <v>6.0</v>
      </c>
      <c r="P17" s="22">
        <v>442.0</v>
      </c>
    </row>
    <row r="18">
      <c r="A18" s="23"/>
      <c r="B18" s="23"/>
      <c r="C18" s="23"/>
      <c r="D18" s="11"/>
      <c r="E18" s="22">
        <v>0.527</v>
      </c>
      <c r="F18" s="22">
        <v>0.626</v>
      </c>
      <c r="G18" s="22">
        <v>0.666</v>
      </c>
      <c r="H18" s="22">
        <v>0.64</v>
      </c>
      <c r="I18" s="22">
        <v>0.522</v>
      </c>
      <c r="J18" s="22">
        <v>0.062</v>
      </c>
      <c r="K18" s="22">
        <v>0.737</v>
      </c>
      <c r="L18" s="22">
        <v>0.837</v>
      </c>
      <c r="M18" s="22">
        <v>37.0</v>
      </c>
      <c r="N18" s="22">
        <v>134.0</v>
      </c>
      <c r="O18" s="22">
        <v>73.0</v>
      </c>
      <c r="P18" s="22">
        <v>375.0</v>
      </c>
    </row>
    <row r="19">
      <c r="A19" s="23"/>
      <c r="B19" s="23"/>
      <c r="C19" s="23"/>
      <c r="D19" s="11"/>
      <c r="E19" s="22">
        <v>0.512</v>
      </c>
      <c r="F19" s="22">
        <v>0.614</v>
      </c>
      <c r="G19" s="22">
        <v>0.675</v>
      </c>
      <c r="H19" s="22">
        <v>0.631</v>
      </c>
      <c r="I19" s="22">
        <v>0.512</v>
      </c>
      <c r="J19" s="22">
        <v>0.031</v>
      </c>
      <c r="K19" s="22">
        <v>0.729</v>
      </c>
      <c r="L19" s="22">
        <v>0.877</v>
      </c>
      <c r="M19" s="22">
        <v>25.0</v>
      </c>
      <c r="N19" s="22">
        <v>146.0</v>
      </c>
      <c r="O19" s="22">
        <v>55.0</v>
      </c>
      <c r="P19" s="22">
        <v>393.0</v>
      </c>
    </row>
    <row r="20">
      <c r="A20" s="23"/>
      <c r="B20" s="23"/>
      <c r="C20" s="23"/>
      <c r="D20" s="11"/>
      <c r="E20" s="22">
        <v>0.501</v>
      </c>
      <c r="F20" s="22">
        <v>0.607</v>
      </c>
      <c r="G20" s="22">
        <v>0.717</v>
      </c>
      <c r="H20" s="22">
        <v>0.613</v>
      </c>
      <c r="I20" s="22">
        <v>0.507</v>
      </c>
      <c r="J20" s="22">
        <v>0.007</v>
      </c>
      <c r="K20" s="22">
        <v>0.724</v>
      </c>
      <c r="L20" s="22">
        <v>0.984</v>
      </c>
      <c r="M20" s="22">
        <v>3.0</v>
      </c>
      <c r="N20" s="22">
        <v>168.0</v>
      </c>
      <c r="O20" s="22">
        <v>7.0</v>
      </c>
      <c r="P20" s="22">
        <v>441.0</v>
      </c>
    </row>
    <row r="21">
      <c r="A21" s="23"/>
      <c r="B21" s="23"/>
      <c r="C21" s="23"/>
      <c r="D21" s="11"/>
      <c r="E21" s="22">
        <v>0.507</v>
      </c>
      <c r="F21" s="22">
        <v>0.664</v>
      </c>
      <c r="G21" s="22">
        <v>0.724</v>
      </c>
      <c r="H21" s="22">
        <v>0.619</v>
      </c>
      <c r="I21" s="22">
        <v>0.564</v>
      </c>
      <c r="J21" s="22">
        <v>0.057</v>
      </c>
      <c r="K21" s="22">
        <v>0.727</v>
      </c>
      <c r="L21" s="22">
        <v>0.991</v>
      </c>
      <c r="M21" s="22">
        <v>4.0</v>
      </c>
      <c r="N21" s="22">
        <v>167.0</v>
      </c>
      <c r="O21" s="22">
        <v>4.0</v>
      </c>
      <c r="P21" s="22">
        <v>444.0</v>
      </c>
    </row>
    <row r="22">
      <c r="A22" s="23"/>
      <c r="B22" s="23"/>
      <c r="C22" s="23"/>
      <c r="D22" s="11"/>
      <c r="E22" s="22">
        <v>0.511</v>
      </c>
      <c r="F22" s="22">
        <v>0.635</v>
      </c>
      <c r="G22" s="22">
        <v>0.716</v>
      </c>
      <c r="H22" s="22">
        <v>0.627</v>
      </c>
      <c r="I22" s="22">
        <v>0.514</v>
      </c>
      <c r="J22" s="22">
        <v>0.051</v>
      </c>
      <c r="K22" s="22">
        <v>0.728</v>
      </c>
      <c r="L22" s="22">
        <v>0.969</v>
      </c>
      <c r="M22" s="22">
        <v>9.0</v>
      </c>
      <c r="N22" s="22">
        <v>162.0</v>
      </c>
      <c r="O22" s="22">
        <v>14.0</v>
      </c>
      <c r="P22" s="22">
        <v>434.0</v>
      </c>
    </row>
    <row r="23">
      <c r="A23" s="23"/>
      <c r="B23" s="23"/>
      <c r="C23" s="23"/>
      <c r="D23" s="11"/>
      <c r="E23" s="22">
        <v>0.526</v>
      </c>
      <c r="F23" s="22">
        <v>0.63</v>
      </c>
      <c r="G23" s="22">
        <v>0.685</v>
      </c>
      <c r="H23" s="22">
        <v>0.644</v>
      </c>
      <c r="I23" s="22">
        <v>0.506</v>
      </c>
      <c r="J23" s="22">
        <v>0.068</v>
      </c>
      <c r="K23" s="22">
        <v>0.736</v>
      </c>
      <c r="L23" s="22">
        <v>0.882</v>
      </c>
      <c r="M23" s="22">
        <v>29.0</v>
      </c>
      <c r="N23" s="22">
        <v>142.0</v>
      </c>
      <c r="O23" s="22">
        <v>53.0</v>
      </c>
      <c r="P23" s="22">
        <v>395.0</v>
      </c>
    </row>
    <row r="24">
      <c r="A24" s="23"/>
      <c r="B24" s="23"/>
      <c r="C24" s="23"/>
      <c r="D24" s="11"/>
      <c r="E24" s="22">
        <v>0.494</v>
      </c>
      <c r="F24" s="22">
        <v>0.577</v>
      </c>
      <c r="G24" s="22">
        <v>0.704</v>
      </c>
      <c r="H24" s="22">
        <v>0.609</v>
      </c>
      <c r="I24" s="22">
        <v>0.516</v>
      </c>
      <c r="J24" s="22">
        <v>-0.031</v>
      </c>
      <c r="K24" s="22">
        <v>0.721</v>
      </c>
      <c r="L24" s="22">
        <v>0.964</v>
      </c>
      <c r="M24" s="22">
        <v>4.0</v>
      </c>
      <c r="N24" s="22">
        <v>167.0</v>
      </c>
      <c r="O24" s="22">
        <v>16.0</v>
      </c>
      <c r="P24" s="22">
        <v>432.0</v>
      </c>
    </row>
    <row r="25">
      <c r="A25" s="23"/>
      <c r="B25" s="23"/>
      <c r="C25" s="23"/>
      <c r="D25" s="11"/>
      <c r="E25" s="22">
        <v>0.504</v>
      </c>
      <c r="F25" s="22">
        <v>0.604</v>
      </c>
      <c r="G25" s="22">
        <v>0.643</v>
      </c>
      <c r="H25" s="22">
        <v>0.619</v>
      </c>
      <c r="I25" s="22">
        <v>0.518</v>
      </c>
      <c r="J25" s="22">
        <v>0.009</v>
      </c>
      <c r="K25" s="22">
        <v>0.726</v>
      </c>
      <c r="L25" s="22">
        <v>0.815</v>
      </c>
      <c r="M25" s="22">
        <v>33.0</v>
      </c>
      <c r="N25" s="22">
        <v>138.0</v>
      </c>
      <c r="O25" s="22">
        <v>83.0</v>
      </c>
      <c r="P25" s="22">
        <v>365.0</v>
      </c>
    </row>
    <row r="26">
      <c r="A26" s="23"/>
      <c r="B26" s="23"/>
      <c r="C26" s="23"/>
      <c r="D26" s="11"/>
      <c r="E26" s="22">
        <v>0.518</v>
      </c>
      <c r="F26" s="22">
        <v>0.617</v>
      </c>
      <c r="G26" s="22">
        <v>0.658</v>
      </c>
      <c r="H26" s="22">
        <v>0.632</v>
      </c>
      <c r="I26" s="22">
        <v>0.508</v>
      </c>
      <c r="J26" s="22">
        <v>0.041</v>
      </c>
      <c r="K26" s="22">
        <v>0.732</v>
      </c>
      <c r="L26" s="22">
        <v>0.83</v>
      </c>
      <c r="M26" s="22">
        <v>35.0</v>
      </c>
      <c r="N26" s="22">
        <v>136.0</v>
      </c>
      <c r="O26" s="22">
        <v>76.0</v>
      </c>
      <c r="P26" s="22">
        <v>372.0</v>
      </c>
    </row>
    <row r="27">
      <c r="A27" s="23"/>
      <c r="B27" s="23"/>
      <c r="C27" s="23"/>
      <c r="D27" s="11"/>
      <c r="E27" s="22">
        <v>0.501</v>
      </c>
      <c r="F27" s="22">
        <v>0.616</v>
      </c>
      <c r="G27" s="22">
        <v>0.722</v>
      </c>
      <c r="H27" s="22">
        <v>0.61</v>
      </c>
      <c r="I27" s="22">
        <v>0.536</v>
      </c>
      <c r="J27" s="22">
        <v>0.009</v>
      </c>
      <c r="K27" s="22">
        <v>0.724</v>
      </c>
      <c r="L27" s="22">
        <v>0.996</v>
      </c>
      <c r="M27" s="22">
        <v>1.0</v>
      </c>
      <c r="N27" s="22">
        <v>170.0</v>
      </c>
      <c r="O27" s="22">
        <v>2.0</v>
      </c>
      <c r="P27" s="22">
        <v>446.0</v>
      </c>
    </row>
    <row r="28">
      <c r="A28" s="23"/>
      <c r="B28" s="23"/>
      <c r="C28" s="23"/>
      <c r="D28" s="11"/>
      <c r="E28" s="22">
        <v>0.507</v>
      </c>
      <c r="F28" s="22">
        <v>0.608</v>
      </c>
      <c r="G28" s="22">
        <v>0.666</v>
      </c>
      <c r="H28" s="22">
        <v>0.626</v>
      </c>
      <c r="I28" s="22">
        <v>0.523</v>
      </c>
      <c r="J28" s="22">
        <v>0.017</v>
      </c>
      <c r="K28" s="22">
        <v>0.727</v>
      </c>
      <c r="L28" s="22">
        <v>0.862</v>
      </c>
      <c r="M28" s="22">
        <v>26.0</v>
      </c>
      <c r="N28" s="22">
        <v>145.0</v>
      </c>
      <c r="O28" s="22">
        <v>62.0</v>
      </c>
      <c r="P28" s="22">
        <v>386.0</v>
      </c>
    </row>
    <row r="29">
      <c r="A29" s="23"/>
      <c r="B29" s="23"/>
      <c r="C29" s="23"/>
      <c r="D29" s="11"/>
      <c r="E29" s="22">
        <v>0.479</v>
      </c>
      <c r="F29" s="22">
        <v>0.574</v>
      </c>
      <c r="G29" s="22">
        <v>0.654</v>
      </c>
      <c r="H29" s="22">
        <v>0.602</v>
      </c>
      <c r="I29" s="22">
        <v>0.513</v>
      </c>
      <c r="J29" s="22">
        <v>-0.058</v>
      </c>
      <c r="K29" s="22">
        <v>0.714</v>
      </c>
      <c r="L29" s="22">
        <v>0.871</v>
      </c>
      <c r="M29" s="22">
        <v>15.0</v>
      </c>
      <c r="N29" s="22">
        <v>156.0</v>
      </c>
      <c r="O29" s="22">
        <v>58.0</v>
      </c>
      <c r="P29" s="22">
        <v>390.0</v>
      </c>
    </row>
    <row r="30">
      <c r="A30" s="23"/>
      <c r="B30" s="23"/>
      <c r="C30" s="23"/>
      <c r="D30" s="11"/>
      <c r="E30" s="22">
        <v>0.506</v>
      </c>
      <c r="F30" s="22">
        <v>0.618</v>
      </c>
      <c r="G30" s="22">
        <v>0.709</v>
      </c>
      <c r="H30" s="22">
        <v>0.624</v>
      </c>
      <c r="I30" s="22">
        <v>0.527</v>
      </c>
      <c r="J30" s="22">
        <v>0.027</v>
      </c>
      <c r="K30" s="22">
        <v>0.726</v>
      </c>
      <c r="L30" s="22">
        <v>0.96</v>
      </c>
      <c r="M30" s="22">
        <v>9.0</v>
      </c>
      <c r="N30" s="22">
        <v>162.0</v>
      </c>
      <c r="O30" s="22">
        <v>18.0</v>
      </c>
      <c r="P30" s="22">
        <v>430.0</v>
      </c>
    </row>
    <row r="31">
      <c r="A31" s="23"/>
      <c r="B31" s="23"/>
      <c r="C31" s="23"/>
      <c r="D31" s="11"/>
      <c r="E31" s="22">
        <v>0.506</v>
      </c>
      <c r="F31" s="22">
        <v>0.606</v>
      </c>
      <c r="G31" s="22">
        <v>0.654</v>
      </c>
      <c r="H31" s="22">
        <v>0.624</v>
      </c>
      <c r="I31" s="22">
        <v>0.493</v>
      </c>
      <c r="J31" s="22">
        <v>0.015</v>
      </c>
      <c r="K31" s="22">
        <v>0.727</v>
      </c>
      <c r="L31" s="22">
        <v>0.837</v>
      </c>
      <c r="M31" s="22">
        <v>30.0</v>
      </c>
      <c r="N31" s="22">
        <v>141.0</v>
      </c>
      <c r="O31" s="22">
        <v>73.0</v>
      </c>
      <c r="P31" s="22">
        <v>375.0</v>
      </c>
    </row>
    <row r="32">
      <c r="A32" s="23"/>
      <c r="B32" s="23"/>
      <c r="C32" s="23"/>
      <c r="D32" s="11"/>
      <c r="E32" s="22">
        <v>0.504</v>
      </c>
      <c r="F32" s="22">
        <v>0.625</v>
      </c>
      <c r="G32" s="22">
        <v>0.719</v>
      </c>
      <c r="H32" s="22">
        <v>0.617</v>
      </c>
      <c r="I32" s="22">
        <v>0.564</v>
      </c>
      <c r="J32" s="22">
        <v>0.026</v>
      </c>
      <c r="K32" s="22">
        <v>0.725</v>
      </c>
      <c r="L32" s="22">
        <v>0.984</v>
      </c>
      <c r="M32" s="22">
        <v>4.0</v>
      </c>
      <c r="N32" s="22">
        <v>167.0</v>
      </c>
      <c r="O32" s="22">
        <v>7.0</v>
      </c>
      <c r="P32" s="22">
        <v>441.0</v>
      </c>
    </row>
    <row r="33">
      <c r="A33" s="23"/>
      <c r="B33" s="23"/>
      <c r="C33" s="23"/>
      <c r="D33" s="11"/>
      <c r="E33" s="22">
        <v>0.509</v>
      </c>
      <c r="F33" s="22">
        <v>0.632</v>
      </c>
      <c r="G33" s="22">
        <v>0.716</v>
      </c>
      <c r="H33" s="22">
        <v>0.625</v>
      </c>
      <c r="I33" s="22">
        <v>0.493</v>
      </c>
      <c r="J33" s="22">
        <v>0.044</v>
      </c>
      <c r="K33" s="22">
        <v>0.727</v>
      </c>
      <c r="L33" s="22">
        <v>0.971</v>
      </c>
      <c r="M33" s="22">
        <v>8.0</v>
      </c>
      <c r="N33" s="22">
        <v>163.0</v>
      </c>
      <c r="O33" s="22">
        <v>13.0</v>
      </c>
      <c r="P33" s="22">
        <v>435.0</v>
      </c>
    </row>
    <row r="34">
      <c r="A34" s="23"/>
      <c r="B34" s="23"/>
      <c r="C34" s="23"/>
      <c r="D34" s="71" t="s">
        <v>23</v>
      </c>
      <c r="E34" s="22">
        <v>0.505</v>
      </c>
      <c r="F34" s="22">
        <v>0.619</v>
      </c>
      <c r="G34" s="22">
        <v>0.697</v>
      </c>
      <c r="H34" s="22">
        <v>0.621</v>
      </c>
      <c r="I34" s="22">
        <v>0.525</v>
      </c>
      <c r="J34" s="22">
        <v>0.019</v>
      </c>
      <c r="K34" s="22">
        <v>0.726</v>
      </c>
      <c r="L34" s="22">
        <v>0.935</v>
      </c>
      <c r="M34" s="22">
        <v>13.0</v>
      </c>
      <c r="N34" s="22">
        <v>158.0</v>
      </c>
      <c r="O34" s="22">
        <v>29.333</v>
      </c>
      <c r="P34" s="22">
        <v>418.667</v>
      </c>
    </row>
    <row r="35">
      <c r="A35" s="72"/>
      <c r="B35" s="72"/>
      <c r="C35" s="72"/>
      <c r="D35" s="73" t="s">
        <v>232</v>
      </c>
      <c r="E35" s="22">
        <v>0.009</v>
      </c>
      <c r="F35" s="22">
        <v>0.039</v>
      </c>
      <c r="G35" s="22">
        <v>0.025</v>
      </c>
      <c r="H35" s="22">
        <v>0.01</v>
      </c>
      <c r="I35" s="22">
        <v>0.023</v>
      </c>
      <c r="J35" s="22">
        <v>0.029</v>
      </c>
      <c r="K35" s="22">
        <v>0.004</v>
      </c>
      <c r="L35" s="22">
        <v>0.059</v>
      </c>
      <c r="M35" s="22">
        <v>11.541</v>
      </c>
      <c r="N35" s="22">
        <v>11.541</v>
      </c>
      <c r="O35" s="22">
        <v>26.299</v>
      </c>
      <c r="P35" s="22">
        <v>26.299</v>
      </c>
    </row>
    <row r="36">
      <c r="A36" s="74"/>
      <c r="B36" s="17"/>
      <c r="C36" s="17"/>
      <c r="D36" s="75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18"/>
      <c r="P36" s="76"/>
    </row>
    <row r="37">
      <c r="A37" s="77" t="s">
        <v>233</v>
      </c>
      <c r="B37" s="78" t="s">
        <v>231</v>
      </c>
      <c r="C37" s="78" t="s">
        <v>19</v>
      </c>
      <c r="D37" s="79"/>
      <c r="E37" s="32">
        <v>0.514</v>
      </c>
      <c r="F37" s="32">
        <v>0.614</v>
      </c>
      <c r="G37" s="32">
        <v>0.658</v>
      </c>
      <c r="H37" s="32">
        <v>0.63</v>
      </c>
      <c r="I37" s="32">
        <v>0.513</v>
      </c>
      <c r="J37" s="32">
        <v>0.033</v>
      </c>
      <c r="K37" s="32">
        <v>0.73</v>
      </c>
      <c r="L37" s="32">
        <v>0.835</v>
      </c>
      <c r="M37" s="32">
        <v>33.0</v>
      </c>
      <c r="N37" s="32">
        <v>138.0</v>
      </c>
      <c r="O37" s="22">
        <v>74.0</v>
      </c>
      <c r="P37" s="32">
        <v>374.0</v>
      </c>
    </row>
    <row r="38">
      <c r="A38" s="23"/>
      <c r="B38" s="23"/>
      <c r="C38" s="23"/>
      <c r="D38" s="69"/>
      <c r="E38" s="22">
        <v>0.507</v>
      </c>
      <c r="F38" s="32">
        <v>0.608</v>
      </c>
      <c r="G38" s="22">
        <v>0.666</v>
      </c>
      <c r="H38" s="22">
        <v>0.626</v>
      </c>
      <c r="I38" s="22">
        <v>0.486</v>
      </c>
      <c r="J38" s="22">
        <v>0.017</v>
      </c>
      <c r="K38" s="22">
        <v>0.727</v>
      </c>
      <c r="L38" s="32">
        <v>0.862</v>
      </c>
      <c r="M38" s="22">
        <v>26.0</v>
      </c>
      <c r="N38" s="22">
        <v>145.0</v>
      </c>
      <c r="O38" s="22">
        <v>62.0</v>
      </c>
      <c r="P38" s="22">
        <v>386.0</v>
      </c>
    </row>
    <row r="39">
      <c r="A39" s="23"/>
      <c r="B39" s="23"/>
      <c r="C39" s="23"/>
      <c r="D39" s="70"/>
      <c r="E39" s="22">
        <v>0.501</v>
      </c>
      <c r="F39" s="22">
        <v>0.602</v>
      </c>
      <c r="G39" s="22">
        <v>0.701</v>
      </c>
      <c r="H39" s="22">
        <v>0.619</v>
      </c>
      <c r="I39" s="22">
        <v>0.513</v>
      </c>
      <c r="J39" s="22">
        <v>0.003</v>
      </c>
      <c r="K39" s="22">
        <v>0.724</v>
      </c>
      <c r="L39" s="22">
        <v>0.949</v>
      </c>
      <c r="M39" s="22">
        <v>9.0</v>
      </c>
      <c r="N39" s="22">
        <v>162.0</v>
      </c>
      <c r="O39" s="22">
        <v>23.0</v>
      </c>
      <c r="P39" s="22">
        <v>425.0</v>
      </c>
    </row>
    <row r="40">
      <c r="A40" s="23"/>
      <c r="B40" s="23"/>
      <c r="C40" s="23"/>
      <c r="D40" s="70"/>
      <c r="E40" s="22">
        <v>0.508</v>
      </c>
      <c r="F40" s="22">
        <v>0.611</v>
      </c>
      <c r="G40" s="22">
        <v>0.685</v>
      </c>
      <c r="H40" s="22">
        <v>0.628</v>
      </c>
      <c r="I40" s="22">
        <v>0.518</v>
      </c>
      <c r="J40" s="22">
        <v>0.023</v>
      </c>
      <c r="K40" s="22">
        <v>0.727</v>
      </c>
      <c r="L40" s="22">
        <v>0.904</v>
      </c>
      <c r="M40" s="22">
        <v>19.0</v>
      </c>
      <c r="N40" s="22">
        <v>152.0</v>
      </c>
      <c r="O40" s="22">
        <v>43.0</v>
      </c>
      <c r="P40" s="22">
        <v>405.0</v>
      </c>
    </row>
    <row r="41">
      <c r="A41" s="23"/>
      <c r="B41" s="23"/>
      <c r="C41" s="23"/>
      <c r="D41" s="70"/>
      <c r="E41" s="80">
        <v>0.525</v>
      </c>
      <c r="F41" s="80">
        <v>0.632</v>
      </c>
      <c r="G41" s="80">
        <v>0.69</v>
      </c>
      <c r="H41" s="80">
        <v>0.644</v>
      </c>
      <c r="I41" s="80">
        <v>0.507</v>
      </c>
      <c r="J41" s="80">
        <v>0.07</v>
      </c>
      <c r="K41" s="80">
        <v>0.735</v>
      </c>
      <c r="L41" s="80">
        <v>0.893</v>
      </c>
      <c r="M41" s="80">
        <v>27.0</v>
      </c>
      <c r="N41" s="80">
        <v>144.0</v>
      </c>
      <c r="O41" s="80">
        <v>48.0</v>
      </c>
      <c r="P41" s="80">
        <v>400.0</v>
      </c>
    </row>
    <row r="42">
      <c r="A42" s="23"/>
      <c r="B42" s="23"/>
      <c r="C42" s="23"/>
      <c r="D42" s="70"/>
      <c r="E42" s="22">
        <v>0.495</v>
      </c>
      <c r="F42" s="22">
        <v>0.595</v>
      </c>
      <c r="G42" s="22">
        <v>0.651</v>
      </c>
      <c r="H42" s="22">
        <v>0.615</v>
      </c>
      <c r="I42" s="22">
        <v>0.504</v>
      </c>
      <c r="J42" s="22">
        <v>-0.012</v>
      </c>
      <c r="K42" s="22">
        <v>0.721</v>
      </c>
      <c r="L42" s="22">
        <v>0.844</v>
      </c>
      <c r="M42" s="22">
        <v>25.0</v>
      </c>
      <c r="N42" s="22">
        <v>146.0</v>
      </c>
      <c r="O42" s="22">
        <v>70.0</v>
      </c>
      <c r="P42" s="22">
        <v>378.0</v>
      </c>
    </row>
    <row r="43">
      <c r="A43" s="23"/>
      <c r="B43" s="23"/>
      <c r="C43" s="23"/>
      <c r="D43" s="70"/>
      <c r="E43" s="22">
        <v>0.485</v>
      </c>
      <c r="F43" s="22">
        <v>0.582</v>
      </c>
      <c r="G43" s="22">
        <v>0.654</v>
      </c>
      <c r="H43" s="22">
        <v>0.607</v>
      </c>
      <c r="I43" s="22">
        <v>0.513</v>
      </c>
      <c r="J43" s="22">
        <v>-0.041</v>
      </c>
      <c r="K43" s="22">
        <v>0.717</v>
      </c>
      <c r="L43" s="22">
        <v>0.864</v>
      </c>
      <c r="M43" s="22">
        <v>18.0</v>
      </c>
      <c r="N43" s="22">
        <v>153.0</v>
      </c>
      <c r="O43" s="22">
        <v>61.0</v>
      </c>
      <c r="P43" s="22">
        <v>387.0</v>
      </c>
    </row>
    <row r="44">
      <c r="A44" s="23"/>
      <c r="B44" s="23"/>
      <c r="C44" s="23"/>
      <c r="D44" s="70"/>
      <c r="E44" s="22">
        <v>0.511</v>
      </c>
      <c r="F44" s="22">
        <v>0.611</v>
      </c>
      <c r="G44" s="22">
        <v>0.651</v>
      </c>
      <c r="H44" s="22">
        <v>0.626</v>
      </c>
      <c r="I44" s="22">
        <v>0.499</v>
      </c>
      <c r="J44" s="22">
        <v>0.026</v>
      </c>
      <c r="K44" s="22">
        <v>0.729</v>
      </c>
      <c r="L44" s="22">
        <v>0.824</v>
      </c>
      <c r="M44" s="22">
        <v>34.0</v>
      </c>
      <c r="N44" s="22">
        <v>137.0</v>
      </c>
      <c r="O44" s="22">
        <v>79.0</v>
      </c>
      <c r="P44" s="22">
        <v>369.0</v>
      </c>
    </row>
    <row r="45">
      <c r="A45" s="23"/>
      <c r="B45" s="23"/>
      <c r="C45" s="23"/>
      <c r="D45" s="70"/>
      <c r="E45" s="22">
        <v>0.511</v>
      </c>
      <c r="F45" s="22">
        <v>0.612</v>
      </c>
      <c r="G45" s="22">
        <v>0.669</v>
      </c>
      <c r="H45" s="22">
        <v>0.63</v>
      </c>
      <c r="I45" s="22">
        <v>0.518</v>
      </c>
      <c r="J45" s="22">
        <v>0.028</v>
      </c>
      <c r="K45" s="22">
        <v>0.729</v>
      </c>
      <c r="L45" s="22">
        <v>0.864</v>
      </c>
      <c r="M45" s="22">
        <v>27.0</v>
      </c>
      <c r="N45" s="22">
        <v>144.0</v>
      </c>
      <c r="O45" s="22">
        <v>61.0</v>
      </c>
      <c r="P45" s="22">
        <v>387.0</v>
      </c>
    </row>
    <row r="46">
      <c r="A46" s="23"/>
      <c r="B46" s="23"/>
      <c r="C46" s="23"/>
      <c r="D46" s="70"/>
      <c r="E46" s="22">
        <v>0.511</v>
      </c>
      <c r="F46" s="22">
        <v>0.611</v>
      </c>
      <c r="G46" s="22">
        <v>0.656</v>
      </c>
      <c r="H46" s="22">
        <v>0.627</v>
      </c>
      <c r="I46" s="22">
        <v>0.517</v>
      </c>
      <c r="J46" s="22">
        <v>0.026</v>
      </c>
      <c r="K46" s="22">
        <v>0.729</v>
      </c>
      <c r="L46" s="22">
        <v>0.835</v>
      </c>
      <c r="M46" s="22">
        <v>32.0</v>
      </c>
      <c r="N46" s="22">
        <v>139.0</v>
      </c>
      <c r="O46" s="22">
        <v>74.0</v>
      </c>
      <c r="P46" s="22">
        <v>374.0</v>
      </c>
    </row>
    <row r="47">
      <c r="A47" s="23"/>
      <c r="B47" s="23"/>
      <c r="C47" s="23"/>
      <c r="D47" s="11"/>
      <c r="E47" s="22">
        <v>0.501</v>
      </c>
      <c r="F47" s="22">
        <v>0.607</v>
      </c>
      <c r="G47" s="22">
        <v>0.717</v>
      </c>
      <c r="H47" s="22">
        <v>0.613</v>
      </c>
      <c r="I47" s="22">
        <v>0.567</v>
      </c>
      <c r="J47" s="22">
        <v>0.007</v>
      </c>
      <c r="K47" s="22">
        <v>0.724</v>
      </c>
      <c r="L47" s="22">
        <v>0.984</v>
      </c>
      <c r="M47" s="22">
        <v>3.0</v>
      </c>
      <c r="N47" s="22">
        <v>168.0</v>
      </c>
      <c r="O47" s="22">
        <v>7.0</v>
      </c>
      <c r="P47" s="22">
        <v>441.0</v>
      </c>
    </row>
    <row r="48">
      <c r="A48" s="23"/>
      <c r="B48" s="23"/>
      <c r="C48" s="23"/>
      <c r="D48" s="11"/>
      <c r="E48" s="22">
        <v>0.502</v>
      </c>
      <c r="F48" s="22">
        <v>0.617</v>
      </c>
      <c r="G48" s="22">
        <v>0.719</v>
      </c>
      <c r="H48" s="22">
        <v>0.614</v>
      </c>
      <c r="I48" s="22">
        <v>0.567</v>
      </c>
      <c r="J48" s="22">
        <v>0.016</v>
      </c>
      <c r="K48" s="22">
        <v>0.725</v>
      </c>
      <c r="L48" s="22">
        <v>0.987</v>
      </c>
      <c r="M48" s="22">
        <v>3.0</v>
      </c>
      <c r="N48" s="22">
        <v>168.0</v>
      </c>
      <c r="O48" s="22">
        <v>6.0</v>
      </c>
      <c r="P48" s="22">
        <v>442.0</v>
      </c>
    </row>
    <row r="49">
      <c r="A49" s="23"/>
      <c r="B49" s="23"/>
      <c r="C49" s="23"/>
      <c r="D49" s="11"/>
      <c r="E49" s="22">
        <v>0.517</v>
      </c>
      <c r="F49" s="22">
        <v>0.615</v>
      </c>
      <c r="G49" s="22">
        <v>0.643</v>
      </c>
      <c r="H49" s="22">
        <v>0.626</v>
      </c>
      <c r="I49" s="22">
        <v>0.505</v>
      </c>
      <c r="J49" s="22">
        <v>0.036</v>
      </c>
      <c r="K49" s="22">
        <v>0.732</v>
      </c>
      <c r="L49" s="22">
        <v>0.799</v>
      </c>
      <c r="M49" s="22">
        <v>40.0</v>
      </c>
      <c r="N49" s="22">
        <v>131.0</v>
      </c>
      <c r="O49" s="22">
        <v>90.0</v>
      </c>
      <c r="P49" s="22">
        <v>358.0</v>
      </c>
    </row>
    <row r="50">
      <c r="A50" s="23"/>
      <c r="B50" s="23"/>
      <c r="C50" s="23"/>
      <c r="D50" s="11"/>
      <c r="E50" s="22">
        <v>0.499</v>
      </c>
      <c r="F50" s="22">
        <v>0.523</v>
      </c>
      <c r="G50" s="22">
        <v>0.722</v>
      </c>
      <c r="H50" s="22">
        <v>0.607</v>
      </c>
      <c r="I50" s="22">
        <v>0.54</v>
      </c>
      <c r="J50" s="22">
        <v>-0.025</v>
      </c>
      <c r="K50" s="22">
        <v>0.723</v>
      </c>
      <c r="L50" s="22">
        <v>0.998</v>
      </c>
      <c r="M50" s="22">
        <v>0.0</v>
      </c>
      <c r="N50" s="22">
        <v>171.0</v>
      </c>
      <c r="O50" s="22">
        <v>1.0</v>
      </c>
      <c r="P50" s="22">
        <v>447.0</v>
      </c>
    </row>
    <row r="51">
      <c r="A51" s="23"/>
      <c r="B51" s="23"/>
      <c r="C51" s="23"/>
      <c r="D51" s="11"/>
      <c r="E51" s="22">
        <v>0.519</v>
      </c>
      <c r="F51" s="22">
        <v>0.642</v>
      </c>
      <c r="G51" s="22">
        <v>0.712</v>
      </c>
      <c r="H51" s="22">
        <v>0.639</v>
      </c>
      <c r="I51" s="22">
        <v>0.542</v>
      </c>
      <c r="J51" s="22">
        <v>0.073</v>
      </c>
      <c r="K51" s="22">
        <v>0.732</v>
      </c>
      <c r="L51" s="22">
        <v>0.951</v>
      </c>
      <c r="M51" s="22">
        <v>15.0</v>
      </c>
      <c r="N51" s="22">
        <v>156.0</v>
      </c>
      <c r="O51" s="22">
        <v>22.0</v>
      </c>
      <c r="P51" s="22">
        <v>426.0</v>
      </c>
    </row>
    <row r="52">
      <c r="A52" s="23"/>
      <c r="B52" s="23"/>
      <c r="C52" s="23"/>
      <c r="D52" s="11"/>
      <c r="E52" s="22">
        <v>0.503</v>
      </c>
      <c r="F52" s="22">
        <v>0.612</v>
      </c>
      <c r="G52" s="22">
        <v>0.712</v>
      </c>
      <c r="H52" s="22">
        <v>0.618</v>
      </c>
      <c r="I52" s="22">
        <v>0.533</v>
      </c>
      <c r="J52" s="22">
        <v>0.016</v>
      </c>
      <c r="K52" s="22">
        <v>0.725</v>
      </c>
      <c r="L52" s="22">
        <v>0.971</v>
      </c>
      <c r="M52" s="22">
        <v>6.0</v>
      </c>
      <c r="N52" s="22">
        <v>165.0</v>
      </c>
      <c r="O52" s="22">
        <v>13.0</v>
      </c>
      <c r="P52" s="22">
        <v>435.0</v>
      </c>
    </row>
    <row r="53">
      <c r="A53" s="23"/>
      <c r="B53" s="23"/>
      <c r="C53" s="23"/>
      <c r="D53" s="11"/>
      <c r="E53" s="22">
        <v>0.505</v>
      </c>
      <c r="F53" s="22">
        <v>0.636</v>
      </c>
      <c r="G53" s="22">
        <v>0.721</v>
      </c>
      <c r="H53" s="22">
        <v>0.618</v>
      </c>
      <c r="I53" s="22">
        <v>0.561</v>
      </c>
      <c r="J53" s="22">
        <v>0.035</v>
      </c>
      <c r="K53" s="22">
        <v>0.726</v>
      </c>
      <c r="L53" s="22">
        <v>0.987</v>
      </c>
      <c r="M53" s="22">
        <v>4.0</v>
      </c>
      <c r="N53" s="22">
        <v>167.0</v>
      </c>
      <c r="O53" s="22">
        <v>6.0</v>
      </c>
      <c r="P53" s="22">
        <v>442.0</v>
      </c>
    </row>
    <row r="54">
      <c r="A54" s="23"/>
      <c r="B54" s="23"/>
      <c r="C54" s="23"/>
      <c r="D54" s="11"/>
      <c r="E54" s="22">
        <v>0.503</v>
      </c>
      <c r="F54" s="22">
        <v>0.612</v>
      </c>
      <c r="G54" s="22">
        <v>0.712</v>
      </c>
      <c r="H54" s="22">
        <v>0.618</v>
      </c>
      <c r="I54" s="22">
        <v>0.543</v>
      </c>
      <c r="J54" s="22">
        <v>0.016</v>
      </c>
      <c r="K54" s="22">
        <v>0.725</v>
      </c>
      <c r="L54" s="22">
        <v>0.971</v>
      </c>
      <c r="M54" s="22">
        <v>6.0</v>
      </c>
      <c r="N54" s="22">
        <v>165.0</v>
      </c>
      <c r="O54" s="22">
        <v>13.0</v>
      </c>
      <c r="P54" s="22">
        <v>435.0</v>
      </c>
    </row>
    <row r="55">
      <c r="A55" s="23"/>
      <c r="B55" s="23"/>
      <c r="C55" s="23"/>
      <c r="D55" s="11"/>
      <c r="E55" s="22">
        <v>0.503</v>
      </c>
      <c r="F55" s="22">
        <v>0.612</v>
      </c>
      <c r="G55" s="22">
        <v>0.712</v>
      </c>
      <c r="H55" s="22">
        <v>0.618</v>
      </c>
      <c r="I55" s="22">
        <v>0.551</v>
      </c>
      <c r="J55" s="22">
        <v>0.016</v>
      </c>
      <c r="K55" s="22">
        <v>0.725</v>
      </c>
      <c r="L55" s="22">
        <v>0.971</v>
      </c>
      <c r="M55" s="22">
        <v>6.0</v>
      </c>
      <c r="N55" s="22">
        <v>165.0</v>
      </c>
      <c r="O55" s="22">
        <v>13.0</v>
      </c>
      <c r="P55" s="22">
        <v>435.0</v>
      </c>
    </row>
    <row r="56">
      <c r="A56" s="23"/>
      <c r="B56" s="23"/>
      <c r="C56" s="23"/>
      <c r="D56" s="11"/>
      <c r="E56" s="22">
        <v>0.518</v>
      </c>
      <c r="F56" s="22">
        <v>0.617</v>
      </c>
      <c r="G56" s="22">
        <v>0.658</v>
      </c>
      <c r="H56" s="22">
        <v>0.632</v>
      </c>
      <c r="I56" s="22">
        <v>0.515</v>
      </c>
      <c r="J56" s="22">
        <v>0.041</v>
      </c>
      <c r="K56" s="22">
        <v>0.732</v>
      </c>
      <c r="L56" s="22">
        <v>0.83</v>
      </c>
      <c r="M56" s="22">
        <v>35.0</v>
      </c>
      <c r="N56" s="22">
        <v>136.0</v>
      </c>
      <c r="O56" s="22">
        <v>76.0</v>
      </c>
      <c r="P56" s="22">
        <v>372.0</v>
      </c>
    </row>
    <row r="57">
      <c r="A57" s="23"/>
      <c r="B57" s="23"/>
      <c r="C57" s="23"/>
      <c r="D57" s="11"/>
      <c r="E57" s="22">
        <v>0.5</v>
      </c>
      <c r="F57" s="22">
        <v>0.8</v>
      </c>
      <c r="G57" s="22">
        <v>0.724</v>
      </c>
      <c r="H57" s="22">
        <v>0.608</v>
      </c>
      <c r="I57" s="22">
        <v>0.528</v>
      </c>
      <c r="J57" s="22">
        <v>0.0</v>
      </c>
      <c r="K57" s="22">
        <v>0.724</v>
      </c>
      <c r="L57" s="22">
        <v>1.0</v>
      </c>
      <c r="M57" s="22">
        <v>0.0</v>
      </c>
      <c r="N57" s="22">
        <v>171.0</v>
      </c>
      <c r="O57" s="22">
        <v>0.0</v>
      </c>
      <c r="P57" s="22">
        <v>448.0</v>
      </c>
    </row>
    <row r="58">
      <c r="A58" s="23"/>
      <c r="B58" s="23"/>
      <c r="C58" s="23"/>
      <c r="D58" s="11"/>
      <c r="E58" s="22">
        <v>0.503</v>
      </c>
      <c r="F58" s="22">
        <v>0.603</v>
      </c>
      <c r="G58" s="22">
        <v>0.654</v>
      </c>
      <c r="H58" s="22">
        <v>0.621</v>
      </c>
      <c r="I58" s="22">
        <v>0.493</v>
      </c>
      <c r="J58" s="22">
        <v>0.006</v>
      </c>
      <c r="K58" s="22">
        <v>0.725</v>
      </c>
      <c r="L58" s="22">
        <v>0.842</v>
      </c>
      <c r="M58" s="22">
        <v>28.0</v>
      </c>
      <c r="N58" s="22">
        <v>143.0</v>
      </c>
      <c r="O58" s="22">
        <v>71.0</v>
      </c>
      <c r="P58" s="22">
        <v>377.0</v>
      </c>
    </row>
    <row r="59">
      <c r="A59" s="23"/>
      <c r="B59" s="23"/>
      <c r="C59" s="23"/>
      <c r="D59" s="11"/>
      <c r="E59" s="22">
        <v>0.503</v>
      </c>
      <c r="F59" s="22">
        <v>0.612</v>
      </c>
      <c r="G59" s="22">
        <v>0.712</v>
      </c>
      <c r="H59" s="22">
        <v>0.618</v>
      </c>
      <c r="I59" s="22">
        <v>0.557</v>
      </c>
      <c r="J59" s="22">
        <v>0.016</v>
      </c>
      <c r="K59" s="22">
        <v>0.725</v>
      </c>
      <c r="L59" s="22">
        <v>0.971</v>
      </c>
      <c r="M59" s="22">
        <v>6.0</v>
      </c>
      <c r="N59" s="22">
        <v>165.0</v>
      </c>
      <c r="O59" s="22">
        <v>13.0</v>
      </c>
      <c r="P59" s="22">
        <v>435.0</v>
      </c>
    </row>
    <row r="60">
      <c r="A60" s="23"/>
      <c r="B60" s="23"/>
      <c r="C60" s="23"/>
      <c r="D60" s="11"/>
      <c r="E60" s="22">
        <v>0.495</v>
      </c>
      <c r="F60" s="22">
        <v>0.557</v>
      </c>
      <c r="G60" s="22">
        <v>0.714</v>
      </c>
      <c r="H60" s="22">
        <v>0.606</v>
      </c>
      <c r="I60" s="22">
        <v>0.481</v>
      </c>
      <c r="J60" s="22">
        <v>-0.039</v>
      </c>
      <c r="K60" s="22">
        <v>0.722</v>
      </c>
      <c r="L60" s="22">
        <v>0.984</v>
      </c>
      <c r="M60" s="22">
        <v>1.0</v>
      </c>
      <c r="N60" s="22">
        <v>170.0</v>
      </c>
      <c r="O60" s="22">
        <v>7.0</v>
      </c>
      <c r="P60" s="22">
        <v>441.0</v>
      </c>
    </row>
    <row r="61">
      <c r="A61" s="23"/>
      <c r="B61" s="23"/>
      <c r="C61" s="23"/>
      <c r="D61" s="11"/>
      <c r="E61" s="22">
        <v>0.501</v>
      </c>
      <c r="F61" s="22">
        <v>0.602</v>
      </c>
      <c r="G61" s="22">
        <v>0.683</v>
      </c>
      <c r="H61" s="22">
        <v>0.622</v>
      </c>
      <c r="I61" s="22">
        <v>0.505</v>
      </c>
      <c r="J61" s="22">
        <v>0.003</v>
      </c>
      <c r="K61" s="22">
        <v>0.724</v>
      </c>
      <c r="L61" s="22">
        <v>0.908</v>
      </c>
      <c r="M61" s="22">
        <v>16.0</v>
      </c>
      <c r="N61" s="22">
        <v>155.0</v>
      </c>
      <c r="O61" s="22">
        <v>41.0</v>
      </c>
      <c r="P61" s="22">
        <v>407.0</v>
      </c>
    </row>
    <row r="62">
      <c r="A62" s="23"/>
      <c r="B62" s="23"/>
      <c r="C62" s="23"/>
      <c r="D62" s="11"/>
      <c r="E62" s="22">
        <v>0.497</v>
      </c>
      <c r="F62" s="22">
        <v>0.595</v>
      </c>
      <c r="G62" s="22">
        <v>0.677</v>
      </c>
      <c r="H62" s="22">
        <v>0.618</v>
      </c>
      <c r="I62" s="22">
        <v>0.521</v>
      </c>
      <c r="J62" s="22">
        <v>-0.01</v>
      </c>
      <c r="K62" s="22">
        <v>0.722</v>
      </c>
      <c r="L62" s="22">
        <v>0.9</v>
      </c>
      <c r="M62" s="22">
        <v>16.0</v>
      </c>
      <c r="N62" s="22">
        <v>155.0</v>
      </c>
      <c r="O62" s="22">
        <v>45.0</v>
      </c>
      <c r="P62" s="22">
        <v>403.0</v>
      </c>
    </row>
    <row r="63">
      <c r="A63" s="23"/>
      <c r="B63" s="23"/>
      <c r="C63" s="23"/>
      <c r="D63" s="11"/>
      <c r="E63" s="22">
        <v>0.501</v>
      </c>
      <c r="F63" s="22">
        <v>0.601</v>
      </c>
      <c r="G63" s="22">
        <v>0.68</v>
      </c>
      <c r="H63" s="22">
        <v>0.622</v>
      </c>
      <c r="I63" s="22">
        <v>0.505</v>
      </c>
      <c r="J63" s="22">
        <v>0.002</v>
      </c>
      <c r="K63" s="22">
        <v>0.724</v>
      </c>
      <c r="L63" s="22">
        <v>0.902</v>
      </c>
      <c r="M63" s="22">
        <v>17.0</v>
      </c>
      <c r="N63" s="22">
        <v>154.0</v>
      </c>
      <c r="O63" s="22">
        <v>44.0</v>
      </c>
      <c r="P63" s="22">
        <v>404.0</v>
      </c>
    </row>
    <row r="64">
      <c r="A64" s="23"/>
      <c r="B64" s="23"/>
      <c r="C64" s="23"/>
      <c r="D64" s="11"/>
      <c r="E64" s="22">
        <v>0.506</v>
      </c>
      <c r="F64" s="22">
        <v>0.607</v>
      </c>
      <c r="G64" s="22">
        <v>0.672</v>
      </c>
      <c r="H64" s="22">
        <v>0.626</v>
      </c>
      <c r="I64" s="22">
        <v>0.501</v>
      </c>
      <c r="J64" s="22">
        <v>0.016</v>
      </c>
      <c r="K64" s="22">
        <v>0.726</v>
      </c>
      <c r="L64" s="22">
        <v>0.877</v>
      </c>
      <c r="M64" s="22">
        <v>23.0</v>
      </c>
      <c r="N64" s="22">
        <v>148.0</v>
      </c>
      <c r="O64" s="22">
        <v>55.0</v>
      </c>
      <c r="P64" s="22">
        <v>393.0</v>
      </c>
    </row>
    <row r="65">
      <c r="A65" s="23"/>
      <c r="B65" s="23"/>
      <c r="C65" s="23"/>
      <c r="D65" s="11"/>
      <c r="E65" s="22">
        <v>0.501</v>
      </c>
      <c r="F65" s="22">
        <v>0.601</v>
      </c>
      <c r="G65" s="22">
        <v>0.641</v>
      </c>
      <c r="H65" s="22">
        <v>0.617</v>
      </c>
      <c r="I65" s="22">
        <v>0.516</v>
      </c>
      <c r="J65" s="22">
        <v>0.002</v>
      </c>
      <c r="K65" s="22">
        <v>0.724</v>
      </c>
      <c r="L65" s="22">
        <v>0.815</v>
      </c>
      <c r="M65" s="22">
        <v>32.0</v>
      </c>
      <c r="N65" s="22">
        <v>139.0</v>
      </c>
      <c r="O65" s="22">
        <v>83.0</v>
      </c>
      <c r="P65" s="22">
        <v>365.0</v>
      </c>
    </row>
    <row r="66">
      <c r="A66" s="23"/>
      <c r="B66" s="23"/>
      <c r="C66" s="23"/>
      <c r="D66" s="11"/>
      <c r="E66" s="22">
        <v>0.497</v>
      </c>
      <c r="F66" s="22">
        <v>0.592</v>
      </c>
      <c r="G66" s="22">
        <v>0.701</v>
      </c>
      <c r="H66" s="22">
        <v>0.614</v>
      </c>
      <c r="I66" s="22">
        <v>0.502</v>
      </c>
      <c r="J66" s="22">
        <v>-0.013</v>
      </c>
      <c r="K66" s="22">
        <v>0.723</v>
      </c>
      <c r="L66" s="22">
        <v>0.953</v>
      </c>
      <c r="M66" s="22">
        <v>7.0</v>
      </c>
      <c r="N66" s="22">
        <v>164.0</v>
      </c>
      <c r="O66" s="22">
        <v>21.0</v>
      </c>
      <c r="P66" s="22">
        <v>427.0</v>
      </c>
    </row>
    <row r="67">
      <c r="A67" s="23"/>
      <c r="B67" s="23"/>
      <c r="C67" s="23"/>
      <c r="D67" s="71" t="s">
        <v>23</v>
      </c>
      <c r="E67" s="22">
        <v>0.505</v>
      </c>
      <c r="F67" s="22">
        <v>0.611</v>
      </c>
      <c r="G67" s="22">
        <v>0.686</v>
      </c>
      <c r="H67" s="22">
        <v>0.621</v>
      </c>
      <c r="I67" s="22">
        <v>0.521</v>
      </c>
      <c r="J67" s="22">
        <v>0.013</v>
      </c>
      <c r="K67" s="22">
        <v>0.726</v>
      </c>
      <c r="L67" s="22">
        <v>0.909</v>
      </c>
      <c r="M67" s="22">
        <v>17.133</v>
      </c>
      <c r="N67" s="22">
        <v>153.867</v>
      </c>
      <c r="O67" s="22">
        <v>40.733</v>
      </c>
      <c r="P67" s="22">
        <v>407.267</v>
      </c>
    </row>
    <row r="68">
      <c r="A68" s="72"/>
      <c r="B68" s="72"/>
      <c r="C68" s="72"/>
      <c r="D68" s="73" t="s">
        <v>232</v>
      </c>
      <c r="E68" s="22">
        <v>0.008</v>
      </c>
      <c r="F68" s="22">
        <v>0.041</v>
      </c>
      <c r="G68" s="22">
        <v>0.027</v>
      </c>
      <c r="H68" s="22">
        <v>0.009</v>
      </c>
      <c r="I68" s="22">
        <v>0.023</v>
      </c>
      <c r="J68" s="22">
        <v>0.025</v>
      </c>
      <c r="K68" s="22">
        <v>0.004</v>
      </c>
      <c r="L68" s="22">
        <v>0.064</v>
      </c>
      <c r="M68" s="22">
        <v>12.115</v>
      </c>
      <c r="N68" s="22">
        <v>12.115</v>
      </c>
      <c r="O68" s="22">
        <v>28.595</v>
      </c>
      <c r="P68" s="22">
        <v>28.595</v>
      </c>
    </row>
    <row r="70">
      <c r="A70" s="77" t="s">
        <v>234</v>
      </c>
      <c r="B70" s="78" t="s">
        <v>231</v>
      </c>
      <c r="C70" s="78" t="s">
        <v>48</v>
      </c>
      <c r="D70" s="79"/>
      <c r="E70" s="32">
        <v>0.508</v>
      </c>
      <c r="F70" s="32">
        <v>0.608</v>
      </c>
      <c r="G70" s="32">
        <v>0.651</v>
      </c>
      <c r="H70" s="32">
        <v>0.624</v>
      </c>
      <c r="I70" s="32">
        <v>0.492</v>
      </c>
      <c r="J70" s="32">
        <v>0.018</v>
      </c>
      <c r="K70" s="32">
        <v>0.727</v>
      </c>
      <c r="L70" s="32">
        <v>0.828</v>
      </c>
      <c r="M70" s="32">
        <v>32.0</v>
      </c>
      <c r="N70" s="32">
        <v>139.0</v>
      </c>
      <c r="O70" s="22">
        <v>77.0</v>
      </c>
      <c r="P70" s="32">
        <v>371.0</v>
      </c>
    </row>
    <row r="71">
      <c r="A71" s="23"/>
      <c r="B71" s="23"/>
      <c r="C71" s="23"/>
      <c r="D71" s="69"/>
      <c r="E71" s="80">
        <v>0.529</v>
      </c>
      <c r="F71" s="83">
        <v>0.628</v>
      </c>
      <c r="G71" s="80">
        <v>0.666</v>
      </c>
      <c r="H71" s="80">
        <v>0.641</v>
      </c>
      <c r="I71" s="80">
        <v>0.531</v>
      </c>
      <c r="J71" s="80">
        <v>0.066</v>
      </c>
      <c r="K71" s="80">
        <v>0.738</v>
      </c>
      <c r="L71" s="83">
        <v>0.835</v>
      </c>
      <c r="M71" s="80">
        <v>38.0</v>
      </c>
      <c r="N71" s="80">
        <v>133.0</v>
      </c>
      <c r="O71" s="80">
        <v>74.0</v>
      </c>
      <c r="P71" s="80">
        <v>374.0</v>
      </c>
    </row>
    <row r="72">
      <c r="A72" s="23"/>
      <c r="B72" s="23"/>
      <c r="C72" s="23"/>
      <c r="D72" s="70"/>
      <c r="E72" s="22">
        <v>0.515</v>
      </c>
      <c r="F72" s="22">
        <v>0.639</v>
      </c>
      <c r="G72" s="22">
        <v>0.714</v>
      </c>
      <c r="H72" s="22">
        <v>0.633</v>
      </c>
      <c r="I72" s="22">
        <v>0.552</v>
      </c>
      <c r="J72" s="22">
        <v>0.062</v>
      </c>
      <c r="K72" s="22">
        <v>0.73</v>
      </c>
      <c r="L72" s="22">
        <v>0.96</v>
      </c>
      <c r="M72" s="22">
        <v>12.0</v>
      </c>
      <c r="N72" s="22">
        <v>159.0</v>
      </c>
      <c r="O72" s="22">
        <v>18.0</v>
      </c>
      <c r="P72" s="22">
        <v>430.0</v>
      </c>
    </row>
    <row r="73">
      <c r="A73" s="23"/>
      <c r="B73" s="23"/>
      <c r="C73" s="23"/>
      <c r="D73" s="70"/>
      <c r="E73" s="22">
        <v>0.519</v>
      </c>
      <c r="F73" s="22">
        <v>0.662</v>
      </c>
      <c r="G73" s="22">
        <v>0.722</v>
      </c>
      <c r="H73" s="22">
        <v>0.636</v>
      </c>
      <c r="I73" s="22">
        <v>0.569</v>
      </c>
      <c r="J73" s="22">
        <v>0.089</v>
      </c>
      <c r="K73" s="22">
        <v>0.732</v>
      </c>
      <c r="L73" s="22">
        <v>0.973</v>
      </c>
      <c r="M73" s="22">
        <v>11.0</v>
      </c>
      <c r="N73" s="22">
        <v>160.0</v>
      </c>
      <c r="O73" s="22">
        <v>12.0</v>
      </c>
      <c r="P73" s="22">
        <v>436.0</v>
      </c>
    </row>
    <row r="74">
      <c r="A74" s="23"/>
      <c r="B74" s="23"/>
      <c r="C74" s="23"/>
      <c r="D74" s="70"/>
      <c r="E74" s="22">
        <v>0.505</v>
      </c>
      <c r="F74" s="22">
        <v>0.636</v>
      </c>
      <c r="G74" s="22">
        <v>0.721</v>
      </c>
      <c r="H74" s="22">
        <v>0.618</v>
      </c>
      <c r="I74" s="22">
        <v>0.567</v>
      </c>
      <c r="J74" s="22">
        <v>0.035</v>
      </c>
      <c r="K74" s="22">
        <v>0.726</v>
      </c>
      <c r="L74" s="22">
        <v>0.987</v>
      </c>
      <c r="M74" s="22">
        <v>4.0</v>
      </c>
      <c r="N74" s="22">
        <v>167.0</v>
      </c>
      <c r="O74" s="22">
        <v>6.0</v>
      </c>
      <c r="P74" s="22">
        <v>442.0</v>
      </c>
    </row>
    <row r="75">
      <c r="A75" s="23"/>
      <c r="B75" s="23"/>
      <c r="C75" s="23"/>
      <c r="D75" s="70"/>
      <c r="E75" s="22">
        <v>0.522</v>
      </c>
      <c r="F75" s="22">
        <v>0.621</v>
      </c>
      <c r="G75" s="22">
        <v>0.661</v>
      </c>
      <c r="H75" s="22">
        <v>0.635</v>
      </c>
      <c r="I75" s="22">
        <v>0.514</v>
      </c>
      <c r="J75" s="22">
        <v>0.05</v>
      </c>
      <c r="K75" s="22">
        <v>0.734</v>
      </c>
      <c r="L75" s="22">
        <v>0.833</v>
      </c>
      <c r="M75" s="22">
        <v>36.0</v>
      </c>
      <c r="N75" s="22">
        <v>135.0</v>
      </c>
      <c r="O75" s="22">
        <v>75.0</v>
      </c>
      <c r="P75" s="22">
        <v>373.0</v>
      </c>
    </row>
    <row r="76">
      <c r="A76" s="23"/>
      <c r="B76" s="23"/>
      <c r="C76" s="23"/>
      <c r="D76" s="70"/>
      <c r="E76" s="22">
        <v>0.501</v>
      </c>
      <c r="F76" s="22">
        <v>0.603</v>
      </c>
      <c r="G76" s="22">
        <v>0.709</v>
      </c>
      <c r="H76" s="22">
        <v>0.616</v>
      </c>
      <c r="I76" s="22">
        <v>0.545</v>
      </c>
      <c r="J76" s="22">
        <v>0.004</v>
      </c>
      <c r="K76" s="22">
        <v>0.724</v>
      </c>
      <c r="L76" s="22">
        <v>0.967</v>
      </c>
      <c r="M76" s="22">
        <v>6.0</v>
      </c>
      <c r="N76" s="22">
        <v>165.0</v>
      </c>
      <c r="O76" s="22">
        <v>15.0</v>
      </c>
      <c r="P76" s="22">
        <v>433.0</v>
      </c>
    </row>
    <row r="77">
      <c r="A77" s="23"/>
      <c r="B77" s="23"/>
      <c r="C77" s="23"/>
      <c r="D77" s="70"/>
      <c r="E77" s="22">
        <v>0.503</v>
      </c>
      <c r="F77" s="22">
        <v>0.612</v>
      </c>
      <c r="G77" s="22">
        <v>0.712</v>
      </c>
      <c r="H77" s="22">
        <v>0.618</v>
      </c>
      <c r="I77" s="22">
        <v>0.535</v>
      </c>
      <c r="J77" s="22">
        <v>0.016</v>
      </c>
      <c r="K77" s="22">
        <v>0.725</v>
      </c>
      <c r="L77" s="22">
        <v>0.971</v>
      </c>
      <c r="M77" s="22">
        <v>6.0</v>
      </c>
      <c r="N77" s="22">
        <v>165.0</v>
      </c>
      <c r="O77" s="22">
        <v>13.0</v>
      </c>
      <c r="P77" s="22">
        <v>435.0</v>
      </c>
    </row>
    <row r="78">
      <c r="A78" s="23"/>
      <c r="B78" s="23"/>
      <c r="C78" s="23"/>
      <c r="D78" s="70"/>
      <c r="E78" s="22">
        <v>0.496</v>
      </c>
      <c r="F78" s="22">
        <v>0.584</v>
      </c>
      <c r="G78" s="22">
        <v>0.708</v>
      </c>
      <c r="H78" s="22">
        <v>0.611</v>
      </c>
      <c r="I78" s="22">
        <v>0.504</v>
      </c>
      <c r="J78" s="22">
        <v>-0.021</v>
      </c>
      <c r="K78" s="22">
        <v>0.722</v>
      </c>
      <c r="L78" s="22">
        <v>0.969</v>
      </c>
      <c r="M78" s="22">
        <v>4.0</v>
      </c>
      <c r="N78" s="22">
        <v>167.0</v>
      </c>
      <c r="O78" s="22">
        <v>14.0</v>
      </c>
      <c r="P78" s="22">
        <v>434.0</v>
      </c>
    </row>
    <row r="79">
      <c r="A79" s="23"/>
      <c r="B79" s="23"/>
      <c r="C79" s="23"/>
      <c r="D79" s="70"/>
      <c r="E79" s="22">
        <v>0.504</v>
      </c>
      <c r="F79" s="22">
        <v>0.643</v>
      </c>
      <c r="G79" s="22">
        <v>0.722</v>
      </c>
      <c r="H79" s="22">
        <v>0.616</v>
      </c>
      <c r="I79" s="22">
        <v>0.566</v>
      </c>
      <c r="J79" s="22">
        <v>0.036</v>
      </c>
      <c r="K79" s="22">
        <v>0.725</v>
      </c>
      <c r="L79" s="22">
        <v>0.991</v>
      </c>
      <c r="M79" s="22">
        <v>3.0</v>
      </c>
      <c r="N79" s="22">
        <v>168.0</v>
      </c>
      <c r="O79" s="22">
        <v>4.0</v>
      </c>
      <c r="P79" s="22">
        <v>444.0</v>
      </c>
    </row>
    <row r="80">
      <c r="A80" s="23"/>
      <c r="B80" s="23"/>
      <c r="C80" s="23"/>
      <c r="D80" s="11"/>
      <c r="E80" s="22">
        <v>0.507</v>
      </c>
      <c r="F80" s="22">
        <v>0.637</v>
      </c>
      <c r="G80" s="22">
        <v>0.719</v>
      </c>
      <c r="H80" s="22">
        <v>0.622</v>
      </c>
      <c r="I80" s="22">
        <v>0.568</v>
      </c>
      <c r="J80" s="22">
        <v>0.044</v>
      </c>
      <c r="K80" s="22">
        <v>0.727</v>
      </c>
      <c r="L80" s="22">
        <v>0.98</v>
      </c>
      <c r="M80" s="22">
        <v>6.0</v>
      </c>
      <c r="N80" s="22">
        <v>165.0</v>
      </c>
      <c r="O80" s="22">
        <v>9.0</v>
      </c>
      <c r="P80" s="22">
        <v>439.0</v>
      </c>
    </row>
    <row r="81">
      <c r="A81" s="23"/>
      <c r="B81" s="23"/>
      <c r="C81" s="23"/>
      <c r="D81" s="11"/>
      <c r="E81" s="22">
        <v>0.502</v>
      </c>
      <c r="F81" s="22">
        <v>0.662</v>
      </c>
      <c r="G81" s="22">
        <v>0.724</v>
      </c>
      <c r="H81" s="22">
        <v>0.611</v>
      </c>
      <c r="I81" s="22">
        <v>0.578</v>
      </c>
      <c r="J81" s="22">
        <v>0.028</v>
      </c>
      <c r="K81" s="22">
        <v>0.724</v>
      </c>
      <c r="L81" s="22">
        <v>0.998</v>
      </c>
      <c r="M81" s="22">
        <v>1.0</v>
      </c>
      <c r="N81" s="22">
        <v>170.0</v>
      </c>
      <c r="O81" s="22">
        <v>1.0</v>
      </c>
      <c r="P81" s="22">
        <v>447.0</v>
      </c>
    </row>
    <row r="82">
      <c r="A82" s="23"/>
      <c r="B82" s="23"/>
      <c r="C82" s="23"/>
      <c r="D82" s="11"/>
      <c r="E82" s="22">
        <v>0.519</v>
      </c>
      <c r="F82" s="22">
        <v>0.643</v>
      </c>
      <c r="G82" s="22">
        <v>0.714</v>
      </c>
      <c r="H82" s="22">
        <v>0.637</v>
      </c>
      <c r="I82" s="22">
        <v>0.554</v>
      </c>
      <c r="J82" s="22">
        <v>0.073</v>
      </c>
      <c r="K82" s="22">
        <v>0.732</v>
      </c>
      <c r="L82" s="22">
        <v>0.955</v>
      </c>
      <c r="M82" s="22">
        <v>14.0</v>
      </c>
      <c r="N82" s="22">
        <v>157.0</v>
      </c>
      <c r="O82" s="22">
        <v>20.0</v>
      </c>
      <c r="P82" s="22">
        <v>428.0</v>
      </c>
    </row>
    <row r="83">
      <c r="A83" s="23"/>
      <c r="B83" s="23"/>
      <c r="C83" s="23"/>
      <c r="D83" s="11"/>
      <c r="E83" s="22">
        <v>0.525</v>
      </c>
      <c r="F83" s="22">
        <v>0.625</v>
      </c>
      <c r="G83" s="22">
        <v>0.666</v>
      </c>
      <c r="H83" s="22">
        <v>0.639</v>
      </c>
      <c r="I83" s="22">
        <v>0.515</v>
      </c>
      <c r="J83" s="22">
        <v>0.059</v>
      </c>
      <c r="K83" s="22">
        <v>0.736</v>
      </c>
      <c r="L83" s="22">
        <v>0.839</v>
      </c>
      <c r="M83" s="22">
        <v>36.0</v>
      </c>
      <c r="N83" s="22">
        <v>135.0</v>
      </c>
      <c r="O83" s="22">
        <v>72.0</v>
      </c>
      <c r="P83" s="22">
        <v>376.0</v>
      </c>
    </row>
    <row r="84">
      <c r="A84" s="23"/>
      <c r="B84" s="23"/>
      <c r="C84" s="23"/>
      <c r="D84" s="11"/>
      <c r="E84" s="22">
        <v>0.5</v>
      </c>
      <c r="F84" s="22">
        <v>0.601</v>
      </c>
      <c r="G84" s="22">
        <v>0.711</v>
      </c>
      <c r="H84" s="22">
        <v>0.615</v>
      </c>
      <c r="I84" s="22">
        <v>0.513</v>
      </c>
      <c r="J84" s="22">
        <v>0.001</v>
      </c>
      <c r="K84" s="22">
        <v>0.724</v>
      </c>
      <c r="L84" s="22">
        <v>0.971</v>
      </c>
      <c r="M84" s="22">
        <v>5.0</v>
      </c>
      <c r="N84" s="22">
        <v>166.0</v>
      </c>
      <c r="O84" s="22">
        <v>13.0</v>
      </c>
      <c r="P84" s="22">
        <v>435.0</v>
      </c>
    </row>
    <row r="85">
      <c r="A85" s="23"/>
      <c r="B85" s="23"/>
      <c r="C85" s="23"/>
      <c r="D85" s="11"/>
      <c r="E85" s="22">
        <v>0.507</v>
      </c>
      <c r="F85" s="22">
        <v>0.609</v>
      </c>
      <c r="G85" s="22">
        <v>0.679</v>
      </c>
      <c r="H85" s="22">
        <v>0.627</v>
      </c>
      <c r="I85" s="22">
        <v>0.517</v>
      </c>
      <c r="J85" s="22">
        <v>0.019</v>
      </c>
      <c r="K85" s="22">
        <v>0.727</v>
      </c>
      <c r="L85" s="22">
        <v>0.891</v>
      </c>
      <c r="M85" s="22">
        <v>21.0</v>
      </c>
      <c r="N85" s="22">
        <v>150.0</v>
      </c>
      <c r="O85" s="22">
        <v>49.0</v>
      </c>
      <c r="P85" s="22">
        <v>399.0</v>
      </c>
    </row>
    <row r="86">
      <c r="A86" s="23"/>
      <c r="B86" s="23"/>
      <c r="C86" s="23"/>
      <c r="D86" s="11"/>
      <c r="E86" s="22">
        <v>0.501</v>
      </c>
      <c r="F86" s="22">
        <v>0.603</v>
      </c>
      <c r="G86" s="22">
        <v>0.7</v>
      </c>
      <c r="H86" s="22">
        <v>0.62</v>
      </c>
      <c r="I86" s="22">
        <v>0.532</v>
      </c>
      <c r="J86" s="22">
        <v>0.005</v>
      </c>
      <c r="K86" s="22">
        <v>0.724</v>
      </c>
      <c r="L86" s="22">
        <v>0.944</v>
      </c>
      <c r="M86" s="22">
        <v>10.0</v>
      </c>
      <c r="N86" s="22">
        <v>161.0</v>
      </c>
      <c r="O86" s="22">
        <v>25.0</v>
      </c>
      <c r="P86" s="22">
        <v>423.0</v>
      </c>
    </row>
    <row r="87">
      <c r="A87" s="23"/>
      <c r="B87" s="23"/>
      <c r="C87" s="23"/>
      <c r="D87" s="11"/>
      <c r="E87" s="22">
        <v>0.499</v>
      </c>
      <c r="F87" s="22">
        <v>0.593</v>
      </c>
      <c r="G87" s="22">
        <v>0.717</v>
      </c>
      <c r="H87" s="22">
        <v>0.61</v>
      </c>
      <c r="I87" s="22">
        <v>0.569</v>
      </c>
      <c r="J87" s="22">
        <v>-0.007</v>
      </c>
      <c r="K87" s="22">
        <v>0.723</v>
      </c>
      <c r="L87" s="22">
        <v>0.987</v>
      </c>
      <c r="M87" s="22">
        <v>2.0</v>
      </c>
      <c r="N87" s="22">
        <v>169.0</v>
      </c>
      <c r="O87" s="22">
        <v>6.0</v>
      </c>
      <c r="P87" s="22">
        <v>442.0</v>
      </c>
    </row>
    <row r="88">
      <c r="A88" s="23"/>
      <c r="B88" s="23"/>
      <c r="C88" s="23"/>
      <c r="D88" s="11"/>
      <c r="E88" s="22">
        <v>0.502</v>
      </c>
      <c r="F88" s="22">
        <v>0.635</v>
      </c>
      <c r="G88" s="22">
        <v>0.722</v>
      </c>
      <c r="H88" s="22">
        <v>0.613</v>
      </c>
      <c r="I88" s="22">
        <v>0.563</v>
      </c>
      <c r="J88" s="22">
        <v>0.025</v>
      </c>
      <c r="K88" s="22">
        <v>0.725</v>
      </c>
      <c r="L88" s="22">
        <v>0.993</v>
      </c>
      <c r="M88" s="22">
        <v>2.0</v>
      </c>
      <c r="N88" s="22">
        <v>169.0</v>
      </c>
      <c r="O88" s="22">
        <v>3.0</v>
      </c>
      <c r="P88" s="22">
        <v>445.0</v>
      </c>
    </row>
    <row r="89">
      <c r="A89" s="23"/>
      <c r="B89" s="23"/>
      <c r="C89" s="23"/>
      <c r="D89" s="11"/>
      <c r="E89" s="22">
        <v>0.52</v>
      </c>
      <c r="F89" s="22">
        <v>0.654</v>
      </c>
      <c r="G89" s="22">
        <v>0.719</v>
      </c>
      <c r="H89" s="22">
        <v>0.638</v>
      </c>
      <c r="I89" s="22">
        <v>0.564</v>
      </c>
      <c r="J89" s="22">
        <v>0.085</v>
      </c>
      <c r="K89" s="22">
        <v>0.732</v>
      </c>
      <c r="L89" s="22">
        <v>0.964</v>
      </c>
      <c r="M89" s="22">
        <v>13.0</v>
      </c>
      <c r="N89" s="22">
        <v>158.0</v>
      </c>
      <c r="O89" s="22">
        <v>16.0</v>
      </c>
      <c r="P89" s="22">
        <v>432.0</v>
      </c>
    </row>
    <row r="90">
      <c r="A90" s="23"/>
      <c r="B90" s="23"/>
      <c r="C90" s="23"/>
      <c r="D90" s="11"/>
      <c r="E90" s="22">
        <v>0.5</v>
      </c>
      <c r="F90" s="22">
        <v>0.8</v>
      </c>
      <c r="G90" s="22">
        <v>0.724</v>
      </c>
      <c r="H90" s="22">
        <v>0.608</v>
      </c>
      <c r="I90" s="22">
        <v>0.552</v>
      </c>
      <c r="J90" s="22">
        <v>0.0</v>
      </c>
      <c r="K90" s="22">
        <v>0.724</v>
      </c>
      <c r="L90" s="22">
        <v>1.0</v>
      </c>
      <c r="M90" s="22">
        <v>0.0</v>
      </c>
      <c r="N90" s="22">
        <v>171.0</v>
      </c>
      <c r="O90" s="22">
        <v>0.0</v>
      </c>
      <c r="P90" s="22">
        <v>448.0</v>
      </c>
    </row>
    <row r="91">
      <c r="A91" s="23"/>
      <c r="B91" s="23"/>
      <c r="C91" s="23"/>
      <c r="D91" s="11"/>
      <c r="E91" s="22">
        <v>0.511</v>
      </c>
      <c r="F91" s="22">
        <v>0.617</v>
      </c>
      <c r="G91" s="22">
        <v>0.695</v>
      </c>
      <c r="H91" s="22">
        <v>0.631</v>
      </c>
      <c r="I91" s="22">
        <v>0.525</v>
      </c>
      <c r="J91" s="22">
        <v>0.034</v>
      </c>
      <c r="K91" s="22">
        <v>0.728</v>
      </c>
      <c r="L91" s="22">
        <v>0.922</v>
      </c>
      <c r="M91" s="22">
        <v>17.0</v>
      </c>
      <c r="N91" s="22">
        <v>154.0</v>
      </c>
      <c r="O91" s="22">
        <v>35.0</v>
      </c>
      <c r="P91" s="22">
        <v>413.0</v>
      </c>
    </row>
    <row r="92">
      <c r="A92" s="23"/>
      <c r="B92" s="23"/>
      <c r="C92" s="23"/>
      <c r="D92" s="11"/>
      <c r="E92" s="22">
        <v>0.502</v>
      </c>
      <c r="F92" s="22">
        <v>0.602</v>
      </c>
      <c r="G92" s="22">
        <v>0.648</v>
      </c>
      <c r="H92" s="22">
        <v>0.619</v>
      </c>
      <c r="I92" s="22">
        <v>0.507</v>
      </c>
      <c r="J92" s="22">
        <v>0.004</v>
      </c>
      <c r="K92" s="22">
        <v>0.725</v>
      </c>
      <c r="L92" s="22">
        <v>0.828</v>
      </c>
      <c r="M92" s="22">
        <v>30.0</v>
      </c>
      <c r="N92" s="22">
        <v>141.0</v>
      </c>
      <c r="O92" s="22">
        <v>77.0</v>
      </c>
      <c r="P92" s="22">
        <v>371.0</v>
      </c>
    </row>
    <row r="93">
      <c r="A93" s="23"/>
      <c r="B93" s="23"/>
      <c r="C93" s="23"/>
      <c r="D93" s="11"/>
      <c r="E93" s="22">
        <v>0.497</v>
      </c>
      <c r="F93" s="22">
        <v>0.598</v>
      </c>
      <c r="G93" s="22">
        <v>0.649</v>
      </c>
      <c r="H93" s="22">
        <v>0.616</v>
      </c>
      <c r="I93" s="22">
        <v>0.496</v>
      </c>
      <c r="J93" s="22">
        <v>-0.006</v>
      </c>
      <c r="K93" s="22">
        <v>0.723</v>
      </c>
      <c r="L93" s="22">
        <v>0.837</v>
      </c>
      <c r="M93" s="22">
        <v>27.0</v>
      </c>
      <c r="N93" s="22">
        <v>144.0</v>
      </c>
      <c r="O93" s="22">
        <v>73.0</v>
      </c>
      <c r="P93" s="22">
        <v>375.0</v>
      </c>
    </row>
    <row r="94">
      <c r="A94" s="23"/>
      <c r="B94" s="23"/>
      <c r="C94" s="23"/>
      <c r="D94" s="11"/>
      <c r="E94" s="22">
        <v>0.515</v>
      </c>
      <c r="F94" s="22">
        <v>0.639</v>
      </c>
      <c r="G94" s="22">
        <v>0.714</v>
      </c>
      <c r="H94" s="22">
        <v>0.633</v>
      </c>
      <c r="I94" s="22">
        <v>0.558</v>
      </c>
      <c r="J94" s="22">
        <v>0.062</v>
      </c>
      <c r="K94" s="22">
        <v>0.73</v>
      </c>
      <c r="L94" s="22">
        <v>0.96</v>
      </c>
      <c r="M94" s="22">
        <v>12.0</v>
      </c>
      <c r="N94" s="22">
        <v>159.0</v>
      </c>
      <c r="O94" s="22">
        <v>18.0</v>
      </c>
      <c r="P94" s="22">
        <v>430.0</v>
      </c>
    </row>
    <row r="95">
      <c r="A95" s="23"/>
      <c r="B95" s="23"/>
      <c r="C95" s="23"/>
      <c r="D95" s="11"/>
      <c r="E95" s="22">
        <v>0.512</v>
      </c>
      <c r="F95" s="22">
        <v>0.624</v>
      </c>
      <c r="G95" s="22">
        <v>0.704</v>
      </c>
      <c r="H95" s="22">
        <v>0.631</v>
      </c>
      <c r="I95" s="22">
        <v>0.535</v>
      </c>
      <c r="J95" s="22">
        <v>0.043</v>
      </c>
      <c r="K95" s="22">
        <v>0.729</v>
      </c>
      <c r="L95" s="22">
        <v>0.942</v>
      </c>
      <c r="M95" s="22">
        <v>14.0</v>
      </c>
      <c r="N95" s="22">
        <v>157.0</v>
      </c>
      <c r="O95" s="22">
        <v>26.0</v>
      </c>
      <c r="P95" s="22">
        <v>422.0</v>
      </c>
    </row>
    <row r="96">
      <c r="A96" s="23"/>
      <c r="B96" s="23"/>
      <c r="C96" s="23"/>
      <c r="D96" s="11"/>
      <c r="E96" s="22">
        <v>0.481</v>
      </c>
      <c r="F96" s="22">
        <v>0.583</v>
      </c>
      <c r="G96" s="22">
        <v>0.624</v>
      </c>
      <c r="H96" s="22">
        <v>0.6</v>
      </c>
      <c r="I96" s="22">
        <v>0.459</v>
      </c>
      <c r="J96" s="22">
        <v>-0.042</v>
      </c>
      <c r="K96" s="22">
        <v>0.715</v>
      </c>
      <c r="L96" s="22">
        <v>0.799</v>
      </c>
      <c r="M96" s="22">
        <v>28.0</v>
      </c>
      <c r="N96" s="22">
        <v>143.0</v>
      </c>
      <c r="O96" s="22">
        <v>90.0</v>
      </c>
      <c r="P96" s="22">
        <v>358.0</v>
      </c>
    </row>
    <row r="97">
      <c r="A97" s="23"/>
      <c r="B97" s="23"/>
      <c r="C97" s="23"/>
      <c r="D97" s="11"/>
      <c r="E97" s="22">
        <v>0.505</v>
      </c>
      <c r="F97" s="22">
        <v>0.636</v>
      </c>
      <c r="G97" s="22">
        <v>0.721</v>
      </c>
      <c r="H97" s="22">
        <v>0.618</v>
      </c>
      <c r="I97" s="22">
        <v>0.57</v>
      </c>
      <c r="J97" s="22">
        <v>0.035</v>
      </c>
      <c r="K97" s="22">
        <v>0.726</v>
      </c>
      <c r="L97" s="22">
        <v>0.987</v>
      </c>
      <c r="M97" s="22">
        <v>4.0</v>
      </c>
      <c r="N97" s="22">
        <v>167.0</v>
      </c>
      <c r="O97" s="22">
        <v>6.0</v>
      </c>
      <c r="P97" s="22">
        <v>442.0</v>
      </c>
    </row>
    <row r="98">
      <c r="A98" s="23"/>
      <c r="B98" s="23"/>
      <c r="C98" s="23"/>
      <c r="D98" s="11"/>
      <c r="E98" s="22">
        <v>0.515</v>
      </c>
      <c r="F98" s="22">
        <v>0.615</v>
      </c>
      <c r="G98" s="22">
        <v>0.654</v>
      </c>
      <c r="H98" s="22">
        <v>0.629</v>
      </c>
      <c r="I98" s="22">
        <v>0.49</v>
      </c>
      <c r="J98" s="22">
        <v>0.035</v>
      </c>
      <c r="K98" s="22">
        <v>0.731</v>
      </c>
      <c r="L98" s="22">
        <v>0.826</v>
      </c>
      <c r="M98" s="22">
        <v>35.0</v>
      </c>
      <c r="N98" s="22">
        <v>136.0</v>
      </c>
      <c r="O98" s="22">
        <v>78.0</v>
      </c>
      <c r="P98" s="22">
        <v>370.0</v>
      </c>
    </row>
    <row r="99">
      <c r="A99" s="23"/>
      <c r="B99" s="23"/>
      <c r="C99" s="23"/>
      <c r="D99" s="11"/>
      <c r="E99" s="22">
        <v>0.499</v>
      </c>
      <c r="F99" s="22">
        <v>0.593</v>
      </c>
      <c r="G99" s="22">
        <v>0.717</v>
      </c>
      <c r="H99" s="22">
        <v>0.61</v>
      </c>
      <c r="I99" s="22">
        <v>0.567</v>
      </c>
      <c r="J99" s="22">
        <v>-0.007</v>
      </c>
      <c r="K99" s="22">
        <v>0.723</v>
      </c>
      <c r="L99" s="22">
        <v>0.987</v>
      </c>
      <c r="M99" s="22">
        <v>2.0</v>
      </c>
      <c r="N99" s="22">
        <v>169.0</v>
      </c>
      <c r="O99" s="22">
        <v>6.0</v>
      </c>
      <c r="P99" s="22">
        <v>442.0</v>
      </c>
    </row>
    <row r="100">
      <c r="A100" s="23"/>
      <c r="B100" s="23"/>
      <c r="C100" s="23"/>
      <c r="D100" s="71" t="s">
        <v>23</v>
      </c>
      <c r="E100" s="22">
        <v>0.507</v>
      </c>
      <c r="F100" s="22">
        <v>0.627</v>
      </c>
      <c r="G100" s="22">
        <v>0.697</v>
      </c>
      <c r="H100" s="22">
        <v>0.623</v>
      </c>
      <c r="I100" s="22">
        <v>0.537</v>
      </c>
      <c r="J100" s="22">
        <v>0.028</v>
      </c>
      <c r="K100" s="22">
        <v>0.727</v>
      </c>
      <c r="L100" s="22">
        <v>0.931</v>
      </c>
      <c r="M100" s="22">
        <v>14.367</v>
      </c>
      <c r="N100" s="22">
        <v>156.633</v>
      </c>
      <c r="O100" s="22">
        <v>31.033</v>
      </c>
      <c r="P100" s="22">
        <v>416.967</v>
      </c>
    </row>
    <row r="101">
      <c r="A101" s="72"/>
      <c r="B101" s="72"/>
      <c r="C101" s="72"/>
      <c r="D101" s="73" t="s">
        <v>232</v>
      </c>
      <c r="E101" s="22">
        <v>0.01</v>
      </c>
      <c r="F101" s="22">
        <v>0.039</v>
      </c>
      <c r="G101" s="22">
        <v>0.029</v>
      </c>
      <c r="H101" s="22">
        <v>0.011</v>
      </c>
      <c r="I101" s="22">
        <v>0.03</v>
      </c>
      <c r="J101" s="22">
        <v>0.031</v>
      </c>
      <c r="K101" s="22">
        <v>0.005</v>
      </c>
      <c r="L101" s="22">
        <v>0.066</v>
      </c>
      <c r="M101" s="22">
        <v>12.26</v>
      </c>
      <c r="N101" s="22">
        <v>12.26</v>
      </c>
      <c r="O101" s="22">
        <v>29.523</v>
      </c>
      <c r="P101" s="22">
        <v>29.523</v>
      </c>
    </row>
    <row r="103">
      <c r="A103" s="77" t="s">
        <v>235</v>
      </c>
      <c r="B103" s="78" t="s">
        <v>231</v>
      </c>
      <c r="C103" s="81" t="s">
        <v>236</v>
      </c>
      <c r="D103" s="79"/>
      <c r="E103" s="32">
        <v>0.502</v>
      </c>
      <c r="F103" s="32">
        <v>0.635</v>
      </c>
      <c r="G103" s="32">
        <v>0.722</v>
      </c>
      <c r="H103" s="32">
        <v>0.613</v>
      </c>
      <c r="I103" s="32">
        <v>0.522</v>
      </c>
      <c r="J103" s="32">
        <v>0.025</v>
      </c>
      <c r="K103" s="32">
        <v>0.725</v>
      </c>
      <c r="L103" s="32">
        <v>0.993</v>
      </c>
      <c r="M103" s="32">
        <v>2.0</v>
      </c>
      <c r="N103" s="32">
        <v>169.0</v>
      </c>
      <c r="O103" s="22">
        <v>3.0</v>
      </c>
      <c r="P103" s="32">
        <v>445.0</v>
      </c>
    </row>
    <row r="104">
      <c r="A104" s="23"/>
      <c r="B104" s="23"/>
      <c r="C104" s="23"/>
      <c r="D104" s="69"/>
      <c r="E104" s="22">
        <v>0.509</v>
      </c>
      <c r="F104" s="32">
        <v>0.625</v>
      </c>
      <c r="G104" s="22">
        <v>0.711</v>
      </c>
      <c r="H104" s="22">
        <v>0.627</v>
      </c>
      <c r="I104" s="22">
        <v>0.551</v>
      </c>
      <c r="J104" s="22">
        <v>0.039</v>
      </c>
      <c r="K104" s="22">
        <v>0.728</v>
      </c>
      <c r="L104" s="32">
        <v>0.96</v>
      </c>
      <c r="M104" s="22">
        <v>10.0</v>
      </c>
      <c r="N104" s="22">
        <v>161.0</v>
      </c>
      <c r="O104" s="22">
        <v>18.0</v>
      </c>
      <c r="P104" s="22">
        <v>430.0</v>
      </c>
    </row>
    <row r="105">
      <c r="A105" s="23"/>
      <c r="B105" s="23"/>
      <c r="C105" s="23"/>
      <c r="D105" s="70"/>
      <c r="E105" s="22">
        <v>0.501</v>
      </c>
      <c r="F105" s="22">
        <v>0.601</v>
      </c>
      <c r="G105" s="22">
        <v>0.68</v>
      </c>
      <c r="H105" s="22">
        <v>0.622</v>
      </c>
      <c r="I105" s="22">
        <v>0.536</v>
      </c>
      <c r="J105" s="22">
        <v>0.002</v>
      </c>
      <c r="K105" s="22">
        <v>0.724</v>
      </c>
      <c r="L105" s="22">
        <v>0.902</v>
      </c>
      <c r="M105" s="22">
        <v>17.0</v>
      </c>
      <c r="N105" s="22">
        <v>154.0</v>
      </c>
      <c r="O105" s="22">
        <v>44.0</v>
      </c>
      <c r="P105" s="22">
        <v>404.0</v>
      </c>
    </row>
    <row r="106">
      <c r="A106" s="23"/>
      <c r="B106" s="23"/>
      <c r="C106" s="23"/>
      <c r="D106" s="70"/>
      <c r="E106" s="22">
        <v>0.5</v>
      </c>
      <c r="F106" s="22">
        <v>0.601</v>
      </c>
      <c r="G106" s="22">
        <v>0.706</v>
      </c>
      <c r="H106" s="22">
        <v>0.617</v>
      </c>
      <c r="I106" s="22">
        <v>0.542</v>
      </c>
      <c r="J106" s="22">
        <v>0.002</v>
      </c>
      <c r="K106" s="22">
        <v>0.724</v>
      </c>
      <c r="L106" s="22">
        <v>0.96</v>
      </c>
      <c r="M106" s="22">
        <v>7.0</v>
      </c>
      <c r="N106" s="22">
        <v>164.0</v>
      </c>
      <c r="O106" s="22">
        <v>18.0</v>
      </c>
      <c r="P106" s="22">
        <v>430.0</v>
      </c>
    </row>
    <row r="107">
      <c r="A107" s="23"/>
      <c r="B107" s="23"/>
      <c r="C107" s="23"/>
      <c r="D107" s="70"/>
      <c r="E107" s="22">
        <v>0.497</v>
      </c>
      <c r="F107" s="22">
        <v>0.569</v>
      </c>
      <c r="G107" s="22">
        <v>0.717</v>
      </c>
      <c r="H107" s="22">
        <v>0.607</v>
      </c>
      <c r="I107" s="22">
        <v>0.568</v>
      </c>
      <c r="J107" s="22">
        <v>-0.024</v>
      </c>
      <c r="K107" s="22">
        <v>0.723</v>
      </c>
      <c r="L107" s="22">
        <v>0.989</v>
      </c>
      <c r="M107" s="22">
        <v>1.0</v>
      </c>
      <c r="N107" s="22">
        <v>170.0</v>
      </c>
      <c r="O107" s="22">
        <v>5.0</v>
      </c>
      <c r="P107" s="22">
        <v>443.0</v>
      </c>
    </row>
    <row r="108">
      <c r="A108" s="23"/>
      <c r="B108" s="23"/>
      <c r="C108" s="23"/>
      <c r="D108" s="70"/>
      <c r="E108" s="22">
        <v>0.47</v>
      </c>
      <c r="F108" s="22">
        <v>0.572</v>
      </c>
      <c r="G108" s="22">
        <v>0.616</v>
      </c>
      <c r="H108" s="22">
        <v>0.59</v>
      </c>
      <c r="I108" s="22">
        <v>0.474</v>
      </c>
      <c r="J108" s="22">
        <v>-0.068</v>
      </c>
      <c r="K108" s="22">
        <v>0.709</v>
      </c>
      <c r="L108" s="22">
        <v>0.795</v>
      </c>
      <c r="M108" s="22">
        <v>25.0</v>
      </c>
      <c r="N108" s="22">
        <v>146.0</v>
      </c>
      <c r="O108" s="22">
        <v>92.0</v>
      </c>
      <c r="P108" s="22">
        <v>356.0</v>
      </c>
    </row>
    <row r="109">
      <c r="A109" s="23"/>
      <c r="B109" s="23"/>
      <c r="C109" s="23"/>
      <c r="D109" s="70"/>
      <c r="E109" s="22">
        <v>0.501</v>
      </c>
      <c r="F109" s="22">
        <v>0.603</v>
      </c>
      <c r="G109" s="22">
        <v>0.709</v>
      </c>
      <c r="H109" s="22">
        <v>0.616</v>
      </c>
      <c r="I109" s="22">
        <v>0.563</v>
      </c>
      <c r="J109" s="22">
        <v>0.004</v>
      </c>
      <c r="K109" s="22">
        <v>0.724</v>
      </c>
      <c r="L109" s="22">
        <v>0.967</v>
      </c>
      <c r="M109" s="22">
        <v>6.0</v>
      </c>
      <c r="N109" s="22">
        <v>165.0</v>
      </c>
      <c r="O109" s="22">
        <v>15.0</v>
      </c>
      <c r="P109" s="22">
        <v>433.0</v>
      </c>
    </row>
    <row r="110">
      <c r="A110" s="23"/>
      <c r="B110" s="23"/>
      <c r="C110" s="23"/>
      <c r="D110" s="70"/>
      <c r="E110" s="80">
        <v>0.513</v>
      </c>
      <c r="F110" s="80">
        <v>0.627</v>
      </c>
      <c r="G110" s="80">
        <v>0.706</v>
      </c>
      <c r="H110" s="80">
        <v>0.632</v>
      </c>
      <c r="I110" s="80">
        <v>0.561</v>
      </c>
      <c r="J110" s="80">
        <v>0.048</v>
      </c>
      <c r="K110" s="80">
        <v>0.729</v>
      </c>
      <c r="L110" s="80">
        <v>0.944</v>
      </c>
      <c r="M110" s="80">
        <v>14.0</v>
      </c>
      <c r="N110" s="80">
        <v>157.0</v>
      </c>
      <c r="O110" s="80">
        <v>25.0</v>
      </c>
      <c r="P110" s="80">
        <v>423.0</v>
      </c>
    </row>
    <row r="111">
      <c r="A111" s="23"/>
      <c r="B111" s="23"/>
      <c r="C111" s="23"/>
      <c r="D111" s="70"/>
      <c r="E111" s="22">
        <v>0.499</v>
      </c>
      <c r="F111" s="22">
        <v>0.6</v>
      </c>
      <c r="G111" s="22">
        <v>0.658</v>
      </c>
      <c r="H111" s="22">
        <v>0.619</v>
      </c>
      <c r="I111" s="22">
        <v>0.492</v>
      </c>
      <c r="J111" s="22">
        <v>-0.001</v>
      </c>
      <c r="K111" s="22">
        <v>0.723</v>
      </c>
      <c r="L111" s="22">
        <v>0.853</v>
      </c>
      <c r="M111" s="22">
        <v>25.0</v>
      </c>
      <c r="N111" s="22">
        <v>146.0</v>
      </c>
      <c r="O111" s="22">
        <v>66.0</v>
      </c>
      <c r="P111" s="22">
        <v>382.0</v>
      </c>
    </row>
    <row r="112">
      <c r="A112" s="23"/>
      <c r="B112" s="23"/>
      <c r="C112" s="23"/>
      <c r="D112" s="70"/>
      <c r="E112" s="22">
        <v>0.503</v>
      </c>
      <c r="F112" s="22">
        <v>0.628</v>
      </c>
      <c r="G112" s="22">
        <v>0.721</v>
      </c>
      <c r="H112" s="22">
        <v>0.615</v>
      </c>
      <c r="I112" s="22">
        <v>0.563</v>
      </c>
      <c r="J112" s="22">
        <v>0.025</v>
      </c>
      <c r="K112" s="22">
        <v>0.725</v>
      </c>
      <c r="L112" s="22">
        <v>0.989</v>
      </c>
      <c r="M112" s="22">
        <v>3.0</v>
      </c>
      <c r="N112" s="22">
        <v>168.0</v>
      </c>
      <c r="O112" s="22">
        <v>5.0</v>
      </c>
      <c r="P112" s="22">
        <v>443.0</v>
      </c>
    </row>
    <row r="113">
      <c r="A113" s="23"/>
      <c r="B113" s="23"/>
      <c r="C113" s="23"/>
      <c r="D113" s="11"/>
      <c r="E113" s="22">
        <v>0.5</v>
      </c>
      <c r="F113" s="22">
        <v>0.603</v>
      </c>
      <c r="G113" s="22">
        <v>0.719</v>
      </c>
      <c r="H113" s="22">
        <v>0.611</v>
      </c>
      <c r="I113" s="22">
        <v>0.562</v>
      </c>
      <c r="J113" s="22">
        <v>0.002</v>
      </c>
      <c r="K113" s="22">
        <v>0.724</v>
      </c>
      <c r="L113" s="22">
        <v>0.989</v>
      </c>
      <c r="M113" s="22">
        <v>2.0</v>
      </c>
      <c r="N113" s="22">
        <v>169.0</v>
      </c>
      <c r="O113" s="22">
        <v>5.0</v>
      </c>
      <c r="P113" s="22">
        <v>443.0</v>
      </c>
    </row>
    <row r="114">
      <c r="A114" s="23"/>
      <c r="B114" s="23"/>
      <c r="C114" s="23"/>
      <c r="D114" s="11"/>
      <c r="E114" s="22">
        <v>0.499</v>
      </c>
      <c r="F114" s="22">
        <v>0.593</v>
      </c>
      <c r="G114" s="22">
        <v>0.717</v>
      </c>
      <c r="H114" s="22">
        <v>0.61</v>
      </c>
      <c r="I114" s="22">
        <v>0.573</v>
      </c>
      <c r="J114" s="22">
        <v>-0.007</v>
      </c>
      <c r="K114" s="22">
        <v>0.723</v>
      </c>
      <c r="L114" s="22">
        <v>0.987</v>
      </c>
      <c r="M114" s="22">
        <v>2.0</v>
      </c>
      <c r="N114" s="22">
        <v>169.0</v>
      </c>
      <c r="O114" s="22">
        <v>6.0</v>
      </c>
      <c r="P114" s="22">
        <v>442.0</v>
      </c>
    </row>
    <row r="115">
      <c r="A115" s="23"/>
      <c r="B115" s="23"/>
      <c r="C115" s="23"/>
      <c r="D115" s="11"/>
      <c r="E115" s="22">
        <v>0.506</v>
      </c>
      <c r="F115" s="22">
        <v>0.61</v>
      </c>
      <c r="G115" s="22">
        <v>0.688</v>
      </c>
      <c r="H115" s="22">
        <v>0.627</v>
      </c>
      <c r="I115" s="22">
        <v>0.514</v>
      </c>
      <c r="J115" s="22">
        <v>0.019</v>
      </c>
      <c r="K115" s="22">
        <v>0.726</v>
      </c>
      <c r="L115" s="22">
        <v>0.913</v>
      </c>
      <c r="M115" s="22">
        <v>17.0</v>
      </c>
      <c r="N115" s="22">
        <v>154.0</v>
      </c>
      <c r="O115" s="22">
        <v>39.0</v>
      </c>
      <c r="P115" s="22">
        <v>409.0</v>
      </c>
    </row>
    <row r="116">
      <c r="A116" s="23"/>
      <c r="B116" s="23"/>
      <c r="C116" s="23"/>
      <c r="D116" s="11"/>
      <c r="E116" s="22">
        <v>0.502</v>
      </c>
      <c r="F116" s="22">
        <v>0.635</v>
      </c>
      <c r="G116" s="22">
        <v>0.722</v>
      </c>
      <c r="H116" s="22">
        <v>0.613</v>
      </c>
      <c r="I116" s="22">
        <v>0.564</v>
      </c>
      <c r="J116" s="22">
        <v>0.025</v>
      </c>
      <c r="K116" s="22">
        <v>0.725</v>
      </c>
      <c r="L116" s="22">
        <v>0.993</v>
      </c>
      <c r="M116" s="22">
        <v>2.0</v>
      </c>
      <c r="N116" s="22">
        <v>169.0</v>
      </c>
      <c r="O116" s="22">
        <v>3.0</v>
      </c>
      <c r="P116" s="22">
        <v>445.0</v>
      </c>
    </row>
    <row r="117">
      <c r="A117" s="23"/>
      <c r="B117" s="23"/>
      <c r="C117" s="23"/>
      <c r="D117" s="11"/>
      <c r="E117" s="22">
        <v>0.507</v>
      </c>
      <c r="F117" s="22">
        <v>0.664</v>
      </c>
      <c r="G117" s="22">
        <v>0.724</v>
      </c>
      <c r="H117" s="22">
        <v>0.619</v>
      </c>
      <c r="I117" s="22">
        <v>0.563</v>
      </c>
      <c r="J117" s="22">
        <v>0.057</v>
      </c>
      <c r="K117" s="22">
        <v>0.727</v>
      </c>
      <c r="L117" s="22">
        <v>0.991</v>
      </c>
      <c r="M117" s="22">
        <v>4.0</v>
      </c>
      <c r="N117" s="22">
        <v>167.0</v>
      </c>
      <c r="O117" s="22">
        <v>4.0</v>
      </c>
      <c r="P117" s="22">
        <v>444.0</v>
      </c>
    </row>
    <row r="118">
      <c r="A118" s="23"/>
      <c r="B118" s="23"/>
      <c r="C118" s="23"/>
      <c r="D118" s="11"/>
      <c r="E118" s="22">
        <v>0.514</v>
      </c>
      <c r="F118" s="22">
        <v>0.614</v>
      </c>
      <c r="G118" s="22">
        <v>0.658</v>
      </c>
      <c r="H118" s="22">
        <v>0.63</v>
      </c>
      <c r="I118" s="22">
        <v>0.507</v>
      </c>
      <c r="J118" s="22">
        <v>0.033</v>
      </c>
      <c r="K118" s="22">
        <v>0.73</v>
      </c>
      <c r="L118" s="22">
        <v>0.835</v>
      </c>
      <c r="M118" s="22">
        <v>33.0</v>
      </c>
      <c r="N118" s="22">
        <v>138.0</v>
      </c>
      <c r="O118" s="22">
        <v>74.0</v>
      </c>
      <c r="P118" s="22">
        <v>374.0</v>
      </c>
    </row>
    <row r="119">
      <c r="A119" s="23"/>
      <c r="B119" s="23"/>
      <c r="C119" s="23"/>
      <c r="D119" s="11"/>
      <c r="E119" s="22">
        <v>0.507</v>
      </c>
      <c r="F119" s="22">
        <v>0.641</v>
      </c>
      <c r="G119" s="22">
        <v>0.721</v>
      </c>
      <c r="H119" s="22">
        <v>0.62</v>
      </c>
      <c r="I119" s="22">
        <v>0.56</v>
      </c>
      <c r="J119" s="22">
        <v>0.044</v>
      </c>
      <c r="K119" s="22">
        <v>0.727</v>
      </c>
      <c r="L119" s="22">
        <v>0.984</v>
      </c>
      <c r="M119" s="22">
        <v>5.0</v>
      </c>
      <c r="N119" s="22">
        <v>166.0</v>
      </c>
      <c r="O119" s="22">
        <v>7.0</v>
      </c>
      <c r="P119" s="22">
        <v>441.0</v>
      </c>
    </row>
    <row r="120">
      <c r="A120" s="23"/>
      <c r="B120" s="23"/>
      <c r="C120" s="23"/>
      <c r="D120" s="11"/>
      <c r="E120" s="22">
        <v>0.502</v>
      </c>
      <c r="F120" s="22">
        <v>0.604</v>
      </c>
      <c r="G120" s="22">
        <v>0.698</v>
      </c>
      <c r="H120" s="22">
        <v>0.621</v>
      </c>
      <c r="I120" s="22">
        <v>0.55</v>
      </c>
      <c r="J120" s="22">
        <v>0.008</v>
      </c>
      <c r="K120" s="22">
        <v>0.725</v>
      </c>
      <c r="L120" s="22">
        <v>0.94</v>
      </c>
      <c r="M120" s="22">
        <v>11.0</v>
      </c>
      <c r="N120" s="22">
        <v>160.0</v>
      </c>
      <c r="O120" s="22">
        <v>27.0</v>
      </c>
      <c r="P120" s="22">
        <v>421.0</v>
      </c>
    </row>
    <row r="121">
      <c r="A121" s="23"/>
      <c r="B121" s="23"/>
      <c r="C121" s="23"/>
      <c r="D121" s="11"/>
      <c r="E121" s="22">
        <v>0.503</v>
      </c>
      <c r="F121" s="22">
        <v>0.628</v>
      </c>
      <c r="G121" s="22">
        <v>0.721</v>
      </c>
      <c r="H121" s="22">
        <v>0.615</v>
      </c>
      <c r="I121" s="22">
        <v>0.565</v>
      </c>
      <c r="J121" s="22">
        <v>0.025</v>
      </c>
      <c r="K121" s="22">
        <v>0.725</v>
      </c>
      <c r="L121" s="22">
        <v>0.989</v>
      </c>
      <c r="M121" s="22">
        <v>3.0</v>
      </c>
      <c r="N121" s="22">
        <v>168.0</v>
      </c>
      <c r="O121" s="22">
        <v>5.0</v>
      </c>
      <c r="P121" s="22">
        <v>443.0</v>
      </c>
    </row>
    <row r="122">
      <c r="A122" s="23"/>
      <c r="B122" s="23"/>
      <c r="C122" s="23"/>
      <c r="D122" s="11"/>
      <c r="E122" s="22">
        <v>0.498</v>
      </c>
      <c r="F122" s="22">
        <v>0.592</v>
      </c>
      <c r="G122" s="22">
        <v>0.708</v>
      </c>
      <c r="H122" s="22">
        <v>0.613</v>
      </c>
      <c r="I122" s="22">
        <v>0.556</v>
      </c>
      <c r="J122" s="22">
        <v>-0.011</v>
      </c>
      <c r="K122" s="22">
        <v>0.723</v>
      </c>
      <c r="L122" s="22">
        <v>0.967</v>
      </c>
      <c r="M122" s="22">
        <v>5.0</v>
      </c>
      <c r="N122" s="22">
        <v>166.0</v>
      </c>
      <c r="O122" s="22">
        <v>15.0</v>
      </c>
      <c r="P122" s="22">
        <v>433.0</v>
      </c>
    </row>
    <row r="123">
      <c r="A123" s="23"/>
      <c r="B123" s="23"/>
      <c r="C123" s="23"/>
      <c r="D123" s="11"/>
      <c r="E123" s="22">
        <v>0.509</v>
      </c>
      <c r="F123" s="22">
        <v>0.665</v>
      </c>
      <c r="G123" s="22">
        <v>0.724</v>
      </c>
      <c r="H123" s="22">
        <v>0.622</v>
      </c>
      <c r="I123" s="22">
        <v>0.561</v>
      </c>
      <c r="J123" s="22">
        <v>0.064</v>
      </c>
      <c r="K123" s="22">
        <v>0.727</v>
      </c>
      <c r="L123" s="22">
        <v>0.989</v>
      </c>
      <c r="M123" s="22">
        <v>5.0</v>
      </c>
      <c r="N123" s="22">
        <v>166.0</v>
      </c>
      <c r="O123" s="22">
        <v>5.0</v>
      </c>
      <c r="P123" s="22">
        <v>443.0</v>
      </c>
    </row>
    <row r="124">
      <c r="A124" s="23"/>
      <c r="B124" s="23"/>
      <c r="C124" s="23"/>
      <c r="D124" s="11"/>
      <c r="E124" s="22">
        <v>0.497</v>
      </c>
      <c r="F124" s="22">
        <v>0.569</v>
      </c>
      <c r="G124" s="22">
        <v>0.717</v>
      </c>
      <c r="H124" s="22">
        <v>0.607</v>
      </c>
      <c r="I124" s="22">
        <v>0.565</v>
      </c>
      <c r="J124" s="22">
        <v>-0.024</v>
      </c>
      <c r="K124" s="22">
        <v>0.723</v>
      </c>
      <c r="L124" s="22">
        <v>0.989</v>
      </c>
      <c r="M124" s="22">
        <v>1.0</v>
      </c>
      <c r="N124" s="22">
        <v>170.0</v>
      </c>
      <c r="O124" s="22">
        <v>5.0</v>
      </c>
      <c r="P124" s="22">
        <v>443.0</v>
      </c>
    </row>
    <row r="125">
      <c r="A125" s="23"/>
      <c r="B125" s="23"/>
      <c r="C125" s="23"/>
      <c r="D125" s="11"/>
      <c r="E125" s="22">
        <v>0.5</v>
      </c>
      <c r="F125" s="22">
        <v>0.6</v>
      </c>
      <c r="G125" s="22">
        <v>0.703</v>
      </c>
      <c r="H125" s="22">
        <v>0.618</v>
      </c>
      <c r="I125" s="22">
        <v>0.547</v>
      </c>
      <c r="J125" s="22">
        <v>0.0</v>
      </c>
      <c r="K125" s="22">
        <v>0.724</v>
      </c>
      <c r="L125" s="22">
        <v>0.953</v>
      </c>
      <c r="M125" s="22">
        <v>8.0</v>
      </c>
      <c r="N125" s="22">
        <v>163.0</v>
      </c>
      <c r="O125" s="22">
        <v>21.0</v>
      </c>
      <c r="P125" s="22">
        <v>427.0</v>
      </c>
    </row>
    <row r="126">
      <c r="A126" s="23"/>
      <c r="B126" s="23"/>
      <c r="C126" s="23"/>
      <c r="D126" s="11"/>
      <c r="E126" s="22">
        <v>0.5</v>
      </c>
      <c r="F126" s="22">
        <v>0.8</v>
      </c>
      <c r="G126" s="22">
        <v>0.724</v>
      </c>
      <c r="H126" s="22">
        <v>0.608</v>
      </c>
      <c r="I126" s="22">
        <v>0.512</v>
      </c>
      <c r="J126" s="22">
        <v>0.0</v>
      </c>
      <c r="K126" s="22">
        <v>0.724</v>
      </c>
      <c r="L126" s="22">
        <v>1.0</v>
      </c>
      <c r="M126" s="22">
        <v>0.0</v>
      </c>
      <c r="N126" s="22">
        <v>171.0</v>
      </c>
      <c r="O126" s="22">
        <v>0.0</v>
      </c>
      <c r="P126" s="22">
        <v>448.0</v>
      </c>
    </row>
    <row r="127">
      <c r="A127" s="23"/>
      <c r="B127" s="23"/>
      <c r="C127" s="23"/>
      <c r="D127" s="11"/>
      <c r="E127" s="22">
        <v>0.503</v>
      </c>
      <c r="F127" s="22">
        <v>0.612</v>
      </c>
      <c r="G127" s="22">
        <v>0.712</v>
      </c>
      <c r="H127" s="22">
        <v>0.618</v>
      </c>
      <c r="I127" s="22">
        <v>0.556</v>
      </c>
      <c r="J127" s="22">
        <v>0.016</v>
      </c>
      <c r="K127" s="22">
        <v>0.725</v>
      </c>
      <c r="L127" s="22">
        <v>0.971</v>
      </c>
      <c r="M127" s="22">
        <v>6.0</v>
      </c>
      <c r="N127" s="22">
        <v>165.0</v>
      </c>
      <c r="O127" s="22">
        <v>13.0</v>
      </c>
      <c r="P127" s="22">
        <v>435.0</v>
      </c>
    </row>
    <row r="128">
      <c r="A128" s="23"/>
      <c r="B128" s="23"/>
      <c r="C128" s="23"/>
      <c r="D128" s="11"/>
      <c r="E128" s="22">
        <v>0.506</v>
      </c>
      <c r="F128" s="22">
        <v>0.648</v>
      </c>
      <c r="G128" s="22">
        <v>0.722</v>
      </c>
      <c r="H128" s="22">
        <v>0.618</v>
      </c>
      <c r="I128" s="22">
        <v>0.566</v>
      </c>
      <c r="J128" s="22">
        <v>0.046</v>
      </c>
      <c r="K128" s="22">
        <v>0.726</v>
      </c>
      <c r="L128" s="22">
        <v>0.989</v>
      </c>
      <c r="M128" s="22">
        <v>4.0</v>
      </c>
      <c r="N128" s="22">
        <v>167.0</v>
      </c>
      <c r="O128" s="22">
        <v>5.0</v>
      </c>
      <c r="P128" s="22">
        <v>443.0</v>
      </c>
    </row>
    <row r="129">
      <c r="A129" s="23"/>
      <c r="B129" s="23"/>
      <c r="C129" s="23"/>
      <c r="D129" s="11"/>
      <c r="E129" s="22">
        <v>0.504</v>
      </c>
      <c r="F129" s="22">
        <v>0.643</v>
      </c>
      <c r="G129" s="22">
        <v>0.722</v>
      </c>
      <c r="H129" s="22">
        <v>0.616</v>
      </c>
      <c r="I129" s="22">
        <v>0.559</v>
      </c>
      <c r="J129" s="22">
        <v>0.036</v>
      </c>
      <c r="K129" s="22">
        <v>0.725</v>
      </c>
      <c r="L129" s="22">
        <v>0.991</v>
      </c>
      <c r="M129" s="22">
        <v>3.0</v>
      </c>
      <c r="N129" s="22">
        <v>168.0</v>
      </c>
      <c r="O129" s="22">
        <v>4.0</v>
      </c>
      <c r="P129" s="22">
        <v>444.0</v>
      </c>
    </row>
    <row r="130">
      <c r="A130" s="23"/>
      <c r="B130" s="23"/>
      <c r="C130" s="23"/>
      <c r="D130" s="11"/>
      <c r="E130" s="22">
        <v>0.497</v>
      </c>
      <c r="F130" s="22">
        <v>0.569</v>
      </c>
      <c r="G130" s="22">
        <v>0.717</v>
      </c>
      <c r="H130" s="22">
        <v>0.607</v>
      </c>
      <c r="I130" s="22">
        <v>0.565</v>
      </c>
      <c r="J130" s="22">
        <v>-0.024</v>
      </c>
      <c r="K130" s="22">
        <v>0.723</v>
      </c>
      <c r="L130" s="22">
        <v>0.989</v>
      </c>
      <c r="M130" s="22">
        <v>1.0</v>
      </c>
      <c r="N130" s="22">
        <v>170.0</v>
      </c>
      <c r="O130" s="22">
        <v>5.0</v>
      </c>
      <c r="P130" s="22">
        <v>443.0</v>
      </c>
    </row>
    <row r="131">
      <c r="A131" s="23"/>
      <c r="B131" s="23"/>
      <c r="C131" s="23"/>
      <c r="D131" s="11"/>
      <c r="E131" s="22">
        <v>0.502</v>
      </c>
      <c r="F131" s="22">
        <v>0.603</v>
      </c>
      <c r="G131" s="22">
        <v>0.69</v>
      </c>
      <c r="H131" s="22">
        <v>0.622</v>
      </c>
      <c r="I131" s="22">
        <v>0.468</v>
      </c>
      <c r="J131" s="22">
        <v>0.006</v>
      </c>
      <c r="K131" s="22">
        <v>0.725</v>
      </c>
      <c r="L131" s="22">
        <v>0.922</v>
      </c>
      <c r="M131" s="22">
        <v>14.0</v>
      </c>
      <c r="N131" s="22">
        <v>157.0</v>
      </c>
      <c r="O131" s="22">
        <v>35.0</v>
      </c>
      <c r="P131" s="22">
        <v>413.0</v>
      </c>
    </row>
    <row r="132">
      <c r="A132" s="23"/>
      <c r="B132" s="23"/>
      <c r="C132" s="23"/>
      <c r="D132" s="11"/>
      <c r="E132" s="22">
        <v>0.501</v>
      </c>
      <c r="F132" s="22">
        <v>0.603</v>
      </c>
      <c r="G132" s="22">
        <v>0.714</v>
      </c>
      <c r="H132" s="22">
        <v>0.614</v>
      </c>
      <c r="I132" s="22">
        <v>0.49</v>
      </c>
      <c r="J132" s="22">
        <v>0.003</v>
      </c>
      <c r="K132" s="22">
        <v>0.724</v>
      </c>
      <c r="L132" s="22">
        <v>0.978</v>
      </c>
      <c r="M132" s="22">
        <v>4.0</v>
      </c>
      <c r="N132" s="22">
        <v>167.0</v>
      </c>
      <c r="O132" s="22">
        <v>10.0</v>
      </c>
      <c r="P132" s="22">
        <v>438.0</v>
      </c>
    </row>
    <row r="133">
      <c r="A133" s="23"/>
      <c r="B133" s="23"/>
      <c r="C133" s="23"/>
      <c r="D133" s="71" t="s">
        <v>23</v>
      </c>
      <c r="E133" s="22">
        <v>0.502</v>
      </c>
      <c r="F133" s="22">
        <v>0.619</v>
      </c>
      <c r="G133" s="22">
        <v>0.705</v>
      </c>
      <c r="H133" s="22">
        <v>0.616</v>
      </c>
      <c r="I133" s="22">
        <v>0.543</v>
      </c>
      <c r="J133" s="22">
        <v>0.012</v>
      </c>
      <c r="K133" s="22">
        <v>0.724</v>
      </c>
      <c r="L133" s="22">
        <v>0.957</v>
      </c>
      <c r="M133" s="22">
        <v>8.0</v>
      </c>
      <c r="N133" s="22">
        <v>163.0</v>
      </c>
      <c r="O133" s="22">
        <v>19.3</v>
      </c>
      <c r="P133" s="22">
        <v>428.7</v>
      </c>
    </row>
    <row r="134">
      <c r="A134" s="72"/>
      <c r="B134" s="72"/>
      <c r="C134" s="72"/>
      <c r="D134" s="73" t="s">
        <v>232</v>
      </c>
      <c r="E134" s="22">
        <v>0.007</v>
      </c>
      <c r="F134" s="22">
        <v>0.042</v>
      </c>
      <c r="G134" s="22">
        <v>0.024</v>
      </c>
      <c r="H134" s="22">
        <v>0.008</v>
      </c>
      <c r="I134" s="22">
        <v>0.03</v>
      </c>
      <c r="J134" s="22">
        <v>0.028</v>
      </c>
      <c r="K134" s="22">
        <v>0.003</v>
      </c>
      <c r="L134" s="22">
        <v>0.05</v>
      </c>
      <c r="M134" s="22">
        <v>8.091</v>
      </c>
      <c r="N134" s="22">
        <v>8.091</v>
      </c>
      <c r="O134" s="22">
        <v>22.583</v>
      </c>
      <c r="P134" s="22">
        <v>22.583</v>
      </c>
    </row>
  </sheetData>
  <mergeCells count="12">
    <mergeCell ref="B70:B101"/>
    <mergeCell ref="C70:C101"/>
    <mergeCell ref="A103:A134"/>
    <mergeCell ref="B103:B134"/>
    <mergeCell ref="C103:C134"/>
    <mergeCell ref="A4:A35"/>
    <mergeCell ref="B4:B35"/>
    <mergeCell ref="C4:C35"/>
    <mergeCell ref="A37:A68"/>
    <mergeCell ref="B37:B68"/>
    <mergeCell ref="C37:C68"/>
    <mergeCell ref="A70:A101"/>
  </mergeCells>
  <conditionalFormatting sqref="H1:H777">
    <cfRule type="cellIs" dxfId="0" priority="1" operator="greaterThan">
      <formula>0.725</formula>
    </cfRule>
  </conditionalFormatting>
  <drawing r:id="rId1"/>
</worksheet>
</file>